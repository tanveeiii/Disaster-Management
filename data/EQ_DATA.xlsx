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60416d14c2d8328/Desktop/PSHA Project/"/>
    </mc:Choice>
  </mc:AlternateContent>
  <xr:revisionPtr revIDLastSave="4" documentId="11_D3C6CB2729931885E042A6E19492D10F00BAC499" xr6:coauthVersionLast="47" xr6:coauthVersionMax="47" xr10:uidLastSave="{3562235F-B992-4868-8963-179A9694D8C1}"/>
  <bookViews>
    <workbookView xWindow="-108" yWindow="-108" windowWidth="23256" windowHeight="12456" tabRatio="784" activeTab="9" xr2:uid="{00000000-000D-0000-FFFF-FFFF00000000}"/>
  </bookViews>
  <sheets>
    <sheet name="ISC" sheetId="4" r:id="rId1"/>
    <sheet name="IMD" sheetId="5" r:id="rId2"/>
    <sheet name="USGS" sheetId="6" r:id="rId3"/>
    <sheet name="STG Raghukanth" sheetId="7" r:id="rId4"/>
    <sheet name="Compiled" sheetId="8" r:id="rId5"/>
    <sheet name="Mw Final" sheetId="17" r:id="rId6"/>
    <sheet name="Filtered Final" sheetId="18" r:id="rId7"/>
    <sheet name="A-B PSHA" sheetId="19" r:id="rId8"/>
    <sheet name="COMPLETENESS ANALYSIS" sheetId="16" r:id="rId9"/>
    <sheet name="EQ SEISAT" sheetId="21" r:id="rId10"/>
    <sheet name="FAULTS" sheetId="20" r:id="rId11"/>
  </sheets>
  <definedNames>
    <definedName name="Series1">'COMPLETENESS ANALYSIS'!#REF!</definedName>
    <definedName name="Series2">'COMPLETENESS ANALYSIS'!$G$4:$G$346</definedName>
    <definedName name="Series3">'COMPLETENESS ANALYSIS'!$J$4:$J$346</definedName>
    <definedName name="Series4">'COMPLETENESS ANALYSIS'!$M$4:$M$346</definedName>
    <definedName name="Series5">'COMPLETENESS ANALYSIS'!$P$23:$P$346</definedName>
    <definedName name="Series6">'COMPLETENESS ANALYSIS'!$S$54:$S$346</definedName>
    <definedName name="Series7">'COMPLETENESS ANALYSIS'!$V$16:$V$346</definedName>
    <definedName name="Ts">'COMPLETENESS ANALYSIS'!$D$4:$D$346</definedName>
    <definedName name="Tsyears">'COMPLETENESS ANALYSIS'!$C$4:$C$346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0" l="1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N3" i="20"/>
  <c r="N4" i="20"/>
  <c r="N5" i="20"/>
  <c r="N6" i="20"/>
  <c r="N9" i="20"/>
  <c r="N10" i="20"/>
  <c r="N18" i="20"/>
  <c r="N24" i="20"/>
  <c r="N27" i="20"/>
  <c r="N28" i="20"/>
  <c r="N29" i="20"/>
  <c r="N30" i="20"/>
  <c r="N37" i="20"/>
  <c r="N39" i="20"/>
  <c r="N40" i="20"/>
  <c r="N41" i="20"/>
  <c r="N42" i="20"/>
  <c r="N43" i="20"/>
  <c r="N44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9" i="20"/>
  <c r="N60" i="20"/>
  <c r="N61" i="20"/>
  <c r="N62" i="20"/>
  <c r="N63" i="20"/>
  <c r="N64" i="20"/>
  <c r="N65" i="20"/>
  <c r="N66" i="20"/>
  <c r="N67" i="20"/>
  <c r="N68" i="20"/>
  <c r="N70" i="20"/>
  <c r="N72" i="20"/>
  <c r="N75" i="20"/>
  <c r="N76" i="20"/>
  <c r="N79" i="20"/>
  <c r="N81" i="20"/>
  <c r="N82" i="20"/>
  <c r="N83" i="20"/>
  <c r="N86" i="20"/>
  <c r="N89" i="20"/>
  <c r="N90" i="20"/>
  <c r="N93" i="20"/>
  <c r="N94" i="20"/>
  <c r="N95" i="20"/>
  <c r="N96" i="20"/>
  <c r="N100" i="20"/>
  <c r="N104" i="20"/>
  <c r="N106" i="20"/>
  <c r="N107" i="20"/>
  <c r="N108" i="20"/>
  <c r="N111" i="20"/>
  <c r="N112" i="20"/>
  <c r="N115" i="20"/>
  <c r="N116" i="20"/>
  <c r="N117" i="20"/>
  <c r="N119" i="20"/>
  <c r="N120" i="20"/>
  <c r="N121" i="20"/>
  <c r="N122" i="20"/>
  <c r="N123" i="20"/>
  <c r="N125" i="20"/>
  <c r="N126" i="20"/>
  <c r="N127" i="20"/>
  <c r="N128" i="20"/>
  <c r="N129" i="20"/>
  <c r="N131" i="20"/>
  <c r="N132" i="20"/>
  <c r="I4" i="20"/>
  <c r="J4" i="20" s="1"/>
  <c r="I5" i="20"/>
  <c r="J5" i="20" s="1"/>
  <c r="I6" i="20"/>
  <c r="J6" i="20" s="1"/>
  <c r="I7" i="20"/>
  <c r="N7" i="20" s="1"/>
  <c r="I8" i="20"/>
  <c r="N8" i="20" s="1"/>
  <c r="I9" i="20"/>
  <c r="J9" i="20" s="1"/>
  <c r="I10" i="20"/>
  <c r="J10" i="20" s="1"/>
  <c r="I11" i="20"/>
  <c r="N11" i="20" s="1"/>
  <c r="I12" i="20"/>
  <c r="N12" i="20" s="1"/>
  <c r="I13" i="20"/>
  <c r="N13" i="20" s="1"/>
  <c r="I14" i="20"/>
  <c r="N14" i="20" s="1"/>
  <c r="I15" i="20"/>
  <c r="N15" i="20" s="1"/>
  <c r="I16" i="20"/>
  <c r="N16" i="20" s="1"/>
  <c r="I17" i="20"/>
  <c r="N17" i="20" s="1"/>
  <c r="I18" i="20"/>
  <c r="J18" i="20" s="1"/>
  <c r="I19" i="20"/>
  <c r="N19" i="20" s="1"/>
  <c r="I20" i="20"/>
  <c r="N20" i="20" s="1"/>
  <c r="I21" i="20"/>
  <c r="N21" i="20" s="1"/>
  <c r="I22" i="20"/>
  <c r="J22" i="20" s="1"/>
  <c r="I23" i="20"/>
  <c r="N23" i="20" s="1"/>
  <c r="I24" i="20"/>
  <c r="J24" i="20" s="1"/>
  <c r="I25" i="20"/>
  <c r="N25" i="20" s="1"/>
  <c r="I26" i="20"/>
  <c r="J26" i="20" s="1"/>
  <c r="I27" i="20"/>
  <c r="J27" i="20" s="1"/>
  <c r="I28" i="20"/>
  <c r="J28" i="20" s="1"/>
  <c r="I29" i="20"/>
  <c r="J29" i="20" s="1"/>
  <c r="I30" i="20"/>
  <c r="J30" i="20" s="1"/>
  <c r="I31" i="20"/>
  <c r="N31" i="20" s="1"/>
  <c r="I32" i="20"/>
  <c r="N32" i="20" s="1"/>
  <c r="I33" i="20"/>
  <c r="N33" i="20" s="1"/>
  <c r="I34" i="20"/>
  <c r="N34" i="20" s="1"/>
  <c r="I35" i="20"/>
  <c r="N35" i="20" s="1"/>
  <c r="I36" i="20"/>
  <c r="N36" i="20" s="1"/>
  <c r="I37" i="20"/>
  <c r="J37" i="20" s="1"/>
  <c r="I38" i="20"/>
  <c r="N38" i="20" s="1"/>
  <c r="I39" i="20"/>
  <c r="I40" i="20"/>
  <c r="J40" i="20" s="1"/>
  <c r="I41" i="20"/>
  <c r="J41" i="20" s="1"/>
  <c r="I42" i="20"/>
  <c r="J42" i="20" s="1"/>
  <c r="I43" i="20"/>
  <c r="J43" i="20" s="1"/>
  <c r="I44" i="20"/>
  <c r="J44" i="20" s="1"/>
  <c r="I45" i="20"/>
  <c r="N45" i="20" s="1"/>
  <c r="I46" i="20"/>
  <c r="J46" i="20" s="1"/>
  <c r="I47" i="20"/>
  <c r="J47" i="20" s="1"/>
  <c r="I48" i="20"/>
  <c r="J48" i="20" s="1"/>
  <c r="I49" i="20"/>
  <c r="J49" i="20" s="1"/>
  <c r="I50" i="20"/>
  <c r="J50" i="20" s="1"/>
  <c r="I51" i="20"/>
  <c r="J51" i="20" s="1"/>
  <c r="I52" i="20"/>
  <c r="J52" i="20" s="1"/>
  <c r="I53" i="20"/>
  <c r="J53" i="20" s="1"/>
  <c r="I54" i="20"/>
  <c r="J54" i="20" s="1"/>
  <c r="I55" i="20"/>
  <c r="J55" i="20" s="1"/>
  <c r="I56" i="20"/>
  <c r="J56" i="20" s="1"/>
  <c r="I57" i="20"/>
  <c r="J57" i="20" s="1"/>
  <c r="I58" i="20"/>
  <c r="N58" i="20" s="1"/>
  <c r="I59" i="20"/>
  <c r="J59" i="20" s="1"/>
  <c r="I60" i="20"/>
  <c r="J60" i="20" s="1"/>
  <c r="I61" i="20"/>
  <c r="J61" i="20" s="1"/>
  <c r="I62" i="20"/>
  <c r="J62" i="20" s="1"/>
  <c r="I63" i="20"/>
  <c r="J63" i="20" s="1"/>
  <c r="I64" i="20"/>
  <c r="J64" i="20" s="1"/>
  <c r="I65" i="20"/>
  <c r="J65" i="20" s="1"/>
  <c r="I66" i="20"/>
  <c r="J66" i="20" s="1"/>
  <c r="I67" i="20"/>
  <c r="J67" i="20" s="1"/>
  <c r="I68" i="20"/>
  <c r="J68" i="20" s="1"/>
  <c r="I69" i="20"/>
  <c r="N69" i="20" s="1"/>
  <c r="I70" i="20"/>
  <c r="J70" i="20" s="1"/>
  <c r="I71" i="20"/>
  <c r="N71" i="20" s="1"/>
  <c r="I72" i="20"/>
  <c r="J72" i="20" s="1"/>
  <c r="I73" i="20"/>
  <c r="N73" i="20" s="1"/>
  <c r="I74" i="20"/>
  <c r="J74" i="20" s="1"/>
  <c r="I75" i="20"/>
  <c r="J75" i="20" s="1"/>
  <c r="I76" i="20"/>
  <c r="J76" i="20" s="1"/>
  <c r="I77" i="20"/>
  <c r="N77" i="20" s="1"/>
  <c r="I78" i="20"/>
  <c r="N78" i="20" s="1"/>
  <c r="I79" i="20"/>
  <c r="J79" i="20" s="1"/>
  <c r="I80" i="20"/>
  <c r="N80" i="20" s="1"/>
  <c r="I81" i="20"/>
  <c r="J81" i="20" s="1"/>
  <c r="I82" i="20"/>
  <c r="J82" i="20" s="1"/>
  <c r="I83" i="20"/>
  <c r="J83" i="20" s="1"/>
  <c r="I84" i="20"/>
  <c r="N84" i="20" s="1"/>
  <c r="I85" i="20"/>
  <c r="N85" i="20" s="1"/>
  <c r="I86" i="20"/>
  <c r="J86" i="20" s="1"/>
  <c r="I87" i="20"/>
  <c r="N87" i="20" s="1"/>
  <c r="I88" i="20"/>
  <c r="N88" i="20" s="1"/>
  <c r="I89" i="20"/>
  <c r="J89" i="20" s="1"/>
  <c r="I90" i="20"/>
  <c r="J90" i="20" s="1"/>
  <c r="I91" i="20"/>
  <c r="N91" i="20" s="1"/>
  <c r="I92" i="20"/>
  <c r="N92" i="20" s="1"/>
  <c r="I93" i="20"/>
  <c r="J93" i="20" s="1"/>
  <c r="I94" i="20"/>
  <c r="J94" i="20" s="1"/>
  <c r="I95" i="20"/>
  <c r="J95" i="20" s="1"/>
  <c r="I96" i="20"/>
  <c r="J96" i="20" s="1"/>
  <c r="I97" i="20"/>
  <c r="N97" i="20" s="1"/>
  <c r="I98" i="20"/>
  <c r="N98" i="20" s="1"/>
  <c r="I99" i="20"/>
  <c r="N99" i="20" s="1"/>
  <c r="I100" i="20"/>
  <c r="J100" i="20" s="1"/>
  <c r="I101" i="20"/>
  <c r="N101" i="20" s="1"/>
  <c r="I102" i="20"/>
  <c r="N102" i="20" s="1"/>
  <c r="I103" i="20"/>
  <c r="N103" i="20" s="1"/>
  <c r="I104" i="20"/>
  <c r="J104" i="20" s="1"/>
  <c r="I105" i="20"/>
  <c r="N105" i="20" s="1"/>
  <c r="I106" i="20"/>
  <c r="J106" i="20" s="1"/>
  <c r="I107" i="20"/>
  <c r="J107" i="20" s="1"/>
  <c r="I108" i="20"/>
  <c r="J108" i="20" s="1"/>
  <c r="I109" i="20"/>
  <c r="N109" i="20" s="1"/>
  <c r="I110" i="20"/>
  <c r="N110" i="20" s="1"/>
  <c r="I111" i="20"/>
  <c r="J111" i="20" s="1"/>
  <c r="I112" i="20"/>
  <c r="J112" i="20" s="1"/>
  <c r="I113" i="20"/>
  <c r="N113" i="20" s="1"/>
  <c r="I114" i="20"/>
  <c r="J114" i="20" s="1"/>
  <c r="I115" i="20"/>
  <c r="J115" i="20" s="1"/>
  <c r="I116" i="20"/>
  <c r="J116" i="20" s="1"/>
  <c r="I117" i="20"/>
  <c r="J117" i="20" s="1"/>
  <c r="I118" i="20"/>
  <c r="N118" i="20" s="1"/>
  <c r="I119" i="20"/>
  <c r="J119" i="20" s="1"/>
  <c r="I120" i="20"/>
  <c r="J120" i="20" s="1"/>
  <c r="I121" i="20"/>
  <c r="J121" i="20" s="1"/>
  <c r="I122" i="20"/>
  <c r="J122" i="20" s="1"/>
  <c r="I123" i="20"/>
  <c r="J123" i="20" s="1"/>
  <c r="I124" i="20"/>
  <c r="N124" i="20" s="1"/>
  <c r="I125" i="20"/>
  <c r="J125" i="20" s="1"/>
  <c r="I126" i="20"/>
  <c r="J126" i="20" s="1"/>
  <c r="I127" i="20"/>
  <c r="J127" i="20" s="1"/>
  <c r="I128" i="20"/>
  <c r="J128" i="20" s="1"/>
  <c r="I129" i="20"/>
  <c r="J129" i="20" s="1"/>
  <c r="I130" i="20"/>
  <c r="J130" i="20" s="1"/>
  <c r="I131" i="20"/>
  <c r="J131" i="20" s="1"/>
  <c r="I132" i="20"/>
  <c r="J132" i="20" s="1"/>
  <c r="I133" i="20"/>
  <c r="J133" i="20" s="1"/>
  <c r="I3" i="20"/>
  <c r="J3" i="20" s="1"/>
  <c r="J12" i="20"/>
  <c r="J113" i="20" l="1"/>
  <c r="J36" i="20"/>
  <c r="J32" i="20"/>
  <c r="J8" i="20"/>
  <c r="J20" i="20"/>
  <c r="J16" i="20"/>
  <c r="J88" i="20"/>
  <c r="J92" i="20"/>
  <c r="J34" i="20"/>
  <c r="J80" i="20"/>
  <c r="J124" i="20"/>
  <c r="J109" i="20"/>
  <c r="J84" i="20"/>
  <c r="J77" i="20"/>
  <c r="J17" i="20"/>
  <c r="J101" i="20"/>
  <c r="J13" i="20"/>
  <c r="D138" i="20"/>
  <c r="J85" i="20"/>
  <c r="D139" i="20"/>
  <c r="D137" i="20"/>
  <c r="J73" i="20"/>
  <c r="J25" i="20"/>
  <c r="J97" i="20"/>
  <c r="J105" i="20"/>
  <c r="J33" i="20"/>
  <c r="J45" i="20"/>
  <c r="J69" i="20"/>
  <c r="J21" i="20"/>
  <c r="J14" i="20"/>
  <c r="J38" i="20"/>
  <c r="D140" i="20"/>
  <c r="J31" i="20"/>
  <c r="J39" i="20"/>
  <c r="J23" i="20"/>
  <c r="J102" i="20"/>
  <c r="J110" i="20"/>
  <c r="J35" i="20"/>
  <c r="J58" i="20"/>
  <c r="J103" i="20"/>
  <c r="N133" i="20"/>
  <c r="I134" i="20"/>
  <c r="J118" i="20"/>
  <c r="J78" i="20"/>
  <c r="J98" i="20"/>
  <c r="J71" i="20"/>
  <c r="J7" i="20"/>
  <c r="J15" i="20"/>
  <c r="J99" i="20"/>
  <c r="N130" i="20"/>
  <c r="N114" i="20"/>
  <c r="N74" i="20"/>
  <c r="N26" i="20"/>
  <c r="N22" i="20"/>
  <c r="J87" i="20"/>
  <c r="J11" i="20"/>
  <c r="J91" i="20"/>
  <c r="J19" i="20"/>
  <c r="D141" i="20" l="1"/>
  <c r="N134" i="20"/>
  <c r="P110" i="20" s="1"/>
  <c r="Q110" i="20" s="1"/>
  <c r="R110" i="20" s="1"/>
  <c r="P34" i="20" l="1"/>
  <c r="Q34" i="20" s="1"/>
  <c r="R34" i="20" s="1"/>
  <c r="P63" i="20"/>
  <c r="Q63" i="20" s="1"/>
  <c r="R63" i="20" s="1"/>
  <c r="P23" i="20"/>
  <c r="Q23" i="20" s="1"/>
  <c r="R23" i="20" s="1"/>
  <c r="P79" i="20"/>
  <c r="Q79" i="20" s="1"/>
  <c r="R79" i="20" s="1"/>
  <c r="P129" i="20"/>
  <c r="Q129" i="20" s="1"/>
  <c r="R129" i="20" s="1"/>
  <c r="P33" i="20"/>
  <c r="Q33" i="20" s="1"/>
  <c r="R33" i="20" s="1"/>
  <c r="P102" i="20"/>
  <c r="Q102" i="20" s="1"/>
  <c r="R102" i="20" s="1"/>
  <c r="P86" i="20"/>
  <c r="Q86" i="20" s="1"/>
  <c r="R86" i="20" s="1"/>
  <c r="P6" i="20"/>
  <c r="Q6" i="20" s="1"/>
  <c r="R6" i="20" s="1"/>
  <c r="P124" i="20"/>
  <c r="Q124" i="20" s="1"/>
  <c r="R124" i="20" s="1"/>
  <c r="P47" i="20"/>
  <c r="Q47" i="20" s="1"/>
  <c r="R47" i="20" s="1"/>
  <c r="P94" i="20"/>
  <c r="Q94" i="20" s="1"/>
  <c r="R94" i="20" s="1"/>
  <c r="P16" i="20"/>
  <c r="Q16" i="20" s="1"/>
  <c r="R16" i="20" s="1"/>
  <c r="P70" i="20"/>
  <c r="Q70" i="20" s="1"/>
  <c r="R70" i="20" s="1"/>
  <c r="P74" i="20"/>
  <c r="Q74" i="20" s="1"/>
  <c r="R74" i="20" s="1"/>
  <c r="P41" i="20"/>
  <c r="Q41" i="20" s="1"/>
  <c r="R41" i="20" s="1"/>
  <c r="P92" i="20"/>
  <c r="Q92" i="20" s="1"/>
  <c r="R92" i="20" s="1"/>
  <c r="P12" i="20"/>
  <c r="Q12" i="20" s="1"/>
  <c r="R12" i="20" s="1"/>
  <c r="P128" i="20"/>
  <c r="Q128" i="20" s="1"/>
  <c r="R128" i="20" s="1"/>
  <c r="P51" i="20"/>
  <c r="Q51" i="20" s="1"/>
  <c r="R51" i="20" s="1"/>
  <c r="P100" i="20"/>
  <c r="Q100" i="20" s="1"/>
  <c r="R100" i="20" s="1"/>
  <c r="P95" i="20"/>
  <c r="Q95" i="20" s="1"/>
  <c r="R95" i="20" s="1"/>
  <c r="P118" i="20"/>
  <c r="Q118" i="20" s="1"/>
  <c r="R118" i="20" s="1"/>
  <c r="P96" i="20"/>
  <c r="Q96" i="20" s="1"/>
  <c r="R96" i="20" s="1"/>
  <c r="P18" i="20"/>
  <c r="Q18" i="20" s="1"/>
  <c r="R18" i="20" s="1"/>
  <c r="P133" i="20"/>
  <c r="Q133" i="20" s="1"/>
  <c r="R133" i="20" s="1"/>
  <c r="P55" i="20"/>
  <c r="Q55" i="20" s="1"/>
  <c r="R55" i="20" s="1"/>
  <c r="P106" i="20"/>
  <c r="Q106" i="20" s="1"/>
  <c r="R106" i="20" s="1"/>
  <c r="P28" i="20"/>
  <c r="Q28" i="20" s="1"/>
  <c r="R28" i="20" s="1"/>
  <c r="P81" i="20"/>
  <c r="Q81" i="20" s="1"/>
  <c r="R81" i="20" s="1"/>
  <c r="P130" i="20"/>
  <c r="Q130" i="20" s="1"/>
  <c r="R130" i="20" s="1"/>
  <c r="P126" i="20"/>
  <c r="Q126" i="20" s="1"/>
  <c r="R126" i="20" s="1"/>
  <c r="P26" i="20"/>
  <c r="Q26" i="20" s="1"/>
  <c r="R26" i="20" s="1"/>
  <c r="P46" i="20"/>
  <c r="Q46" i="20" s="1"/>
  <c r="R46" i="20" s="1"/>
  <c r="P60" i="20"/>
  <c r="Q60" i="20" s="1"/>
  <c r="R60" i="20" s="1"/>
  <c r="P107" i="20"/>
  <c r="Q107" i="20" s="1"/>
  <c r="R107" i="20" s="1"/>
  <c r="P67" i="20"/>
  <c r="Q67" i="20" s="1"/>
  <c r="R67" i="20" s="1"/>
  <c r="P105" i="20"/>
  <c r="Q105" i="20" s="1"/>
  <c r="R105" i="20" s="1"/>
  <c r="P75" i="20"/>
  <c r="Q75" i="20" s="1"/>
  <c r="R75" i="20" s="1"/>
  <c r="P53" i="20"/>
  <c r="Q53" i="20" s="1"/>
  <c r="R53" i="20" s="1"/>
  <c r="P58" i="20"/>
  <c r="Q58" i="20" s="1"/>
  <c r="R58" i="20" s="1"/>
  <c r="P99" i="20"/>
  <c r="Q99" i="20" s="1"/>
  <c r="R99" i="20" s="1"/>
  <c r="P80" i="20"/>
  <c r="Q80" i="20" s="1"/>
  <c r="R80" i="20" s="1"/>
  <c r="P78" i="20"/>
  <c r="Q78" i="20" s="1"/>
  <c r="R78" i="20" s="1"/>
  <c r="P103" i="20"/>
  <c r="Q103" i="20" s="1"/>
  <c r="R103" i="20" s="1"/>
  <c r="P39" i="20"/>
  <c r="Q39" i="20" s="1"/>
  <c r="R39" i="20" s="1"/>
  <c r="P4" i="20"/>
  <c r="Q4" i="20" s="1"/>
  <c r="R4" i="20" s="1"/>
  <c r="P62" i="20"/>
  <c r="Q62" i="20" s="1"/>
  <c r="R62" i="20" s="1"/>
  <c r="P22" i="20"/>
  <c r="Q22" i="20" s="1"/>
  <c r="R22" i="20" s="1"/>
  <c r="P98" i="20"/>
  <c r="Q98" i="20" s="1"/>
  <c r="R98" i="20" s="1"/>
  <c r="P82" i="20"/>
  <c r="Q82" i="20" s="1"/>
  <c r="R82" i="20" s="1"/>
  <c r="P87" i="20"/>
  <c r="Q87" i="20" s="1"/>
  <c r="R87" i="20" s="1"/>
  <c r="P97" i="20"/>
  <c r="Q97" i="20" s="1"/>
  <c r="R97" i="20" s="1"/>
  <c r="P20" i="20"/>
  <c r="Q20" i="20" s="1"/>
  <c r="R20" i="20" s="1"/>
  <c r="P52" i="20"/>
  <c r="Q52" i="20" s="1"/>
  <c r="R52" i="20" s="1"/>
  <c r="P5" i="20"/>
  <c r="Q5" i="20" s="1"/>
  <c r="R5" i="20" s="1"/>
  <c r="P108" i="20"/>
  <c r="Q108" i="20" s="1"/>
  <c r="R108" i="20" s="1"/>
  <c r="P30" i="20"/>
  <c r="Q30" i="20" s="1"/>
  <c r="R30" i="20" s="1"/>
  <c r="P11" i="20"/>
  <c r="Q11" i="20" s="1"/>
  <c r="R11" i="20" s="1"/>
  <c r="P64" i="20"/>
  <c r="Q64" i="20" s="1"/>
  <c r="R64" i="20" s="1"/>
  <c r="P116" i="20"/>
  <c r="Q116" i="20" s="1"/>
  <c r="R116" i="20" s="1"/>
  <c r="P40" i="20"/>
  <c r="Q40" i="20" s="1"/>
  <c r="R40" i="20" s="1"/>
  <c r="P90" i="20"/>
  <c r="Q90" i="20" s="1"/>
  <c r="R90" i="20" s="1"/>
  <c r="P10" i="20"/>
  <c r="Q10" i="20" s="1"/>
  <c r="R10" i="20" s="1"/>
  <c r="P76" i="20"/>
  <c r="Q76" i="20" s="1"/>
  <c r="R76" i="20" s="1"/>
  <c r="P113" i="20"/>
  <c r="Q113" i="20" s="1"/>
  <c r="R113" i="20" s="1"/>
  <c r="P37" i="20"/>
  <c r="Q37" i="20" s="1"/>
  <c r="R37" i="20" s="1"/>
  <c r="P15" i="20"/>
  <c r="Q15" i="20" s="1"/>
  <c r="R15" i="20" s="1"/>
  <c r="P68" i="20"/>
  <c r="Q68" i="20" s="1"/>
  <c r="R68" i="20" s="1"/>
  <c r="P121" i="20"/>
  <c r="Q121" i="20" s="1"/>
  <c r="R121" i="20" s="1"/>
  <c r="P21" i="20"/>
  <c r="Q21" i="20" s="1"/>
  <c r="R21" i="20" s="1"/>
  <c r="P114" i="20"/>
  <c r="Q114" i="20" s="1"/>
  <c r="R114" i="20" s="1"/>
  <c r="P119" i="20"/>
  <c r="Q119" i="20" s="1"/>
  <c r="R119" i="20" s="1"/>
  <c r="P42" i="20"/>
  <c r="Q42" i="20" s="1"/>
  <c r="R42" i="20" s="1"/>
  <c r="P19" i="20"/>
  <c r="Q19" i="20" s="1"/>
  <c r="R19" i="20" s="1"/>
  <c r="P73" i="20"/>
  <c r="Q73" i="20" s="1"/>
  <c r="R73" i="20" s="1"/>
  <c r="P125" i="20"/>
  <c r="Q125" i="20" s="1"/>
  <c r="R125" i="20" s="1"/>
  <c r="P48" i="20"/>
  <c r="Q48" i="20" s="1"/>
  <c r="R48" i="20" s="1"/>
  <c r="P101" i="20"/>
  <c r="Q101" i="20" s="1"/>
  <c r="R101" i="20" s="1"/>
  <c r="P24" i="20"/>
  <c r="Q24" i="20" s="1"/>
  <c r="R24" i="20" s="1"/>
  <c r="P9" i="20"/>
  <c r="Q9" i="20" s="1"/>
  <c r="R9" i="20" s="1"/>
  <c r="P29" i="20"/>
  <c r="Q29" i="20" s="1"/>
  <c r="R29" i="20" s="1"/>
  <c r="P123" i="20"/>
  <c r="Q123" i="20" s="1"/>
  <c r="R123" i="20" s="1"/>
  <c r="P7" i="20"/>
  <c r="Q7" i="20" s="1"/>
  <c r="R7" i="20" s="1"/>
  <c r="P111" i="20"/>
  <c r="Q111" i="20" s="1"/>
  <c r="R111" i="20" s="1"/>
  <c r="P38" i="20"/>
  <c r="Q38" i="20" s="1"/>
  <c r="R38" i="20" s="1"/>
  <c r="P91" i="20"/>
  <c r="Q91" i="20" s="1"/>
  <c r="R91" i="20" s="1"/>
  <c r="P27" i="20"/>
  <c r="Q27" i="20" s="1"/>
  <c r="R27" i="20" s="1"/>
  <c r="P131" i="20"/>
  <c r="Q131" i="20" s="1"/>
  <c r="R131" i="20" s="1"/>
  <c r="P44" i="20"/>
  <c r="Q44" i="20" s="1"/>
  <c r="R44" i="20" s="1"/>
  <c r="P72" i="20"/>
  <c r="Q72" i="20" s="1"/>
  <c r="R72" i="20" s="1"/>
  <c r="P109" i="20"/>
  <c r="Q109" i="20" s="1"/>
  <c r="R109" i="20" s="1"/>
  <c r="P32" i="20"/>
  <c r="Q32" i="20" s="1"/>
  <c r="R32" i="20" s="1"/>
  <c r="P57" i="20"/>
  <c r="Q57" i="20" s="1"/>
  <c r="R57" i="20" s="1"/>
  <c r="P77" i="20"/>
  <c r="Q77" i="20" s="1"/>
  <c r="R77" i="20" s="1"/>
  <c r="P115" i="20"/>
  <c r="Q115" i="20" s="1"/>
  <c r="R115" i="20" s="1"/>
  <c r="P84" i="20"/>
  <c r="Q84" i="20" s="1"/>
  <c r="R84" i="20" s="1"/>
  <c r="P85" i="20"/>
  <c r="Q85" i="20" s="1"/>
  <c r="R85" i="20" s="1"/>
  <c r="P104" i="20"/>
  <c r="Q104" i="20" s="1"/>
  <c r="R104" i="20" s="1"/>
  <c r="P25" i="20"/>
  <c r="Q25" i="20" s="1"/>
  <c r="R25" i="20" s="1"/>
  <c r="P120" i="20"/>
  <c r="Q120" i="20" s="1"/>
  <c r="R120" i="20" s="1"/>
  <c r="P43" i="20"/>
  <c r="Q43" i="20" s="1"/>
  <c r="R43" i="20" s="1"/>
  <c r="P89" i="20"/>
  <c r="Q89" i="20" s="1"/>
  <c r="R89" i="20" s="1"/>
  <c r="P66" i="20"/>
  <c r="Q66" i="20" s="1"/>
  <c r="R66" i="20" s="1"/>
  <c r="P127" i="20"/>
  <c r="Q127" i="20" s="1"/>
  <c r="R127" i="20" s="1"/>
  <c r="P50" i="20"/>
  <c r="Q50" i="20" s="1"/>
  <c r="R50" i="20" s="1"/>
  <c r="P31" i="20"/>
  <c r="Q31" i="20" s="1"/>
  <c r="R31" i="20" s="1"/>
  <c r="P83" i="20"/>
  <c r="Q83" i="20" s="1"/>
  <c r="R83" i="20" s="1"/>
  <c r="P3" i="20"/>
  <c r="Q3" i="20" s="1"/>
  <c r="R3" i="20" s="1"/>
  <c r="P56" i="20"/>
  <c r="Q56" i="20" s="1"/>
  <c r="R56" i="20" s="1"/>
  <c r="P112" i="20"/>
  <c r="Q112" i="20" s="1"/>
  <c r="R112" i="20" s="1"/>
  <c r="P36" i="20"/>
  <c r="Q36" i="20" s="1"/>
  <c r="R36" i="20" s="1"/>
  <c r="P117" i="20"/>
  <c r="Q117" i="20" s="1"/>
  <c r="R117" i="20" s="1"/>
  <c r="P132" i="20"/>
  <c r="Q132" i="20" s="1"/>
  <c r="R132" i="20" s="1"/>
  <c r="P54" i="20"/>
  <c r="Q54" i="20" s="1"/>
  <c r="R54" i="20" s="1"/>
  <c r="P35" i="20"/>
  <c r="Q35" i="20" s="1"/>
  <c r="R35" i="20" s="1"/>
  <c r="P88" i="20"/>
  <c r="Q88" i="20" s="1"/>
  <c r="R88" i="20" s="1"/>
  <c r="P8" i="20"/>
  <c r="Q8" i="20" s="1"/>
  <c r="R8" i="20" s="1"/>
  <c r="P61" i="20"/>
  <c r="Q61" i="20" s="1"/>
  <c r="R61" i="20" s="1"/>
  <c r="P17" i="20"/>
  <c r="Q17" i="20" s="1"/>
  <c r="R17" i="20" s="1"/>
  <c r="P14" i="20"/>
  <c r="Q14" i="20" s="1"/>
  <c r="R14" i="20" s="1"/>
  <c r="P59" i="20"/>
  <c r="Q59" i="20" s="1"/>
  <c r="R59" i="20" s="1"/>
  <c r="P71" i="20"/>
  <c r="Q71" i="20" s="1"/>
  <c r="R71" i="20" s="1"/>
  <c r="P93" i="20"/>
  <c r="Q93" i="20" s="1"/>
  <c r="R93" i="20" s="1"/>
  <c r="P13" i="20"/>
  <c r="Q13" i="20" s="1"/>
  <c r="R13" i="20" s="1"/>
  <c r="P65" i="20"/>
  <c r="Q65" i="20" s="1"/>
  <c r="R65" i="20" s="1"/>
  <c r="P122" i="20"/>
  <c r="Q122" i="20" s="1"/>
  <c r="R122" i="20" s="1"/>
  <c r="P45" i="20"/>
  <c r="Q45" i="20" s="1"/>
  <c r="R45" i="20" s="1"/>
  <c r="P69" i="20"/>
  <c r="Q69" i="20" s="1"/>
  <c r="R69" i="20" s="1"/>
  <c r="P49" i="20"/>
  <c r="Q49" i="20" s="1"/>
  <c r="R49" i="20" s="1"/>
  <c r="U11" i="16" l="1"/>
  <c r="U7" i="16"/>
  <c r="E357" i="19"/>
  <c r="F357" i="19" s="1"/>
  <c r="G357" i="19" s="1"/>
  <c r="K3" i="19"/>
  <c r="K4" i="19" s="1"/>
  <c r="K5" i="19" s="1"/>
  <c r="K6" i="19" s="1"/>
  <c r="K7" i="19" s="1"/>
  <c r="K8" i="19" s="1"/>
  <c r="K9" i="19" s="1"/>
  <c r="K10" i="19" s="1"/>
  <c r="K11" i="19" s="1"/>
  <c r="K12" i="19" s="1"/>
  <c r="K13" i="19" s="1"/>
  <c r="K14" i="19" s="1"/>
  <c r="K15" i="19" s="1"/>
  <c r="K16" i="19" s="1"/>
  <c r="K17" i="19" s="1"/>
  <c r="K18" i="19" s="1"/>
  <c r="K19" i="19" s="1"/>
  <c r="K20" i="19" s="1"/>
  <c r="K21" i="19" s="1"/>
  <c r="K22" i="19" s="1"/>
  <c r="K23" i="19" s="1"/>
  <c r="K24" i="19" s="1"/>
  <c r="K25" i="19" s="1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K40" i="19" s="1"/>
  <c r="K41" i="19" s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 s="1"/>
  <c r="K65" i="19" s="1"/>
  <c r="K66" i="19" s="1"/>
  <c r="K67" i="19" s="1"/>
  <c r="K68" i="19" s="1"/>
  <c r="K69" i="19" s="1"/>
  <c r="K70" i="19" s="1"/>
  <c r="K71" i="19" s="1"/>
  <c r="K72" i="19" s="1"/>
  <c r="K73" i="19" s="1"/>
  <c r="K74" i="19" s="1"/>
  <c r="K75" i="19" s="1"/>
  <c r="K76" i="19" s="1"/>
  <c r="K77" i="19" s="1"/>
  <c r="K78" i="19" s="1"/>
  <c r="K79" i="19" s="1"/>
  <c r="K80" i="19" s="1"/>
  <c r="K81" i="19" s="1"/>
  <c r="K82" i="19" s="1"/>
  <c r="K83" i="19" s="1"/>
  <c r="K84" i="19" s="1"/>
  <c r="K85" i="19" s="1"/>
  <c r="K86" i="19" s="1"/>
  <c r="K87" i="19" s="1"/>
  <c r="K88" i="19" s="1"/>
  <c r="K89" i="19" s="1"/>
  <c r="K90" i="19" s="1"/>
  <c r="K91" i="19" s="1"/>
  <c r="K92" i="19" s="1"/>
  <c r="K93" i="19" s="1"/>
  <c r="K94" i="19" s="1"/>
  <c r="K95" i="19" s="1"/>
  <c r="K96" i="19" s="1"/>
  <c r="K97" i="19" s="1"/>
  <c r="K98" i="19" s="1"/>
  <c r="K99" i="19" s="1"/>
  <c r="K100" i="19" s="1"/>
  <c r="K101" i="19" s="1"/>
  <c r="K102" i="19" s="1"/>
  <c r="K103" i="19" s="1"/>
  <c r="K104" i="19" s="1"/>
  <c r="K105" i="19" s="1"/>
  <c r="K106" i="19" s="1"/>
  <c r="K107" i="19" s="1"/>
  <c r="K108" i="19" s="1"/>
  <c r="K109" i="19" s="1"/>
  <c r="K110" i="19" s="1"/>
  <c r="K111" i="19" s="1"/>
  <c r="K112" i="19" s="1"/>
  <c r="K113" i="19" s="1"/>
  <c r="K114" i="19" s="1"/>
  <c r="K115" i="19" s="1"/>
  <c r="K116" i="19" s="1"/>
  <c r="K117" i="19" s="1"/>
  <c r="K118" i="19" s="1"/>
  <c r="K119" i="19" s="1"/>
  <c r="K120" i="19" s="1"/>
  <c r="K121" i="19" s="1"/>
  <c r="K122" i="19" s="1"/>
  <c r="K123" i="19" s="1"/>
  <c r="K124" i="19" s="1"/>
  <c r="K125" i="19" s="1"/>
  <c r="K126" i="19" s="1"/>
  <c r="K127" i="19" s="1"/>
  <c r="K128" i="19" s="1"/>
  <c r="K129" i="19" s="1"/>
  <c r="K130" i="19" s="1"/>
  <c r="K131" i="19" s="1"/>
  <c r="K132" i="19" s="1"/>
  <c r="K133" i="19" s="1"/>
  <c r="K134" i="19" s="1"/>
  <c r="K135" i="19" s="1"/>
  <c r="K136" i="19" s="1"/>
  <c r="K137" i="19" s="1"/>
  <c r="K138" i="19" s="1"/>
  <c r="K139" i="19" s="1"/>
  <c r="K140" i="19" s="1"/>
  <c r="K141" i="19" s="1"/>
  <c r="K142" i="19" s="1"/>
  <c r="K143" i="19" s="1"/>
  <c r="K144" i="19" s="1"/>
  <c r="K145" i="19" s="1"/>
  <c r="K146" i="19" s="1"/>
  <c r="K147" i="19" s="1"/>
  <c r="K148" i="19" s="1"/>
  <c r="K149" i="19" s="1"/>
  <c r="K150" i="19" s="1"/>
  <c r="K151" i="19" s="1"/>
  <c r="K152" i="19" s="1"/>
  <c r="K153" i="19" s="1"/>
  <c r="K154" i="19" s="1"/>
  <c r="K155" i="19" s="1"/>
  <c r="K156" i="19" s="1"/>
  <c r="K157" i="19" s="1"/>
  <c r="K158" i="19" s="1"/>
  <c r="K159" i="19" s="1"/>
  <c r="K160" i="19" s="1"/>
  <c r="K161" i="19" s="1"/>
  <c r="K162" i="19" s="1"/>
  <c r="K163" i="19" s="1"/>
  <c r="K164" i="19" s="1"/>
  <c r="K165" i="19" s="1"/>
  <c r="K166" i="19" s="1"/>
  <c r="K167" i="19" s="1"/>
  <c r="K168" i="19" s="1"/>
  <c r="K169" i="19" s="1"/>
  <c r="K170" i="19" s="1"/>
  <c r="K171" i="19" s="1"/>
  <c r="K172" i="19" s="1"/>
  <c r="K173" i="19" s="1"/>
  <c r="K174" i="19" s="1"/>
  <c r="K175" i="19" s="1"/>
  <c r="K176" i="19" s="1"/>
  <c r="K177" i="19" s="1"/>
  <c r="K178" i="19" s="1"/>
  <c r="K179" i="19" s="1"/>
  <c r="K180" i="19" s="1"/>
  <c r="K181" i="19" s="1"/>
  <c r="K182" i="19" s="1"/>
  <c r="K183" i="19" s="1"/>
  <c r="K184" i="19" s="1"/>
  <c r="K185" i="19" s="1"/>
  <c r="K186" i="19" s="1"/>
  <c r="K187" i="19" s="1"/>
  <c r="K188" i="19" s="1"/>
  <c r="K189" i="19" s="1"/>
  <c r="K190" i="19" s="1"/>
  <c r="K191" i="19" s="1"/>
  <c r="K192" i="19" s="1"/>
  <c r="K193" i="19" s="1"/>
  <c r="K194" i="19" s="1"/>
  <c r="K195" i="19" s="1"/>
  <c r="K196" i="19" s="1"/>
  <c r="K197" i="19" s="1"/>
  <c r="K198" i="19" s="1"/>
  <c r="K199" i="19" s="1"/>
  <c r="K200" i="19" s="1"/>
  <c r="K201" i="19" s="1"/>
  <c r="K202" i="19" s="1"/>
  <c r="K203" i="19" s="1"/>
  <c r="K204" i="19" s="1"/>
  <c r="K205" i="19" s="1"/>
  <c r="K206" i="19" s="1"/>
  <c r="K207" i="19" s="1"/>
  <c r="K208" i="19" s="1"/>
  <c r="K209" i="19" s="1"/>
  <c r="K210" i="19" s="1"/>
  <c r="K211" i="19" s="1"/>
  <c r="K212" i="19" s="1"/>
  <c r="K213" i="19" s="1"/>
  <c r="K214" i="19" s="1"/>
  <c r="K215" i="19" s="1"/>
  <c r="K216" i="19" s="1"/>
  <c r="K217" i="19" s="1"/>
  <c r="K218" i="19" s="1"/>
  <c r="K219" i="19" s="1"/>
  <c r="K220" i="19" s="1"/>
  <c r="K221" i="19" s="1"/>
  <c r="K222" i="19" s="1"/>
  <c r="K223" i="19" s="1"/>
  <c r="K224" i="19" s="1"/>
  <c r="K225" i="19" s="1"/>
  <c r="K226" i="19" s="1"/>
  <c r="K227" i="19" s="1"/>
  <c r="K228" i="19" s="1"/>
  <c r="K229" i="19" s="1"/>
  <c r="K230" i="19" s="1"/>
  <c r="K231" i="19" s="1"/>
  <c r="K232" i="19" s="1"/>
  <c r="K233" i="19" s="1"/>
  <c r="K234" i="19" s="1"/>
  <c r="K235" i="19" s="1"/>
  <c r="K236" i="19" s="1"/>
  <c r="K237" i="19" s="1"/>
  <c r="K238" i="19" s="1"/>
  <c r="K239" i="19" s="1"/>
  <c r="K240" i="19" s="1"/>
  <c r="K241" i="19" s="1"/>
  <c r="K242" i="19" s="1"/>
  <c r="K243" i="19" s="1"/>
  <c r="K244" i="19" s="1"/>
  <c r="K245" i="19" s="1"/>
  <c r="K246" i="19" s="1"/>
  <c r="K247" i="19" s="1"/>
  <c r="K248" i="19" s="1"/>
  <c r="K249" i="19" s="1"/>
  <c r="K250" i="19" s="1"/>
  <c r="K251" i="19" s="1"/>
  <c r="K252" i="19" s="1"/>
  <c r="K253" i="19" s="1"/>
  <c r="K254" i="19" s="1"/>
  <c r="K255" i="19" s="1"/>
  <c r="K256" i="19" s="1"/>
  <c r="K257" i="19" s="1"/>
  <c r="K258" i="19" s="1"/>
  <c r="K259" i="19" s="1"/>
  <c r="K260" i="19" s="1"/>
  <c r="K261" i="19" s="1"/>
  <c r="K262" i="19" s="1"/>
  <c r="K263" i="19" s="1"/>
  <c r="K264" i="19" s="1"/>
  <c r="K265" i="19" s="1"/>
  <c r="K266" i="19" s="1"/>
  <c r="K267" i="19" s="1"/>
  <c r="K268" i="19" s="1"/>
  <c r="K269" i="19" s="1"/>
  <c r="K270" i="19" s="1"/>
  <c r="K271" i="19" s="1"/>
  <c r="K272" i="19" s="1"/>
  <c r="K273" i="19" s="1"/>
  <c r="K274" i="19" s="1"/>
  <c r="K275" i="19" s="1"/>
  <c r="K276" i="19" s="1"/>
  <c r="K277" i="19" s="1"/>
  <c r="K278" i="19" s="1"/>
  <c r="K279" i="19" s="1"/>
  <c r="K280" i="19" s="1"/>
  <c r="K281" i="19" s="1"/>
  <c r="K282" i="19" s="1"/>
  <c r="K283" i="19" s="1"/>
  <c r="K284" i="19" s="1"/>
  <c r="K285" i="19" s="1"/>
  <c r="K286" i="19" s="1"/>
  <c r="K287" i="19" s="1"/>
  <c r="K288" i="19" s="1"/>
  <c r="K289" i="19" s="1"/>
  <c r="K290" i="19" s="1"/>
  <c r="K291" i="19" s="1"/>
  <c r="K292" i="19" s="1"/>
  <c r="K293" i="19" s="1"/>
  <c r="K294" i="19" s="1"/>
  <c r="K295" i="19" s="1"/>
  <c r="K296" i="19" s="1"/>
  <c r="K297" i="19" s="1"/>
  <c r="K298" i="19" s="1"/>
  <c r="K299" i="19" s="1"/>
  <c r="K300" i="19" s="1"/>
  <c r="K301" i="19" s="1"/>
  <c r="K302" i="19" s="1"/>
  <c r="K303" i="19" s="1"/>
  <c r="K304" i="19" s="1"/>
  <c r="K305" i="19" s="1"/>
  <c r="K306" i="19" s="1"/>
  <c r="K307" i="19" s="1"/>
  <c r="K308" i="19" s="1"/>
  <c r="K309" i="19" s="1"/>
  <c r="K310" i="19" s="1"/>
  <c r="K311" i="19" s="1"/>
  <c r="K312" i="19" s="1"/>
  <c r="K313" i="19" s="1"/>
  <c r="K314" i="19" s="1"/>
  <c r="K315" i="19" s="1"/>
  <c r="K316" i="19" s="1"/>
  <c r="K317" i="19" s="1"/>
  <c r="K318" i="19" s="1"/>
  <c r="K319" i="19" s="1"/>
  <c r="K320" i="19" s="1"/>
  <c r="K321" i="19" s="1"/>
  <c r="K322" i="19" s="1"/>
  <c r="K323" i="19" s="1"/>
  <c r="K324" i="19" s="1"/>
  <c r="K325" i="19" s="1"/>
  <c r="K326" i="19" s="1"/>
  <c r="K327" i="19" s="1"/>
  <c r="K328" i="19" s="1"/>
  <c r="K329" i="19" s="1"/>
  <c r="K330" i="19" s="1"/>
  <c r="K331" i="19" s="1"/>
  <c r="K332" i="19" s="1"/>
  <c r="K333" i="19" s="1"/>
  <c r="K334" i="19" s="1"/>
  <c r="K335" i="19" s="1"/>
  <c r="K336" i="19" s="1"/>
  <c r="K337" i="19" s="1"/>
  <c r="K338" i="19" s="1"/>
  <c r="K339" i="19" s="1"/>
  <c r="K340" i="19" s="1"/>
  <c r="K341" i="19" s="1"/>
  <c r="K342" i="19" s="1"/>
  <c r="K343" i="19" s="1"/>
  <c r="K344" i="19" s="1"/>
  <c r="K345" i="19" s="1"/>
  <c r="L3" i="19"/>
  <c r="L4" i="19" s="1"/>
  <c r="L5" i="19" s="1"/>
  <c r="L6" i="19" s="1"/>
  <c r="L7" i="19" s="1"/>
  <c r="L8" i="19" s="1"/>
  <c r="L9" i="19" s="1"/>
  <c r="L10" i="19" s="1"/>
  <c r="L11" i="19" s="1"/>
  <c r="L12" i="19" s="1"/>
  <c r="L13" i="19" s="1"/>
  <c r="L14" i="19" s="1"/>
  <c r="L15" i="19" s="1"/>
  <c r="L16" i="19" s="1"/>
  <c r="L17" i="19" s="1"/>
  <c r="L18" i="19" s="1"/>
  <c r="L19" i="19" s="1"/>
  <c r="L20" i="19" s="1"/>
  <c r="L21" i="19" s="1"/>
  <c r="L22" i="19" s="1"/>
  <c r="L23" i="19" s="1"/>
  <c r="L24" i="19" s="1"/>
  <c r="L25" i="19" s="1"/>
  <c r="L26" i="19" s="1"/>
  <c r="L27" i="19" s="1"/>
  <c r="L28" i="19" s="1"/>
  <c r="L29" i="19" s="1"/>
  <c r="L30" i="19" s="1"/>
  <c r="L31" i="19" s="1"/>
  <c r="L32" i="19" s="1"/>
  <c r="L33" i="19" s="1"/>
  <c r="L34" i="19" s="1"/>
  <c r="L35" i="19" s="1"/>
  <c r="L36" i="19" s="1"/>
  <c r="L37" i="19" s="1"/>
  <c r="L38" i="19" s="1"/>
  <c r="L39" i="19" s="1"/>
  <c r="L40" i="19" s="1"/>
  <c r="L41" i="19" s="1"/>
  <c r="L42" i="19" s="1"/>
  <c r="L43" i="19" s="1"/>
  <c r="L44" i="19" s="1"/>
  <c r="L45" i="19" s="1"/>
  <c r="L46" i="19" s="1"/>
  <c r="L47" i="19" s="1"/>
  <c r="L48" i="19" s="1"/>
  <c r="L49" i="19" s="1"/>
  <c r="L50" i="19" s="1"/>
  <c r="L51" i="19" s="1"/>
  <c r="L52" i="19" s="1"/>
  <c r="L53" i="19" s="1"/>
  <c r="L54" i="19" s="1"/>
  <c r="L55" i="19" s="1"/>
  <c r="L56" i="19" s="1"/>
  <c r="L57" i="19" s="1"/>
  <c r="L58" i="19" s="1"/>
  <c r="L59" i="19" s="1"/>
  <c r="L60" i="19" s="1"/>
  <c r="L61" i="19" s="1"/>
  <c r="L62" i="19" s="1"/>
  <c r="L63" i="19" s="1"/>
  <c r="L64" i="19" s="1"/>
  <c r="L65" i="19" s="1"/>
  <c r="L66" i="19" s="1"/>
  <c r="L67" i="19" s="1"/>
  <c r="L68" i="19" s="1"/>
  <c r="L69" i="19" s="1"/>
  <c r="L70" i="19" s="1"/>
  <c r="L71" i="19" s="1"/>
  <c r="L72" i="19" s="1"/>
  <c r="L73" i="19" s="1"/>
  <c r="L74" i="19" s="1"/>
  <c r="L75" i="19" s="1"/>
  <c r="L76" i="19" s="1"/>
  <c r="L77" i="19" s="1"/>
  <c r="L78" i="19" s="1"/>
  <c r="L79" i="19" s="1"/>
  <c r="L80" i="19" s="1"/>
  <c r="L81" i="19" s="1"/>
  <c r="L82" i="19" s="1"/>
  <c r="L83" i="19" s="1"/>
  <c r="L84" i="19" s="1"/>
  <c r="L85" i="19" s="1"/>
  <c r="L86" i="19" s="1"/>
  <c r="L87" i="19" s="1"/>
  <c r="L88" i="19" s="1"/>
  <c r="L89" i="19" s="1"/>
  <c r="L90" i="19" s="1"/>
  <c r="L91" i="19" s="1"/>
  <c r="L92" i="19" s="1"/>
  <c r="L93" i="19" s="1"/>
  <c r="L94" i="19" s="1"/>
  <c r="L95" i="19" s="1"/>
  <c r="L96" i="19" s="1"/>
  <c r="L97" i="19" s="1"/>
  <c r="L98" i="19" s="1"/>
  <c r="L99" i="19" s="1"/>
  <c r="L100" i="19" s="1"/>
  <c r="L101" i="19" s="1"/>
  <c r="L102" i="19" s="1"/>
  <c r="L103" i="19" s="1"/>
  <c r="L104" i="19" s="1"/>
  <c r="L105" i="19" s="1"/>
  <c r="L106" i="19" s="1"/>
  <c r="L107" i="19" s="1"/>
  <c r="L108" i="19" s="1"/>
  <c r="L109" i="19" s="1"/>
  <c r="L110" i="19" s="1"/>
  <c r="L111" i="19" s="1"/>
  <c r="L112" i="19" s="1"/>
  <c r="L113" i="19" s="1"/>
  <c r="L114" i="19" s="1"/>
  <c r="L115" i="19" s="1"/>
  <c r="L116" i="19" s="1"/>
  <c r="L117" i="19" s="1"/>
  <c r="L118" i="19" s="1"/>
  <c r="L119" i="19" s="1"/>
  <c r="L120" i="19" s="1"/>
  <c r="L121" i="19" s="1"/>
  <c r="L122" i="19" s="1"/>
  <c r="L123" i="19" s="1"/>
  <c r="L124" i="19" s="1"/>
  <c r="L125" i="19" s="1"/>
  <c r="L126" i="19" s="1"/>
  <c r="L127" i="19" s="1"/>
  <c r="L128" i="19" s="1"/>
  <c r="L129" i="19" s="1"/>
  <c r="L130" i="19" s="1"/>
  <c r="L131" i="19" s="1"/>
  <c r="L132" i="19" s="1"/>
  <c r="L133" i="19" s="1"/>
  <c r="L134" i="19" s="1"/>
  <c r="L135" i="19" s="1"/>
  <c r="L136" i="19" s="1"/>
  <c r="L137" i="19" s="1"/>
  <c r="L138" i="19" s="1"/>
  <c r="L139" i="19" s="1"/>
  <c r="L140" i="19" s="1"/>
  <c r="L141" i="19" s="1"/>
  <c r="L142" i="19" s="1"/>
  <c r="L143" i="19" s="1"/>
  <c r="L144" i="19" s="1"/>
  <c r="L145" i="19" s="1"/>
  <c r="L146" i="19" s="1"/>
  <c r="L147" i="19" s="1"/>
  <c r="L148" i="19" s="1"/>
  <c r="L149" i="19" s="1"/>
  <c r="L150" i="19" s="1"/>
  <c r="L151" i="19" s="1"/>
  <c r="L152" i="19" s="1"/>
  <c r="L153" i="19" s="1"/>
  <c r="L154" i="19" s="1"/>
  <c r="L155" i="19" s="1"/>
  <c r="L156" i="19" s="1"/>
  <c r="L157" i="19" s="1"/>
  <c r="L158" i="19" s="1"/>
  <c r="L159" i="19" s="1"/>
  <c r="L160" i="19" s="1"/>
  <c r="L161" i="19" s="1"/>
  <c r="L162" i="19" s="1"/>
  <c r="L163" i="19" s="1"/>
  <c r="L164" i="19" s="1"/>
  <c r="L165" i="19" s="1"/>
  <c r="L166" i="19" s="1"/>
  <c r="L167" i="19" s="1"/>
  <c r="L168" i="19" s="1"/>
  <c r="L169" i="19" s="1"/>
  <c r="L170" i="19" s="1"/>
  <c r="L171" i="19" s="1"/>
  <c r="L172" i="19" s="1"/>
  <c r="L173" i="19" s="1"/>
  <c r="L174" i="19" s="1"/>
  <c r="L175" i="19" s="1"/>
  <c r="L176" i="19" s="1"/>
  <c r="L177" i="19" s="1"/>
  <c r="L178" i="19" s="1"/>
  <c r="L179" i="19" s="1"/>
  <c r="L180" i="19" s="1"/>
  <c r="L181" i="19" s="1"/>
  <c r="L182" i="19" s="1"/>
  <c r="L183" i="19" s="1"/>
  <c r="L184" i="19" s="1"/>
  <c r="L185" i="19" s="1"/>
  <c r="L186" i="19" s="1"/>
  <c r="L187" i="19" s="1"/>
  <c r="L188" i="19" s="1"/>
  <c r="L189" i="19" s="1"/>
  <c r="L190" i="19" s="1"/>
  <c r="L191" i="19" s="1"/>
  <c r="L192" i="19" s="1"/>
  <c r="L193" i="19" s="1"/>
  <c r="L194" i="19" s="1"/>
  <c r="L195" i="19" s="1"/>
  <c r="L196" i="19" s="1"/>
  <c r="L197" i="19" s="1"/>
  <c r="L198" i="19" s="1"/>
  <c r="L199" i="19" s="1"/>
  <c r="L200" i="19" s="1"/>
  <c r="L201" i="19" s="1"/>
  <c r="L202" i="19" s="1"/>
  <c r="L203" i="19" s="1"/>
  <c r="L204" i="19" s="1"/>
  <c r="L205" i="19" s="1"/>
  <c r="L206" i="19" s="1"/>
  <c r="L207" i="19" s="1"/>
  <c r="L208" i="19" s="1"/>
  <c r="L209" i="19" s="1"/>
  <c r="L210" i="19" s="1"/>
  <c r="L211" i="19" s="1"/>
  <c r="L212" i="19" s="1"/>
  <c r="L213" i="19" s="1"/>
  <c r="L214" i="19" s="1"/>
  <c r="L215" i="19" s="1"/>
  <c r="L216" i="19" s="1"/>
  <c r="L217" i="19" s="1"/>
  <c r="L218" i="19" s="1"/>
  <c r="L219" i="19" s="1"/>
  <c r="L220" i="19" s="1"/>
  <c r="L221" i="19" s="1"/>
  <c r="L222" i="19" s="1"/>
  <c r="L223" i="19" s="1"/>
  <c r="L224" i="19" s="1"/>
  <c r="L225" i="19" s="1"/>
  <c r="L226" i="19" s="1"/>
  <c r="L227" i="19" s="1"/>
  <c r="L228" i="19" s="1"/>
  <c r="L229" i="19" s="1"/>
  <c r="L230" i="19" s="1"/>
  <c r="L231" i="19" s="1"/>
  <c r="L232" i="19" s="1"/>
  <c r="L233" i="19" s="1"/>
  <c r="L234" i="19" s="1"/>
  <c r="L235" i="19" s="1"/>
  <c r="L236" i="19" s="1"/>
  <c r="L237" i="19" s="1"/>
  <c r="L238" i="19" s="1"/>
  <c r="L239" i="19" s="1"/>
  <c r="L240" i="19" s="1"/>
  <c r="L241" i="19" s="1"/>
  <c r="L242" i="19" s="1"/>
  <c r="L243" i="19" s="1"/>
  <c r="L244" i="19" s="1"/>
  <c r="L245" i="19" s="1"/>
  <c r="L246" i="19" s="1"/>
  <c r="L247" i="19" s="1"/>
  <c r="L248" i="19" s="1"/>
  <c r="L249" i="19" s="1"/>
  <c r="L250" i="19" s="1"/>
  <c r="L251" i="19" s="1"/>
  <c r="L252" i="19" s="1"/>
  <c r="L253" i="19" s="1"/>
  <c r="L254" i="19" s="1"/>
  <c r="L255" i="19" s="1"/>
  <c r="L256" i="19" s="1"/>
  <c r="L257" i="19" s="1"/>
  <c r="L258" i="19" s="1"/>
  <c r="L259" i="19" s="1"/>
  <c r="L260" i="19" s="1"/>
  <c r="L261" i="19" s="1"/>
  <c r="L262" i="19" s="1"/>
  <c r="L263" i="19" s="1"/>
  <c r="L264" i="19" s="1"/>
  <c r="L265" i="19" s="1"/>
  <c r="L266" i="19" s="1"/>
  <c r="L267" i="19" s="1"/>
  <c r="L268" i="19" s="1"/>
  <c r="L269" i="19" s="1"/>
  <c r="L270" i="19" s="1"/>
  <c r="L271" i="19" s="1"/>
  <c r="L272" i="19" s="1"/>
  <c r="L273" i="19" s="1"/>
  <c r="L274" i="19" s="1"/>
  <c r="L275" i="19" s="1"/>
  <c r="L276" i="19" s="1"/>
  <c r="L277" i="19" s="1"/>
  <c r="L278" i="19" s="1"/>
  <c r="L279" i="19" s="1"/>
  <c r="L280" i="19" s="1"/>
  <c r="L281" i="19" s="1"/>
  <c r="L282" i="19" s="1"/>
  <c r="L283" i="19" s="1"/>
  <c r="L284" i="19" s="1"/>
  <c r="L285" i="19" s="1"/>
  <c r="L286" i="19" s="1"/>
  <c r="L287" i="19" s="1"/>
  <c r="L288" i="19" s="1"/>
  <c r="L289" i="19" s="1"/>
  <c r="L290" i="19" s="1"/>
  <c r="L291" i="19" s="1"/>
  <c r="L292" i="19" s="1"/>
  <c r="L293" i="19" s="1"/>
  <c r="L294" i="19" s="1"/>
  <c r="L295" i="19" s="1"/>
  <c r="L296" i="19" s="1"/>
  <c r="L297" i="19" s="1"/>
  <c r="L298" i="19" s="1"/>
  <c r="L299" i="19" s="1"/>
  <c r="L300" i="19" s="1"/>
  <c r="L301" i="19" s="1"/>
  <c r="L302" i="19" s="1"/>
  <c r="L303" i="19" s="1"/>
  <c r="L304" i="19" s="1"/>
  <c r="L305" i="19" s="1"/>
  <c r="L306" i="19" s="1"/>
  <c r="L307" i="19" s="1"/>
  <c r="L308" i="19" s="1"/>
  <c r="L309" i="19" s="1"/>
  <c r="L310" i="19" s="1"/>
  <c r="L311" i="19" s="1"/>
  <c r="L312" i="19" s="1"/>
  <c r="L313" i="19" s="1"/>
  <c r="L314" i="19" s="1"/>
  <c r="L315" i="19" s="1"/>
  <c r="L316" i="19" s="1"/>
  <c r="L317" i="19" s="1"/>
  <c r="L318" i="19" s="1"/>
  <c r="L319" i="19" s="1"/>
  <c r="L320" i="19" s="1"/>
  <c r="L321" i="19" s="1"/>
  <c r="L322" i="19" s="1"/>
  <c r="L323" i="19" s="1"/>
  <c r="L324" i="19" s="1"/>
  <c r="L325" i="19" s="1"/>
  <c r="L326" i="19" s="1"/>
  <c r="L327" i="19" s="1"/>
  <c r="L328" i="19" s="1"/>
  <c r="L329" i="19" s="1"/>
  <c r="L330" i="19" s="1"/>
  <c r="L331" i="19" s="1"/>
  <c r="L332" i="19" s="1"/>
  <c r="L333" i="19" s="1"/>
  <c r="L334" i="19" s="1"/>
  <c r="L335" i="19" s="1"/>
  <c r="L336" i="19" s="1"/>
  <c r="L337" i="19" s="1"/>
  <c r="L338" i="19" s="1"/>
  <c r="L339" i="19" s="1"/>
  <c r="L340" i="19" s="1"/>
  <c r="L341" i="19" s="1"/>
  <c r="L342" i="19" s="1"/>
  <c r="L343" i="19" s="1"/>
  <c r="L344" i="19" s="1"/>
  <c r="L345" i="19" s="1"/>
  <c r="M3" i="19"/>
  <c r="M4" i="19" s="1"/>
  <c r="M5" i="19" s="1"/>
  <c r="M6" i="19" s="1"/>
  <c r="M7" i="19" s="1"/>
  <c r="M8" i="19" s="1"/>
  <c r="M9" i="19" s="1"/>
  <c r="M10" i="19" s="1"/>
  <c r="M11" i="19" s="1"/>
  <c r="M12" i="19" s="1"/>
  <c r="M13" i="19" s="1"/>
  <c r="M14" i="19" s="1"/>
  <c r="M15" i="19" s="1"/>
  <c r="M16" i="19" s="1"/>
  <c r="M17" i="19" s="1"/>
  <c r="M18" i="19" s="1"/>
  <c r="M19" i="19" s="1"/>
  <c r="M20" i="19" s="1"/>
  <c r="M21" i="19" s="1"/>
  <c r="M22" i="19" s="1"/>
  <c r="M23" i="19" s="1"/>
  <c r="M24" i="19" s="1"/>
  <c r="M25" i="19" s="1"/>
  <c r="M26" i="19" s="1"/>
  <c r="M27" i="19" s="1"/>
  <c r="M28" i="19" s="1"/>
  <c r="M29" i="19" s="1"/>
  <c r="M30" i="19" s="1"/>
  <c r="M31" i="19" s="1"/>
  <c r="M32" i="19" s="1"/>
  <c r="M33" i="19" s="1"/>
  <c r="M34" i="19" s="1"/>
  <c r="M35" i="19" s="1"/>
  <c r="M36" i="19" s="1"/>
  <c r="M37" i="19" s="1"/>
  <c r="M38" i="19" s="1"/>
  <c r="M39" i="19" s="1"/>
  <c r="M40" i="19" s="1"/>
  <c r="M41" i="19" s="1"/>
  <c r="M42" i="19" s="1"/>
  <c r="M43" i="19" s="1"/>
  <c r="M44" i="19" s="1"/>
  <c r="M45" i="19" s="1"/>
  <c r="M46" i="19" s="1"/>
  <c r="M47" i="19" s="1"/>
  <c r="M48" i="19" s="1"/>
  <c r="M49" i="19" s="1"/>
  <c r="M50" i="19" s="1"/>
  <c r="M51" i="19" s="1"/>
  <c r="M52" i="19" s="1"/>
  <c r="M53" i="19" s="1"/>
  <c r="M54" i="19" s="1"/>
  <c r="M55" i="19" s="1"/>
  <c r="M56" i="19" s="1"/>
  <c r="M57" i="19" s="1"/>
  <c r="M58" i="19" s="1"/>
  <c r="M59" i="19" s="1"/>
  <c r="M60" i="19" s="1"/>
  <c r="M61" i="19" s="1"/>
  <c r="M62" i="19" s="1"/>
  <c r="M63" i="19" s="1"/>
  <c r="M64" i="19" s="1"/>
  <c r="M65" i="19" s="1"/>
  <c r="M66" i="19" s="1"/>
  <c r="M67" i="19" s="1"/>
  <c r="M68" i="19" s="1"/>
  <c r="M69" i="19" s="1"/>
  <c r="M70" i="19" s="1"/>
  <c r="M71" i="19" s="1"/>
  <c r="M72" i="19" s="1"/>
  <c r="M73" i="19" s="1"/>
  <c r="M74" i="19" s="1"/>
  <c r="M75" i="19" s="1"/>
  <c r="M76" i="19" s="1"/>
  <c r="M77" i="19" s="1"/>
  <c r="M78" i="19" s="1"/>
  <c r="M79" i="19" s="1"/>
  <c r="M80" i="19" s="1"/>
  <c r="M81" i="19" s="1"/>
  <c r="M82" i="19" s="1"/>
  <c r="M83" i="19" s="1"/>
  <c r="M84" i="19" s="1"/>
  <c r="M85" i="19" s="1"/>
  <c r="M86" i="19" s="1"/>
  <c r="M87" i="19" s="1"/>
  <c r="M88" i="19" s="1"/>
  <c r="M89" i="19" s="1"/>
  <c r="M90" i="19" s="1"/>
  <c r="M91" i="19" s="1"/>
  <c r="M92" i="19" s="1"/>
  <c r="M93" i="19" s="1"/>
  <c r="M94" i="19" s="1"/>
  <c r="M95" i="19" s="1"/>
  <c r="M96" i="19" s="1"/>
  <c r="M97" i="19" s="1"/>
  <c r="M98" i="19" s="1"/>
  <c r="M99" i="19" s="1"/>
  <c r="M100" i="19" s="1"/>
  <c r="M101" i="19" s="1"/>
  <c r="M102" i="19" s="1"/>
  <c r="M103" i="19" s="1"/>
  <c r="M104" i="19" s="1"/>
  <c r="M105" i="19" s="1"/>
  <c r="M106" i="19" s="1"/>
  <c r="M107" i="19" s="1"/>
  <c r="M108" i="19" s="1"/>
  <c r="M109" i="19" s="1"/>
  <c r="M110" i="19" s="1"/>
  <c r="M111" i="19" s="1"/>
  <c r="M112" i="19" s="1"/>
  <c r="M113" i="19" s="1"/>
  <c r="M114" i="19" s="1"/>
  <c r="M115" i="19" s="1"/>
  <c r="M116" i="19" s="1"/>
  <c r="M117" i="19" s="1"/>
  <c r="M118" i="19" s="1"/>
  <c r="M119" i="19" s="1"/>
  <c r="M120" i="19" s="1"/>
  <c r="M121" i="19" s="1"/>
  <c r="M122" i="19" s="1"/>
  <c r="M123" i="19" s="1"/>
  <c r="M124" i="19" s="1"/>
  <c r="M125" i="19" s="1"/>
  <c r="M126" i="19" s="1"/>
  <c r="M127" i="19" s="1"/>
  <c r="M128" i="19" s="1"/>
  <c r="M129" i="19" s="1"/>
  <c r="M130" i="19" s="1"/>
  <c r="M131" i="19" s="1"/>
  <c r="M132" i="19" s="1"/>
  <c r="M133" i="19" s="1"/>
  <c r="M134" i="19" s="1"/>
  <c r="M135" i="19" s="1"/>
  <c r="M136" i="19" s="1"/>
  <c r="M137" i="19" s="1"/>
  <c r="M138" i="19" s="1"/>
  <c r="M139" i="19" s="1"/>
  <c r="M140" i="19" s="1"/>
  <c r="M141" i="19" s="1"/>
  <c r="M142" i="19" s="1"/>
  <c r="M143" i="19" s="1"/>
  <c r="M144" i="19" s="1"/>
  <c r="M145" i="19" s="1"/>
  <c r="M146" i="19" s="1"/>
  <c r="M147" i="19" s="1"/>
  <c r="M148" i="19" s="1"/>
  <c r="M149" i="19" s="1"/>
  <c r="M150" i="19" s="1"/>
  <c r="M151" i="19" s="1"/>
  <c r="M152" i="19" s="1"/>
  <c r="M153" i="19" s="1"/>
  <c r="M154" i="19" s="1"/>
  <c r="M155" i="19" s="1"/>
  <c r="M156" i="19" s="1"/>
  <c r="M157" i="19" s="1"/>
  <c r="M158" i="19" s="1"/>
  <c r="M159" i="19" s="1"/>
  <c r="M160" i="19" s="1"/>
  <c r="M161" i="19" s="1"/>
  <c r="M162" i="19" s="1"/>
  <c r="M163" i="19" s="1"/>
  <c r="M164" i="19" s="1"/>
  <c r="M165" i="19" s="1"/>
  <c r="M166" i="19" s="1"/>
  <c r="M167" i="19" s="1"/>
  <c r="M168" i="19" s="1"/>
  <c r="M169" i="19" s="1"/>
  <c r="M170" i="19" s="1"/>
  <c r="M171" i="19" s="1"/>
  <c r="M172" i="19" s="1"/>
  <c r="M173" i="19" s="1"/>
  <c r="M174" i="19" s="1"/>
  <c r="M175" i="19" s="1"/>
  <c r="M176" i="19" s="1"/>
  <c r="M177" i="19" s="1"/>
  <c r="M178" i="19" s="1"/>
  <c r="M179" i="19" s="1"/>
  <c r="M180" i="19" s="1"/>
  <c r="M181" i="19" s="1"/>
  <c r="M182" i="19" s="1"/>
  <c r="M183" i="19" s="1"/>
  <c r="M184" i="19" s="1"/>
  <c r="M185" i="19" s="1"/>
  <c r="M186" i="19" s="1"/>
  <c r="M187" i="19" s="1"/>
  <c r="M188" i="19" s="1"/>
  <c r="M189" i="19" s="1"/>
  <c r="M190" i="19" s="1"/>
  <c r="M191" i="19" s="1"/>
  <c r="M192" i="19" s="1"/>
  <c r="M193" i="19" s="1"/>
  <c r="M194" i="19" s="1"/>
  <c r="M195" i="19" s="1"/>
  <c r="M196" i="19" s="1"/>
  <c r="M197" i="19" s="1"/>
  <c r="M198" i="19" s="1"/>
  <c r="M199" i="19" s="1"/>
  <c r="M200" i="19" s="1"/>
  <c r="M201" i="19" s="1"/>
  <c r="M202" i="19" s="1"/>
  <c r="M203" i="19" s="1"/>
  <c r="M204" i="19" s="1"/>
  <c r="M205" i="19" s="1"/>
  <c r="M206" i="19" s="1"/>
  <c r="M207" i="19" s="1"/>
  <c r="M208" i="19" s="1"/>
  <c r="M209" i="19" s="1"/>
  <c r="M210" i="19" s="1"/>
  <c r="M211" i="19" s="1"/>
  <c r="M212" i="19" s="1"/>
  <c r="M213" i="19" s="1"/>
  <c r="M214" i="19" s="1"/>
  <c r="M215" i="19" s="1"/>
  <c r="M216" i="19" s="1"/>
  <c r="M217" i="19" s="1"/>
  <c r="M218" i="19" s="1"/>
  <c r="M219" i="19" s="1"/>
  <c r="M220" i="19" s="1"/>
  <c r="M221" i="19" s="1"/>
  <c r="M222" i="19" s="1"/>
  <c r="M223" i="19" s="1"/>
  <c r="M224" i="19" s="1"/>
  <c r="M225" i="19" s="1"/>
  <c r="M226" i="19" s="1"/>
  <c r="M227" i="19" s="1"/>
  <c r="M228" i="19" s="1"/>
  <c r="M229" i="19" s="1"/>
  <c r="M230" i="19" s="1"/>
  <c r="M231" i="19" s="1"/>
  <c r="M232" i="19" s="1"/>
  <c r="M233" i="19" s="1"/>
  <c r="M234" i="19" s="1"/>
  <c r="M235" i="19" s="1"/>
  <c r="M236" i="19" s="1"/>
  <c r="M237" i="19" s="1"/>
  <c r="M238" i="19" s="1"/>
  <c r="M239" i="19" s="1"/>
  <c r="M240" i="19" s="1"/>
  <c r="M241" i="19" s="1"/>
  <c r="M242" i="19" s="1"/>
  <c r="M243" i="19" s="1"/>
  <c r="M244" i="19" s="1"/>
  <c r="M245" i="19" s="1"/>
  <c r="M246" i="19" s="1"/>
  <c r="M247" i="19" s="1"/>
  <c r="M248" i="19" s="1"/>
  <c r="M249" i="19" s="1"/>
  <c r="M250" i="19" s="1"/>
  <c r="M251" i="19" s="1"/>
  <c r="M252" i="19" s="1"/>
  <c r="M253" i="19" s="1"/>
  <c r="M254" i="19" s="1"/>
  <c r="M255" i="19" s="1"/>
  <c r="M256" i="19" s="1"/>
  <c r="M257" i="19" s="1"/>
  <c r="M258" i="19" s="1"/>
  <c r="M259" i="19" s="1"/>
  <c r="M260" i="19" s="1"/>
  <c r="M261" i="19" s="1"/>
  <c r="M262" i="19" s="1"/>
  <c r="M263" i="19" s="1"/>
  <c r="M264" i="19" s="1"/>
  <c r="M265" i="19" s="1"/>
  <c r="M266" i="19" s="1"/>
  <c r="M267" i="19" s="1"/>
  <c r="M268" i="19" s="1"/>
  <c r="M269" i="19" s="1"/>
  <c r="M270" i="19" s="1"/>
  <c r="M271" i="19" s="1"/>
  <c r="M272" i="19" s="1"/>
  <c r="M273" i="19" s="1"/>
  <c r="M274" i="19" s="1"/>
  <c r="M275" i="19" s="1"/>
  <c r="M276" i="19" s="1"/>
  <c r="M277" i="19" s="1"/>
  <c r="M278" i="19" s="1"/>
  <c r="M279" i="19" s="1"/>
  <c r="M280" i="19" s="1"/>
  <c r="M281" i="19" s="1"/>
  <c r="M282" i="19" s="1"/>
  <c r="M283" i="19" s="1"/>
  <c r="M284" i="19" s="1"/>
  <c r="M285" i="19" s="1"/>
  <c r="M286" i="19" s="1"/>
  <c r="M287" i="19" s="1"/>
  <c r="M288" i="19" s="1"/>
  <c r="M289" i="19" s="1"/>
  <c r="M290" i="19" s="1"/>
  <c r="M291" i="19" s="1"/>
  <c r="M292" i="19" s="1"/>
  <c r="M293" i="19" s="1"/>
  <c r="M294" i="19" s="1"/>
  <c r="M295" i="19" s="1"/>
  <c r="M296" i="19" s="1"/>
  <c r="M297" i="19" s="1"/>
  <c r="M298" i="19" s="1"/>
  <c r="M299" i="19" s="1"/>
  <c r="M300" i="19" s="1"/>
  <c r="M301" i="19" s="1"/>
  <c r="M302" i="19" s="1"/>
  <c r="M303" i="19" s="1"/>
  <c r="M304" i="19" s="1"/>
  <c r="M305" i="19" s="1"/>
  <c r="M306" i="19" s="1"/>
  <c r="M307" i="19" s="1"/>
  <c r="M308" i="19" s="1"/>
  <c r="M309" i="19" s="1"/>
  <c r="M310" i="19" s="1"/>
  <c r="M311" i="19" s="1"/>
  <c r="M312" i="19" s="1"/>
  <c r="M313" i="19" s="1"/>
  <c r="M314" i="19" s="1"/>
  <c r="M315" i="19" s="1"/>
  <c r="M316" i="19" s="1"/>
  <c r="M317" i="19" s="1"/>
  <c r="M318" i="19" s="1"/>
  <c r="M319" i="19" s="1"/>
  <c r="M320" i="19" s="1"/>
  <c r="M321" i="19" s="1"/>
  <c r="M322" i="19" s="1"/>
  <c r="M323" i="19" s="1"/>
  <c r="M324" i="19" s="1"/>
  <c r="M325" i="19" s="1"/>
  <c r="M326" i="19" s="1"/>
  <c r="M327" i="19" s="1"/>
  <c r="M328" i="19" s="1"/>
  <c r="M329" i="19" s="1"/>
  <c r="M330" i="19" s="1"/>
  <c r="M331" i="19" s="1"/>
  <c r="M332" i="19" s="1"/>
  <c r="M333" i="19" s="1"/>
  <c r="M334" i="19" s="1"/>
  <c r="M335" i="19" s="1"/>
  <c r="M336" i="19" s="1"/>
  <c r="M337" i="19" s="1"/>
  <c r="M338" i="19" s="1"/>
  <c r="M339" i="19" s="1"/>
  <c r="M340" i="19" s="1"/>
  <c r="M341" i="19" s="1"/>
  <c r="M342" i="19" s="1"/>
  <c r="M343" i="19" s="1"/>
  <c r="M344" i="19" s="1"/>
  <c r="M345" i="19" s="1"/>
  <c r="N3" i="19"/>
  <c r="N4" i="19" s="1"/>
  <c r="N5" i="19" s="1"/>
  <c r="N6" i="19" s="1"/>
  <c r="N7" i="19" s="1"/>
  <c r="N8" i="19" s="1"/>
  <c r="N9" i="19" s="1"/>
  <c r="N10" i="19" s="1"/>
  <c r="N11" i="19" s="1"/>
  <c r="N12" i="19" s="1"/>
  <c r="N13" i="19" s="1"/>
  <c r="N14" i="19" s="1"/>
  <c r="N15" i="19" s="1"/>
  <c r="N16" i="19" s="1"/>
  <c r="N17" i="19" s="1"/>
  <c r="N18" i="19" s="1"/>
  <c r="N19" i="19" s="1"/>
  <c r="N20" i="19" s="1"/>
  <c r="N21" i="19" s="1"/>
  <c r="N22" i="19" s="1"/>
  <c r="N23" i="19" s="1"/>
  <c r="N24" i="19" s="1"/>
  <c r="N25" i="19" s="1"/>
  <c r="N26" i="19" s="1"/>
  <c r="N27" i="19" s="1"/>
  <c r="N28" i="19" s="1"/>
  <c r="N29" i="19" s="1"/>
  <c r="N30" i="19" s="1"/>
  <c r="N31" i="19" s="1"/>
  <c r="N32" i="19" s="1"/>
  <c r="N33" i="19" s="1"/>
  <c r="N34" i="19" s="1"/>
  <c r="N35" i="19" s="1"/>
  <c r="N36" i="19" s="1"/>
  <c r="N37" i="19" s="1"/>
  <c r="N38" i="19" s="1"/>
  <c r="N39" i="19" s="1"/>
  <c r="N40" i="19" s="1"/>
  <c r="N41" i="19" s="1"/>
  <c r="N42" i="19" s="1"/>
  <c r="N43" i="19" s="1"/>
  <c r="N44" i="19" s="1"/>
  <c r="N45" i="19" s="1"/>
  <c r="N46" i="19" s="1"/>
  <c r="N47" i="19" s="1"/>
  <c r="N48" i="19" s="1"/>
  <c r="N49" i="19" s="1"/>
  <c r="N50" i="19" s="1"/>
  <c r="N51" i="19" s="1"/>
  <c r="N52" i="19" s="1"/>
  <c r="N53" i="19" s="1"/>
  <c r="N54" i="19" s="1"/>
  <c r="N55" i="19" s="1"/>
  <c r="N56" i="19" s="1"/>
  <c r="N57" i="19" s="1"/>
  <c r="N58" i="19" s="1"/>
  <c r="N59" i="19" s="1"/>
  <c r="N60" i="19" s="1"/>
  <c r="N61" i="19" s="1"/>
  <c r="N62" i="19" s="1"/>
  <c r="N63" i="19" s="1"/>
  <c r="N64" i="19" s="1"/>
  <c r="N65" i="19" s="1"/>
  <c r="N66" i="19" s="1"/>
  <c r="N67" i="19" s="1"/>
  <c r="N68" i="19" s="1"/>
  <c r="N69" i="19" s="1"/>
  <c r="N70" i="19" s="1"/>
  <c r="N71" i="19" s="1"/>
  <c r="N72" i="19" s="1"/>
  <c r="N73" i="19" s="1"/>
  <c r="N74" i="19" s="1"/>
  <c r="N75" i="19" s="1"/>
  <c r="N76" i="19" s="1"/>
  <c r="N77" i="19" s="1"/>
  <c r="N78" i="19" s="1"/>
  <c r="N79" i="19" s="1"/>
  <c r="N80" i="19" s="1"/>
  <c r="N81" i="19" s="1"/>
  <c r="N82" i="19" s="1"/>
  <c r="N83" i="19" s="1"/>
  <c r="N84" i="19" s="1"/>
  <c r="N85" i="19" s="1"/>
  <c r="N86" i="19" s="1"/>
  <c r="N87" i="19" s="1"/>
  <c r="N88" i="19" s="1"/>
  <c r="N89" i="19" s="1"/>
  <c r="N90" i="19" s="1"/>
  <c r="N91" i="19" s="1"/>
  <c r="N92" i="19" s="1"/>
  <c r="N93" i="19" s="1"/>
  <c r="N94" i="19" s="1"/>
  <c r="N95" i="19" s="1"/>
  <c r="N96" i="19" s="1"/>
  <c r="N97" i="19" s="1"/>
  <c r="N98" i="19" s="1"/>
  <c r="N99" i="19" s="1"/>
  <c r="N100" i="19" s="1"/>
  <c r="N101" i="19" s="1"/>
  <c r="N102" i="19" s="1"/>
  <c r="N103" i="19" s="1"/>
  <c r="N104" i="19" s="1"/>
  <c r="N105" i="19" s="1"/>
  <c r="N106" i="19" s="1"/>
  <c r="N107" i="19" s="1"/>
  <c r="N108" i="19" s="1"/>
  <c r="N109" i="19" s="1"/>
  <c r="N110" i="19" s="1"/>
  <c r="N111" i="19" s="1"/>
  <c r="N112" i="19" s="1"/>
  <c r="N113" i="19" s="1"/>
  <c r="N114" i="19" s="1"/>
  <c r="N115" i="19" s="1"/>
  <c r="N116" i="19" s="1"/>
  <c r="N117" i="19" s="1"/>
  <c r="N118" i="19" s="1"/>
  <c r="N119" i="19" s="1"/>
  <c r="N120" i="19" s="1"/>
  <c r="N121" i="19" s="1"/>
  <c r="N122" i="19" s="1"/>
  <c r="N123" i="19" s="1"/>
  <c r="N124" i="19" s="1"/>
  <c r="N125" i="19" s="1"/>
  <c r="N126" i="19" s="1"/>
  <c r="N127" i="19" s="1"/>
  <c r="N128" i="19" s="1"/>
  <c r="N129" i="19" s="1"/>
  <c r="N130" i="19" s="1"/>
  <c r="N131" i="19" s="1"/>
  <c r="N132" i="19" s="1"/>
  <c r="N133" i="19" s="1"/>
  <c r="N134" i="19" s="1"/>
  <c r="N135" i="19" s="1"/>
  <c r="N136" i="19" s="1"/>
  <c r="N137" i="19" s="1"/>
  <c r="N138" i="19" s="1"/>
  <c r="N139" i="19" s="1"/>
  <c r="N140" i="19" s="1"/>
  <c r="N141" i="19" s="1"/>
  <c r="N142" i="19" s="1"/>
  <c r="N143" i="19" s="1"/>
  <c r="N144" i="19" s="1"/>
  <c r="N145" i="19" s="1"/>
  <c r="N146" i="19" s="1"/>
  <c r="N147" i="19" s="1"/>
  <c r="N148" i="19" s="1"/>
  <c r="N149" i="19" s="1"/>
  <c r="N150" i="19" s="1"/>
  <c r="N151" i="19" s="1"/>
  <c r="N152" i="19" s="1"/>
  <c r="N153" i="19" s="1"/>
  <c r="N154" i="19" s="1"/>
  <c r="N155" i="19" s="1"/>
  <c r="N156" i="19" s="1"/>
  <c r="N157" i="19" s="1"/>
  <c r="N158" i="19" s="1"/>
  <c r="N159" i="19" s="1"/>
  <c r="N160" i="19" s="1"/>
  <c r="N161" i="19" s="1"/>
  <c r="N162" i="19" s="1"/>
  <c r="N163" i="19" s="1"/>
  <c r="N164" i="19" s="1"/>
  <c r="N165" i="19" s="1"/>
  <c r="N166" i="19" s="1"/>
  <c r="N167" i="19" s="1"/>
  <c r="N168" i="19" s="1"/>
  <c r="N169" i="19" s="1"/>
  <c r="N170" i="19" s="1"/>
  <c r="N171" i="19" s="1"/>
  <c r="N172" i="19" s="1"/>
  <c r="N173" i="19" s="1"/>
  <c r="N174" i="19" s="1"/>
  <c r="N175" i="19" s="1"/>
  <c r="N176" i="19" s="1"/>
  <c r="N177" i="19" s="1"/>
  <c r="N178" i="19" s="1"/>
  <c r="N179" i="19" s="1"/>
  <c r="N180" i="19" s="1"/>
  <c r="N181" i="19" s="1"/>
  <c r="N182" i="19" s="1"/>
  <c r="N183" i="19" s="1"/>
  <c r="N184" i="19" s="1"/>
  <c r="N185" i="19" s="1"/>
  <c r="N186" i="19" s="1"/>
  <c r="N187" i="19" s="1"/>
  <c r="N188" i="19" s="1"/>
  <c r="N189" i="19" s="1"/>
  <c r="N190" i="19" s="1"/>
  <c r="N191" i="19" s="1"/>
  <c r="N192" i="19" s="1"/>
  <c r="N193" i="19" s="1"/>
  <c r="N194" i="19" s="1"/>
  <c r="N195" i="19" s="1"/>
  <c r="N196" i="19" s="1"/>
  <c r="N197" i="19" s="1"/>
  <c r="N198" i="19" s="1"/>
  <c r="N199" i="19" s="1"/>
  <c r="N200" i="19" s="1"/>
  <c r="N201" i="19" s="1"/>
  <c r="N202" i="19" s="1"/>
  <c r="N203" i="19" s="1"/>
  <c r="N204" i="19" s="1"/>
  <c r="N205" i="19" s="1"/>
  <c r="N206" i="19" s="1"/>
  <c r="N207" i="19" s="1"/>
  <c r="N208" i="19" s="1"/>
  <c r="N209" i="19" s="1"/>
  <c r="N210" i="19" s="1"/>
  <c r="N211" i="19" s="1"/>
  <c r="N212" i="19" s="1"/>
  <c r="N213" i="19" s="1"/>
  <c r="N214" i="19" s="1"/>
  <c r="N215" i="19" s="1"/>
  <c r="N216" i="19" s="1"/>
  <c r="N217" i="19" s="1"/>
  <c r="N218" i="19" s="1"/>
  <c r="N219" i="19" s="1"/>
  <c r="N220" i="19" s="1"/>
  <c r="N221" i="19" s="1"/>
  <c r="N222" i="19" s="1"/>
  <c r="N223" i="19" s="1"/>
  <c r="N224" i="19" s="1"/>
  <c r="N225" i="19" s="1"/>
  <c r="N226" i="19" s="1"/>
  <c r="N227" i="19" s="1"/>
  <c r="N228" i="19" s="1"/>
  <c r="N229" i="19" s="1"/>
  <c r="N230" i="19" s="1"/>
  <c r="N231" i="19" s="1"/>
  <c r="N232" i="19" s="1"/>
  <c r="N233" i="19" s="1"/>
  <c r="N234" i="19" s="1"/>
  <c r="N235" i="19" s="1"/>
  <c r="N236" i="19" s="1"/>
  <c r="N237" i="19" s="1"/>
  <c r="N238" i="19" s="1"/>
  <c r="N239" i="19" s="1"/>
  <c r="N240" i="19" s="1"/>
  <c r="N241" i="19" s="1"/>
  <c r="N242" i="19" s="1"/>
  <c r="N243" i="19" s="1"/>
  <c r="N244" i="19" s="1"/>
  <c r="N245" i="19" s="1"/>
  <c r="N246" i="19" s="1"/>
  <c r="N247" i="19" s="1"/>
  <c r="N248" i="19" s="1"/>
  <c r="N249" i="19" s="1"/>
  <c r="N250" i="19" s="1"/>
  <c r="N251" i="19" s="1"/>
  <c r="N252" i="19" s="1"/>
  <c r="N253" i="19" s="1"/>
  <c r="N254" i="19" s="1"/>
  <c r="N255" i="19" s="1"/>
  <c r="N256" i="19" s="1"/>
  <c r="N257" i="19" s="1"/>
  <c r="N258" i="19" s="1"/>
  <c r="N259" i="19" s="1"/>
  <c r="N260" i="19" s="1"/>
  <c r="N261" i="19" s="1"/>
  <c r="N262" i="19" s="1"/>
  <c r="N263" i="19" s="1"/>
  <c r="N264" i="19" s="1"/>
  <c r="N265" i="19" s="1"/>
  <c r="N266" i="19" s="1"/>
  <c r="N267" i="19" s="1"/>
  <c r="N268" i="19" s="1"/>
  <c r="N269" i="19" s="1"/>
  <c r="N270" i="19" s="1"/>
  <c r="N271" i="19" s="1"/>
  <c r="N272" i="19" s="1"/>
  <c r="N273" i="19" s="1"/>
  <c r="N274" i="19" s="1"/>
  <c r="N275" i="19" s="1"/>
  <c r="N276" i="19" s="1"/>
  <c r="N277" i="19" s="1"/>
  <c r="N278" i="19" s="1"/>
  <c r="N279" i="19" s="1"/>
  <c r="N280" i="19" s="1"/>
  <c r="N281" i="19" s="1"/>
  <c r="N282" i="19" s="1"/>
  <c r="N283" i="19" s="1"/>
  <c r="N284" i="19" s="1"/>
  <c r="N285" i="19" s="1"/>
  <c r="N286" i="19" s="1"/>
  <c r="N287" i="19" s="1"/>
  <c r="N288" i="19" s="1"/>
  <c r="N289" i="19" s="1"/>
  <c r="N290" i="19" s="1"/>
  <c r="N291" i="19" s="1"/>
  <c r="N292" i="19" s="1"/>
  <c r="N293" i="19" s="1"/>
  <c r="N294" i="19" s="1"/>
  <c r="N295" i="19" s="1"/>
  <c r="N296" i="19" s="1"/>
  <c r="N297" i="19" s="1"/>
  <c r="N298" i="19" s="1"/>
  <c r="N299" i="19" s="1"/>
  <c r="N300" i="19" s="1"/>
  <c r="N301" i="19" s="1"/>
  <c r="N302" i="19" s="1"/>
  <c r="N303" i="19" s="1"/>
  <c r="N304" i="19" s="1"/>
  <c r="N305" i="19" s="1"/>
  <c r="N306" i="19" s="1"/>
  <c r="N307" i="19" s="1"/>
  <c r="N308" i="19" s="1"/>
  <c r="N309" i="19" s="1"/>
  <c r="N310" i="19" s="1"/>
  <c r="N311" i="19" s="1"/>
  <c r="N312" i="19" s="1"/>
  <c r="N313" i="19" s="1"/>
  <c r="N314" i="19" s="1"/>
  <c r="N315" i="19" s="1"/>
  <c r="N316" i="19" s="1"/>
  <c r="N317" i="19" s="1"/>
  <c r="N318" i="19" s="1"/>
  <c r="N319" i="19" s="1"/>
  <c r="N320" i="19" s="1"/>
  <c r="N321" i="19" s="1"/>
  <c r="N322" i="19" s="1"/>
  <c r="N323" i="19" s="1"/>
  <c r="N324" i="19" s="1"/>
  <c r="N325" i="19" s="1"/>
  <c r="N326" i="19" s="1"/>
  <c r="N327" i="19" s="1"/>
  <c r="N328" i="19" s="1"/>
  <c r="N329" i="19" s="1"/>
  <c r="N330" i="19" s="1"/>
  <c r="N331" i="19" s="1"/>
  <c r="N332" i="19" s="1"/>
  <c r="N333" i="19" s="1"/>
  <c r="N334" i="19" s="1"/>
  <c r="N335" i="19" s="1"/>
  <c r="N336" i="19" s="1"/>
  <c r="N337" i="19" s="1"/>
  <c r="N338" i="19" s="1"/>
  <c r="N339" i="19" s="1"/>
  <c r="N340" i="19" s="1"/>
  <c r="N341" i="19" s="1"/>
  <c r="N342" i="19" s="1"/>
  <c r="N343" i="19" s="1"/>
  <c r="N344" i="19" s="1"/>
  <c r="N345" i="19" s="1"/>
  <c r="O3" i="19"/>
  <c r="O4" i="19" s="1"/>
  <c r="O5" i="19" s="1"/>
  <c r="O6" i="19" s="1"/>
  <c r="O7" i="19" s="1"/>
  <c r="O8" i="19" s="1"/>
  <c r="O9" i="19" s="1"/>
  <c r="O10" i="19" s="1"/>
  <c r="O11" i="19" s="1"/>
  <c r="O12" i="19" s="1"/>
  <c r="O13" i="19" s="1"/>
  <c r="O14" i="19" s="1"/>
  <c r="O15" i="19" s="1"/>
  <c r="O16" i="19" s="1"/>
  <c r="O17" i="19" s="1"/>
  <c r="O18" i="19" s="1"/>
  <c r="O19" i="19" s="1"/>
  <c r="O20" i="19" s="1"/>
  <c r="O21" i="19" s="1"/>
  <c r="O22" i="19" s="1"/>
  <c r="O23" i="19" s="1"/>
  <c r="O24" i="19" s="1"/>
  <c r="O25" i="19" s="1"/>
  <c r="O26" i="19" s="1"/>
  <c r="O27" i="19" s="1"/>
  <c r="O28" i="19" s="1"/>
  <c r="O29" i="19" s="1"/>
  <c r="O30" i="19" s="1"/>
  <c r="O31" i="19" s="1"/>
  <c r="O32" i="19" s="1"/>
  <c r="O33" i="19" s="1"/>
  <c r="O34" i="19" s="1"/>
  <c r="O35" i="19" s="1"/>
  <c r="O36" i="19" s="1"/>
  <c r="O37" i="19" s="1"/>
  <c r="O38" i="19" s="1"/>
  <c r="O39" i="19" s="1"/>
  <c r="O40" i="19" s="1"/>
  <c r="O41" i="19" s="1"/>
  <c r="O42" i="19" s="1"/>
  <c r="O43" i="19" s="1"/>
  <c r="O44" i="19" s="1"/>
  <c r="O45" i="19" s="1"/>
  <c r="O46" i="19" s="1"/>
  <c r="O47" i="19" s="1"/>
  <c r="O48" i="19" s="1"/>
  <c r="O49" i="19" s="1"/>
  <c r="O50" i="19" s="1"/>
  <c r="O51" i="19" s="1"/>
  <c r="O52" i="19" s="1"/>
  <c r="O53" i="19" s="1"/>
  <c r="O54" i="19" s="1"/>
  <c r="O55" i="19" s="1"/>
  <c r="O56" i="19" s="1"/>
  <c r="O57" i="19" s="1"/>
  <c r="O58" i="19" s="1"/>
  <c r="O59" i="19" s="1"/>
  <c r="O60" i="19" s="1"/>
  <c r="O61" i="19" s="1"/>
  <c r="O62" i="19" s="1"/>
  <c r="O63" i="19" s="1"/>
  <c r="O64" i="19" s="1"/>
  <c r="O65" i="19" s="1"/>
  <c r="O66" i="19" s="1"/>
  <c r="O67" i="19" s="1"/>
  <c r="O68" i="19" s="1"/>
  <c r="O69" i="19" s="1"/>
  <c r="O70" i="19" s="1"/>
  <c r="O71" i="19" s="1"/>
  <c r="O72" i="19" s="1"/>
  <c r="O73" i="19" s="1"/>
  <c r="O74" i="19" s="1"/>
  <c r="O75" i="19" s="1"/>
  <c r="O76" i="19" s="1"/>
  <c r="O77" i="19" s="1"/>
  <c r="O78" i="19" s="1"/>
  <c r="O79" i="19" s="1"/>
  <c r="O80" i="19" s="1"/>
  <c r="O81" i="19" s="1"/>
  <c r="O82" i="19" s="1"/>
  <c r="O83" i="19" s="1"/>
  <c r="O84" i="19" s="1"/>
  <c r="O85" i="19" s="1"/>
  <c r="O86" i="19" s="1"/>
  <c r="O87" i="19" s="1"/>
  <c r="O88" i="19" s="1"/>
  <c r="O89" i="19" s="1"/>
  <c r="O90" i="19" s="1"/>
  <c r="O91" i="19" s="1"/>
  <c r="O92" i="19" s="1"/>
  <c r="O93" i="19" s="1"/>
  <c r="O94" i="19" s="1"/>
  <c r="O95" i="19" s="1"/>
  <c r="O96" i="19" s="1"/>
  <c r="O97" i="19" s="1"/>
  <c r="O98" i="19" s="1"/>
  <c r="O99" i="19" s="1"/>
  <c r="O100" i="19" s="1"/>
  <c r="O101" i="19" s="1"/>
  <c r="O102" i="19" s="1"/>
  <c r="O103" i="19" s="1"/>
  <c r="O104" i="19" s="1"/>
  <c r="O105" i="19" s="1"/>
  <c r="O106" i="19" s="1"/>
  <c r="O107" i="19" s="1"/>
  <c r="O108" i="19" s="1"/>
  <c r="O109" i="19" s="1"/>
  <c r="O110" i="19" s="1"/>
  <c r="O111" i="19" s="1"/>
  <c r="O112" i="19" s="1"/>
  <c r="O113" i="19" s="1"/>
  <c r="O114" i="19" s="1"/>
  <c r="O115" i="19" s="1"/>
  <c r="O116" i="19" s="1"/>
  <c r="O117" i="19" s="1"/>
  <c r="O118" i="19" s="1"/>
  <c r="O119" i="19" s="1"/>
  <c r="O120" i="19" s="1"/>
  <c r="O121" i="19" s="1"/>
  <c r="O122" i="19" s="1"/>
  <c r="O123" i="19" s="1"/>
  <c r="O124" i="19" s="1"/>
  <c r="O125" i="19" s="1"/>
  <c r="O126" i="19" s="1"/>
  <c r="O127" i="19" s="1"/>
  <c r="O128" i="19" s="1"/>
  <c r="O129" i="19" s="1"/>
  <c r="O130" i="19" s="1"/>
  <c r="O131" i="19" s="1"/>
  <c r="O132" i="19" s="1"/>
  <c r="O133" i="19" s="1"/>
  <c r="O134" i="19" s="1"/>
  <c r="O135" i="19" s="1"/>
  <c r="O136" i="19" s="1"/>
  <c r="O137" i="19" s="1"/>
  <c r="O138" i="19" s="1"/>
  <c r="O139" i="19" s="1"/>
  <c r="O140" i="19" s="1"/>
  <c r="O141" i="19" s="1"/>
  <c r="O142" i="19" s="1"/>
  <c r="O143" i="19" s="1"/>
  <c r="O144" i="19" s="1"/>
  <c r="O145" i="19" s="1"/>
  <c r="O146" i="19" s="1"/>
  <c r="O147" i="19" s="1"/>
  <c r="O148" i="19" s="1"/>
  <c r="O149" i="19" s="1"/>
  <c r="O150" i="19" s="1"/>
  <c r="O151" i="19" s="1"/>
  <c r="O152" i="19" s="1"/>
  <c r="O153" i="19" s="1"/>
  <c r="O154" i="19" s="1"/>
  <c r="O155" i="19" s="1"/>
  <c r="O156" i="19" s="1"/>
  <c r="O157" i="19" s="1"/>
  <c r="O158" i="19" s="1"/>
  <c r="O159" i="19" s="1"/>
  <c r="O160" i="19" s="1"/>
  <c r="O161" i="19" s="1"/>
  <c r="O162" i="19" s="1"/>
  <c r="O163" i="19" s="1"/>
  <c r="O164" i="19" s="1"/>
  <c r="O165" i="19" s="1"/>
  <c r="O166" i="19" s="1"/>
  <c r="O167" i="19" s="1"/>
  <c r="O168" i="19" s="1"/>
  <c r="O169" i="19" s="1"/>
  <c r="O170" i="19" s="1"/>
  <c r="O171" i="19" s="1"/>
  <c r="O172" i="19" s="1"/>
  <c r="O173" i="19" s="1"/>
  <c r="O174" i="19" s="1"/>
  <c r="O175" i="19" s="1"/>
  <c r="O176" i="19" s="1"/>
  <c r="O177" i="19" s="1"/>
  <c r="O178" i="19" s="1"/>
  <c r="O179" i="19" s="1"/>
  <c r="O180" i="19" s="1"/>
  <c r="O181" i="19" s="1"/>
  <c r="O182" i="19" s="1"/>
  <c r="O183" i="19" s="1"/>
  <c r="O184" i="19" s="1"/>
  <c r="O185" i="19" s="1"/>
  <c r="O186" i="19" s="1"/>
  <c r="O187" i="19" s="1"/>
  <c r="O188" i="19" s="1"/>
  <c r="O189" i="19" s="1"/>
  <c r="O190" i="19" s="1"/>
  <c r="O191" i="19" s="1"/>
  <c r="O192" i="19" s="1"/>
  <c r="O193" i="19" s="1"/>
  <c r="O194" i="19" s="1"/>
  <c r="O195" i="19" s="1"/>
  <c r="O196" i="19" s="1"/>
  <c r="O197" i="19" s="1"/>
  <c r="O198" i="19" s="1"/>
  <c r="O199" i="19" s="1"/>
  <c r="O200" i="19" s="1"/>
  <c r="O201" i="19" s="1"/>
  <c r="O202" i="19" s="1"/>
  <c r="O203" i="19" s="1"/>
  <c r="O204" i="19" s="1"/>
  <c r="O205" i="19" s="1"/>
  <c r="O206" i="19" s="1"/>
  <c r="O207" i="19" s="1"/>
  <c r="O208" i="19" s="1"/>
  <c r="O209" i="19" s="1"/>
  <c r="O210" i="19" s="1"/>
  <c r="O211" i="19" s="1"/>
  <c r="O212" i="19" s="1"/>
  <c r="O213" i="19" s="1"/>
  <c r="O214" i="19" s="1"/>
  <c r="O215" i="19" s="1"/>
  <c r="O216" i="19" s="1"/>
  <c r="O217" i="19" s="1"/>
  <c r="O218" i="19" s="1"/>
  <c r="O219" i="19" s="1"/>
  <c r="O220" i="19" s="1"/>
  <c r="O221" i="19" s="1"/>
  <c r="O222" i="19" s="1"/>
  <c r="O223" i="19" s="1"/>
  <c r="O224" i="19" s="1"/>
  <c r="O225" i="19" s="1"/>
  <c r="O226" i="19" s="1"/>
  <c r="O227" i="19" s="1"/>
  <c r="O228" i="19" s="1"/>
  <c r="O229" i="19" s="1"/>
  <c r="O230" i="19" s="1"/>
  <c r="O231" i="19" s="1"/>
  <c r="O232" i="19" s="1"/>
  <c r="O233" i="19" s="1"/>
  <c r="O234" i="19" s="1"/>
  <c r="O235" i="19" s="1"/>
  <c r="O236" i="19" s="1"/>
  <c r="O237" i="19" s="1"/>
  <c r="O238" i="19" s="1"/>
  <c r="O239" i="19" s="1"/>
  <c r="O240" i="19" s="1"/>
  <c r="O241" i="19" s="1"/>
  <c r="O242" i="19" s="1"/>
  <c r="O243" i="19" s="1"/>
  <c r="O244" i="19" s="1"/>
  <c r="O245" i="19" s="1"/>
  <c r="O246" i="19" s="1"/>
  <c r="O247" i="19" s="1"/>
  <c r="O248" i="19" s="1"/>
  <c r="O249" i="19" s="1"/>
  <c r="O250" i="19" s="1"/>
  <c r="O251" i="19" s="1"/>
  <c r="O252" i="19" s="1"/>
  <c r="O253" i="19" s="1"/>
  <c r="O254" i="19" s="1"/>
  <c r="O255" i="19" s="1"/>
  <c r="O256" i="19" s="1"/>
  <c r="O257" i="19" s="1"/>
  <c r="O258" i="19" s="1"/>
  <c r="O259" i="19" s="1"/>
  <c r="O260" i="19" s="1"/>
  <c r="O261" i="19" s="1"/>
  <c r="O262" i="19" s="1"/>
  <c r="O263" i="19" s="1"/>
  <c r="O264" i="19" s="1"/>
  <c r="O265" i="19" s="1"/>
  <c r="O266" i="19" s="1"/>
  <c r="O267" i="19" s="1"/>
  <c r="O268" i="19" s="1"/>
  <c r="O269" i="19" s="1"/>
  <c r="O270" i="19" s="1"/>
  <c r="O271" i="19" s="1"/>
  <c r="O272" i="19" s="1"/>
  <c r="O273" i="19" s="1"/>
  <c r="O274" i="19" s="1"/>
  <c r="O275" i="19" s="1"/>
  <c r="O276" i="19" s="1"/>
  <c r="O277" i="19" s="1"/>
  <c r="O278" i="19" s="1"/>
  <c r="O279" i="19" s="1"/>
  <c r="O280" i="19" s="1"/>
  <c r="O281" i="19" s="1"/>
  <c r="O282" i="19" s="1"/>
  <c r="O283" i="19" s="1"/>
  <c r="O284" i="19" s="1"/>
  <c r="O285" i="19" s="1"/>
  <c r="O286" i="19" s="1"/>
  <c r="O287" i="19" s="1"/>
  <c r="O288" i="19" s="1"/>
  <c r="O289" i="19" s="1"/>
  <c r="O290" i="19" s="1"/>
  <c r="O291" i="19" s="1"/>
  <c r="O292" i="19" s="1"/>
  <c r="O293" i="19" s="1"/>
  <c r="O294" i="19" s="1"/>
  <c r="O295" i="19" s="1"/>
  <c r="O296" i="19" s="1"/>
  <c r="O297" i="19" s="1"/>
  <c r="O298" i="19" s="1"/>
  <c r="O299" i="19" s="1"/>
  <c r="O300" i="19" s="1"/>
  <c r="O301" i="19" s="1"/>
  <c r="O302" i="19" s="1"/>
  <c r="O303" i="19" s="1"/>
  <c r="O304" i="19" s="1"/>
  <c r="O305" i="19" s="1"/>
  <c r="O306" i="19" s="1"/>
  <c r="O307" i="19" s="1"/>
  <c r="O308" i="19" s="1"/>
  <c r="O309" i="19" s="1"/>
  <c r="O310" i="19" s="1"/>
  <c r="O311" i="19" s="1"/>
  <c r="O312" i="19" s="1"/>
  <c r="O313" i="19" s="1"/>
  <c r="O314" i="19" s="1"/>
  <c r="O315" i="19" s="1"/>
  <c r="O316" i="19" s="1"/>
  <c r="O317" i="19" s="1"/>
  <c r="O318" i="19" s="1"/>
  <c r="O319" i="19" s="1"/>
  <c r="O320" i="19" s="1"/>
  <c r="O321" i="19" s="1"/>
  <c r="O322" i="19" s="1"/>
  <c r="O323" i="19" s="1"/>
  <c r="O324" i="19" s="1"/>
  <c r="O325" i="19" s="1"/>
  <c r="O326" i="19" s="1"/>
  <c r="O327" i="19" s="1"/>
  <c r="O328" i="19" s="1"/>
  <c r="O329" i="19" s="1"/>
  <c r="O330" i="19" s="1"/>
  <c r="O331" i="19" s="1"/>
  <c r="O332" i="19" s="1"/>
  <c r="O333" i="19" s="1"/>
  <c r="O334" i="19" s="1"/>
  <c r="O335" i="19" s="1"/>
  <c r="O336" i="19" s="1"/>
  <c r="O337" i="19" s="1"/>
  <c r="O338" i="19" s="1"/>
  <c r="O339" i="19" s="1"/>
  <c r="O340" i="19" s="1"/>
  <c r="O341" i="19" s="1"/>
  <c r="O342" i="19" s="1"/>
  <c r="O343" i="19" s="1"/>
  <c r="O344" i="19" s="1"/>
  <c r="O345" i="19" s="1"/>
  <c r="P3" i="19"/>
  <c r="P4" i="19" s="1"/>
  <c r="P5" i="19" s="1"/>
  <c r="P6" i="19" s="1"/>
  <c r="P7" i="19" s="1"/>
  <c r="P8" i="19" s="1"/>
  <c r="P9" i="19" s="1"/>
  <c r="P10" i="19" s="1"/>
  <c r="P11" i="19" s="1"/>
  <c r="P12" i="19" s="1"/>
  <c r="P13" i="19" s="1"/>
  <c r="P14" i="19" s="1"/>
  <c r="P15" i="19" s="1"/>
  <c r="P16" i="19" s="1"/>
  <c r="P17" i="19" s="1"/>
  <c r="P18" i="19" s="1"/>
  <c r="P19" i="19" s="1"/>
  <c r="P20" i="19" s="1"/>
  <c r="P21" i="19" s="1"/>
  <c r="P22" i="19" s="1"/>
  <c r="P23" i="19" s="1"/>
  <c r="P24" i="19" s="1"/>
  <c r="P25" i="19" s="1"/>
  <c r="P26" i="19" s="1"/>
  <c r="P27" i="19" s="1"/>
  <c r="P28" i="19" s="1"/>
  <c r="P29" i="19" s="1"/>
  <c r="P30" i="19" s="1"/>
  <c r="P31" i="19" s="1"/>
  <c r="P32" i="19" s="1"/>
  <c r="P33" i="19" s="1"/>
  <c r="P34" i="19" s="1"/>
  <c r="P35" i="19" s="1"/>
  <c r="P36" i="19" s="1"/>
  <c r="P37" i="19" s="1"/>
  <c r="P38" i="19" s="1"/>
  <c r="P39" i="19" s="1"/>
  <c r="P40" i="19" s="1"/>
  <c r="P41" i="19" s="1"/>
  <c r="P42" i="19" s="1"/>
  <c r="P43" i="19" s="1"/>
  <c r="P44" i="19" s="1"/>
  <c r="P45" i="19" s="1"/>
  <c r="P46" i="19" s="1"/>
  <c r="P47" i="19" s="1"/>
  <c r="P48" i="19" s="1"/>
  <c r="P49" i="19" s="1"/>
  <c r="P50" i="19" s="1"/>
  <c r="P51" i="19" s="1"/>
  <c r="P52" i="19" s="1"/>
  <c r="P53" i="19" s="1"/>
  <c r="P54" i="19" s="1"/>
  <c r="P55" i="19" s="1"/>
  <c r="P56" i="19" s="1"/>
  <c r="P57" i="19" s="1"/>
  <c r="P58" i="19" s="1"/>
  <c r="P59" i="19" s="1"/>
  <c r="P60" i="19" s="1"/>
  <c r="P61" i="19" s="1"/>
  <c r="P62" i="19" s="1"/>
  <c r="P63" i="19" s="1"/>
  <c r="P64" i="19" s="1"/>
  <c r="P65" i="19" s="1"/>
  <c r="P66" i="19" s="1"/>
  <c r="P67" i="19" s="1"/>
  <c r="P68" i="19" s="1"/>
  <c r="P69" i="19" s="1"/>
  <c r="P70" i="19" s="1"/>
  <c r="P71" i="19" s="1"/>
  <c r="P72" i="19" s="1"/>
  <c r="P73" i="19" s="1"/>
  <c r="P74" i="19" s="1"/>
  <c r="P75" i="19" s="1"/>
  <c r="P76" i="19" s="1"/>
  <c r="P77" i="19" s="1"/>
  <c r="P78" i="19" s="1"/>
  <c r="P79" i="19" s="1"/>
  <c r="P80" i="19" s="1"/>
  <c r="P81" i="19" s="1"/>
  <c r="P82" i="19" s="1"/>
  <c r="P83" i="19" s="1"/>
  <c r="P84" i="19" s="1"/>
  <c r="P85" i="19" s="1"/>
  <c r="P86" i="19" s="1"/>
  <c r="P87" i="19" s="1"/>
  <c r="P88" i="19" s="1"/>
  <c r="P89" i="19" s="1"/>
  <c r="P90" i="19" s="1"/>
  <c r="P91" i="19" s="1"/>
  <c r="P92" i="19" s="1"/>
  <c r="P93" i="19" s="1"/>
  <c r="P94" i="19" s="1"/>
  <c r="P95" i="19" s="1"/>
  <c r="P96" i="19" s="1"/>
  <c r="P97" i="19" s="1"/>
  <c r="P98" i="19" s="1"/>
  <c r="P99" i="19" s="1"/>
  <c r="P100" i="19" s="1"/>
  <c r="P101" i="19" s="1"/>
  <c r="P102" i="19" s="1"/>
  <c r="P103" i="19" s="1"/>
  <c r="P104" i="19" s="1"/>
  <c r="P105" i="19" s="1"/>
  <c r="P106" i="19" s="1"/>
  <c r="P107" i="19" s="1"/>
  <c r="P108" i="19" s="1"/>
  <c r="P109" i="19" s="1"/>
  <c r="P110" i="19" s="1"/>
  <c r="P111" i="19" s="1"/>
  <c r="P112" i="19" s="1"/>
  <c r="P113" i="19" s="1"/>
  <c r="P114" i="19" s="1"/>
  <c r="P115" i="19" s="1"/>
  <c r="P116" i="19" s="1"/>
  <c r="P117" i="19" s="1"/>
  <c r="P118" i="19" s="1"/>
  <c r="P119" i="19" s="1"/>
  <c r="P120" i="19" s="1"/>
  <c r="P121" i="19" s="1"/>
  <c r="P122" i="19" s="1"/>
  <c r="P123" i="19" s="1"/>
  <c r="P124" i="19" s="1"/>
  <c r="P125" i="19" s="1"/>
  <c r="P126" i="19" s="1"/>
  <c r="P127" i="19" s="1"/>
  <c r="P128" i="19" s="1"/>
  <c r="P129" i="19" s="1"/>
  <c r="P130" i="19" s="1"/>
  <c r="P131" i="19" s="1"/>
  <c r="P132" i="19" s="1"/>
  <c r="P133" i="19" s="1"/>
  <c r="P134" i="19" s="1"/>
  <c r="P135" i="19" s="1"/>
  <c r="P136" i="19" s="1"/>
  <c r="P137" i="19" s="1"/>
  <c r="P138" i="19" s="1"/>
  <c r="P139" i="19" s="1"/>
  <c r="P140" i="19" s="1"/>
  <c r="P141" i="19" s="1"/>
  <c r="P142" i="19" s="1"/>
  <c r="P143" i="19" s="1"/>
  <c r="P144" i="19" s="1"/>
  <c r="P145" i="19" s="1"/>
  <c r="P146" i="19" s="1"/>
  <c r="P147" i="19" s="1"/>
  <c r="P148" i="19" s="1"/>
  <c r="P149" i="19" s="1"/>
  <c r="P150" i="19" s="1"/>
  <c r="P151" i="19" s="1"/>
  <c r="P152" i="19" s="1"/>
  <c r="P153" i="19" s="1"/>
  <c r="P154" i="19" s="1"/>
  <c r="P155" i="19" s="1"/>
  <c r="P156" i="19" s="1"/>
  <c r="P157" i="19" s="1"/>
  <c r="P158" i="19" s="1"/>
  <c r="P159" i="19" s="1"/>
  <c r="P160" i="19" s="1"/>
  <c r="P161" i="19" s="1"/>
  <c r="P162" i="19" s="1"/>
  <c r="P163" i="19" s="1"/>
  <c r="P164" i="19" s="1"/>
  <c r="P165" i="19" s="1"/>
  <c r="P166" i="19" s="1"/>
  <c r="P167" i="19" s="1"/>
  <c r="P168" i="19" s="1"/>
  <c r="P169" i="19" s="1"/>
  <c r="P170" i="19" s="1"/>
  <c r="P171" i="19" s="1"/>
  <c r="P172" i="19" s="1"/>
  <c r="P173" i="19" s="1"/>
  <c r="P174" i="19" s="1"/>
  <c r="P175" i="19" s="1"/>
  <c r="P176" i="19" s="1"/>
  <c r="P177" i="19" s="1"/>
  <c r="P178" i="19" s="1"/>
  <c r="P179" i="19" s="1"/>
  <c r="P180" i="19" s="1"/>
  <c r="P181" i="19" s="1"/>
  <c r="P182" i="19" s="1"/>
  <c r="P183" i="19" s="1"/>
  <c r="P184" i="19" s="1"/>
  <c r="P185" i="19" s="1"/>
  <c r="P186" i="19" s="1"/>
  <c r="P187" i="19" s="1"/>
  <c r="P188" i="19" s="1"/>
  <c r="P189" i="19" s="1"/>
  <c r="P190" i="19" s="1"/>
  <c r="P191" i="19" s="1"/>
  <c r="P192" i="19" s="1"/>
  <c r="P193" i="19" s="1"/>
  <c r="P194" i="19" s="1"/>
  <c r="P195" i="19" s="1"/>
  <c r="P196" i="19" s="1"/>
  <c r="P197" i="19" s="1"/>
  <c r="P198" i="19" s="1"/>
  <c r="P199" i="19" s="1"/>
  <c r="P200" i="19" s="1"/>
  <c r="P201" i="19" s="1"/>
  <c r="P202" i="19" s="1"/>
  <c r="P203" i="19" s="1"/>
  <c r="P204" i="19" s="1"/>
  <c r="P205" i="19" s="1"/>
  <c r="P206" i="19" s="1"/>
  <c r="P207" i="19" s="1"/>
  <c r="P208" i="19" s="1"/>
  <c r="P209" i="19" s="1"/>
  <c r="P210" i="19" s="1"/>
  <c r="P211" i="19" s="1"/>
  <c r="P212" i="19" s="1"/>
  <c r="P213" i="19" s="1"/>
  <c r="P214" i="19" s="1"/>
  <c r="P215" i="19" s="1"/>
  <c r="P216" i="19" s="1"/>
  <c r="P217" i="19" s="1"/>
  <c r="P218" i="19" s="1"/>
  <c r="P219" i="19" s="1"/>
  <c r="P220" i="19" s="1"/>
  <c r="P221" i="19" s="1"/>
  <c r="P222" i="19" s="1"/>
  <c r="P223" i="19" s="1"/>
  <c r="P224" i="19" s="1"/>
  <c r="P225" i="19" s="1"/>
  <c r="P226" i="19" s="1"/>
  <c r="P227" i="19" s="1"/>
  <c r="P228" i="19" s="1"/>
  <c r="P229" i="19" s="1"/>
  <c r="P230" i="19" s="1"/>
  <c r="P231" i="19" s="1"/>
  <c r="P232" i="19" s="1"/>
  <c r="P233" i="19" s="1"/>
  <c r="P234" i="19" s="1"/>
  <c r="P235" i="19" s="1"/>
  <c r="P236" i="19" s="1"/>
  <c r="P237" i="19" s="1"/>
  <c r="P238" i="19" s="1"/>
  <c r="P239" i="19" s="1"/>
  <c r="P240" i="19" s="1"/>
  <c r="P241" i="19" s="1"/>
  <c r="P242" i="19" s="1"/>
  <c r="P243" i="19" s="1"/>
  <c r="P244" i="19" s="1"/>
  <c r="P245" i="19" s="1"/>
  <c r="P246" i="19" s="1"/>
  <c r="P247" i="19" s="1"/>
  <c r="P248" i="19" s="1"/>
  <c r="P249" i="19" s="1"/>
  <c r="P250" i="19" s="1"/>
  <c r="P251" i="19" s="1"/>
  <c r="P252" i="19" s="1"/>
  <c r="P253" i="19" s="1"/>
  <c r="P254" i="19" s="1"/>
  <c r="P255" i="19" s="1"/>
  <c r="P256" i="19" s="1"/>
  <c r="P257" i="19" s="1"/>
  <c r="P258" i="19" s="1"/>
  <c r="P259" i="19" s="1"/>
  <c r="P260" i="19" s="1"/>
  <c r="P261" i="19" s="1"/>
  <c r="P262" i="19" s="1"/>
  <c r="P263" i="19" s="1"/>
  <c r="P264" i="19" s="1"/>
  <c r="P265" i="19" s="1"/>
  <c r="P266" i="19" s="1"/>
  <c r="P267" i="19" s="1"/>
  <c r="P268" i="19" s="1"/>
  <c r="P269" i="19" s="1"/>
  <c r="P270" i="19" s="1"/>
  <c r="P271" i="19" s="1"/>
  <c r="P272" i="19" s="1"/>
  <c r="P273" i="19" s="1"/>
  <c r="P274" i="19" s="1"/>
  <c r="P275" i="19" s="1"/>
  <c r="P276" i="19" s="1"/>
  <c r="P277" i="19" s="1"/>
  <c r="P278" i="19" s="1"/>
  <c r="P279" i="19" s="1"/>
  <c r="P280" i="19" s="1"/>
  <c r="P281" i="19" s="1"/>
  <c r="P282" i="19" s="1"/>
  <c r="P283" i="19" s="1"/>
  <c r="P284" i="19" s="1"/>
  <c r="P285" i="19" s="1"/>
  <c r="P286" i="19" s="1"/>
  <c r="P287" i="19" s="1"/>
  <c r="P288" i="19" s="1"/>
  <c r="P289" i="19" s="1"/>
  <c r="P290" i="19" s="1"/>
  <c r="P291" i="19" s="1"/>
  <c r="P292" i="19" s="1"/>
  <c r="P293" i="19" s="1"/>
  <c r="P294" i="19" s="1"/>
  <c r="P295" i="19" s="1"/>
  <c r="P296" i="19" s="1"/>
  <c r="P297" i="19" s="1"/>
  <c r="P298" i="19" s="1"/>
  <c r="P299" i="19" s="1"/>
  <c r="P300" i="19" s="1"/>
  <c r="P301" i="19" s="1"/>
  <c r="P302" i="19" s="1"/>
  <c r="P303" i="19" s="1"/>
  <c r="P304" i="19" s="1"/>
  <c r="P305" i="19" s="1"/>
  <c r="P306" i="19" s="1"/>
  <c r="P307" i="19" s="1"/>
  <c r="P308" i="19" s="1"/>
  <c r="P309" i="19" s="1"/>
  <c r="P310" i="19" s="1"/>
  <c r="P311" i="19" s="1"/>
  <c r="P312" i="19" s="1"/>
  <c r="P313" i="19" s="1"/>
  <c r="P314" i="19" s="1"/>
  <c r="P315" i="19" s="1"/>
  <c r="P316" i="19" s="1"/>
  <c r="P317" i="19" s="1"/>
  <c r="P318" i="19" s="1"/>
  <c r="P319" i="19" s="1"/>
  <c r="P320" i="19" s="1"/>
  <c r="P321" i="19" s="1"/>
  <c r="P322" i="19" s="1"/>
  <c r="P323" i="19" s="1"/>
  <c r="P324" i="19" s="1"/>
  <c r="P325" i="19" s="1"/>
  <c r="P326" i="19" s="1"/>
  <c r="P327" i="19" s="1"/>
  <c r="P328" i="19" s="1"/>
  <c r="P329" i="19" s="1"/>
  <c r="P330" i="19" s="1"/>
  <c r="P331" i="19" s="1"/>
  <c r="P332" i="19" s="1"/>
  <c r="P333" i="19" s="1"/>
  <c r="P334" i="19" s="1"/>
  <c r="P335" i="19" s="1"/>
  <c r="P336" i="19" s="1"/>
  <c r="P337" i="19" s="1"/>
  <c r="P338" i="19" s="1"/>
  <c r="P339" i="19" s="1"/>
  <c r="P340" i="19" s="1"/>
  <c r="P341" i="19" s="1"/>
  <c r="P342" i="19" s="1"/>
  <c r="P343" i="19" s="1"/>
  <c r="P344" i="19" s="1"/>
  <c r="P345" i="19" s="1"/>
  <c r="J3" i="19"/>
  <c r="J4" i="19" s="1"/>
  <c r="J5" i="19" s="1"/>
  <c r="J6" i="19" s="1"/>
  <c r="J7" i="19" s="1"/>
  <c r="J8" i="19" s="1"/>
  <c r="J9" i="19" s="1"/>
  <c r="J10" i="19" s="1"/>
  <c r="J11" i="19" s="1"/>
  <c r="J12" i="19" s="1"/>
  <c r="J13" i="19" s="1"/>
  <c r="J14" i="19" s="1"/>
  <c r="J15" i="19" s="1"/>
  <c r="J16" i="19" s="1"/>
  <c r="J17" i="19" s="1"/>
  <c r="J18" i="19" s="1"/>
  <c r="J19" i="19" s="1"/>
  <c r="J20" i="19" s="1"/>
  <c r="J21" i="19" s="1"/>
  <c r="J22" i="19" s="1"/>
  <c r="J23" i="19" s="1"/>
  <c r="J24" i="19" s="1"/>
  <c r="J25" i="19" s="1"/>
  <c r="J26" i="19" s="1"/>
  <c r="J27" i="19" s="1"/>
  <c r="J28" i="19" s="1"/>
  <c r="J29" i="19" s="1"/>
  <c r="J30" i="19" s="1"/>
  <c r="J31" i="19" s="1"/>
  <c r="J32" i="19" s="1"/>
  <c r="J33" i="19" s="1"/>
  <c r="J34" i="19" s="1"/>
  <c r="J35" i="19" s="1"/>
  <c r="J36" i="19" s="1"/>
  <c r="J37" i="19" s="1"/>
  <c r="J38" i="19" s="1"/>
  <c r="J39" i="19" s="1"/>
  <c r="J40" i="19" s="1"/>
  <c r="J41" i="19" s="1"/>
  <c r="J42" i="19" s="1"/>
  <c r="J43" i="19" s="1"/>
  <c r="J44" i="19" s="1"/>
  <c r="J45" i="19" s="1"/>
  <c r="J46" i="19" s="1"/>
  <c r="J47" i="19" s="1"/>
  <c r="J48" i="19" s="1"/>
  <c r="J49" i="19" s="1"/>
  <c r="J50" i="19" s="1"/>
  <c r="J51" i="19" s="1"/>
  <c r="J52" i="19" s="1"/>
  <c r="J53" i="19" s="1"/>
  <c r="J54" i="19" s="1"/>
  <c r="J55" i="19" s="1"/>
  <c r="J56" i="19" s="1"/>
  <c r="J57" i="19" s="1"/>
  <c r="J58" i="19" s="1"/>
  <c r="J59" i="19" s="1"/>
  <c r="J60" i="19" s="1"/>
  <c r="J61" i="19" s="1"/>
  <c r="J62" i="19" s="1"/>
  <c r="J63" i="19" s="1"/>
  <c r="J64" i="19" s="1"/>
  <c r="J65" i="19" s="1"/>
  <c r="J66" i="19" s="1"/>
  <c r="J67" i="19" s="1"/>
  <c r="J68" i="19" s="1"/>
  <c r="J69" i="19" s="1"/>
  <c r="J70" i="19" s="1"/>
  <c r="J71" i="19" s="1"/>
  <c r="J72" i="19" s="1"/>
  <c r="J73" i="19" s="1"/>
  <c r="J74" i="19" s="1"/>
  <c r="J75" i="19" s="1"/>
  <c r="J76" i="19" s="1"/>
  <c r="J77" i="19" s="1"/>
  <c r="J78" i="19" s="1"/>
  <c r="J79" i="19" s="1"/>
  <c r="J80" i="19" s="1"/>
  <c r="J81" i="19" s="1"/>
  <c r="J82" i="19" s="1"/>
  <c r="J83" i="19" s="1"/>
  <c r="J84" i="19" s="1"/>
  <c r="J85" i="19" s="1"/>
  <c r="J86" i="19" s="1"/>
  <c r="J87" i="19" s="1"/>
  <c r="J88" i="19" s="1"/>
  <c r="J89" i="19" s="1"/>
  <c r="J90" i="19" s="1"/>
  <c r="J91" i="19" s="1"/>
  <c r="J92" i="19" s="1"/>
  <c r="J93" i="19" s="1"/>
  <c r="J94" i="19" s="1"/>
  <c r="J95" i="19" s="1"/>
  <c r="J96" i="19" s="1"/>
  <c r="J97" i="19" s="1"/>
  <c r="J98" i="19" s="1"/>
  <c r="J99" i="19" s="1"/>
  <c r="J100" i="19" s="1"/>
  <c r="J101" i="19" s="1"/>
  <c r="J102" i="19" s="1"/>
  <c r="J103" i="19" s="1"/>
  <c r="J104" i="19" s="1"/>
  <c r="J105" i="19" s="1"/>
  <c r="J106" i="19" s="1"/>
  <c r="J107" i="19" s="1"/>
  <c r="J108" i="19" s="1"/>
  <c r="J109" i="19" s="1"/>
  <c r="J110" i="19" s="1"/>
  <c r="J111" i="19" s="1"/>
  <c r="J112" i="19" s="1"/>
  <c r="J113" i="19" s="1"/>
  <c r="J114" i="19" s="1"/>
  <c r="J115" i="19" s="1"/>
  <c r="J116" i="19" s="1"/>
  <c r="J117" i="19" s="1"/>
  <c r="J118" i="19" s="1"/>
  <c r="J119" i="19" s="1"/>
  <c r="J120" i="19" s="1"/>
  <c r="J121" i="19" s="1"/>
  <c r="J122" i="19" s="1"/>
  <c r="J123" i="19" s="1"/>
  <c r="J124" i="19" s="1"/>
  <c r="J125" i="19" s="1"/>
  <c r="J126" i="19" s="1"/>
  <c r="J127" i="19" s="1"/>
  <c r="J128" i="19" s="1"/>
  <c r="J129" i="19" s="1"/>
  <c r="J130" i="19" s="1"/>
  <c r="J131" i="19" s="1"/>
  <c r="J132" i="19" s="1"/>
  <c r="J133" i="19" s="1"/>
  <c r="J134" i="19" s="1"/>
  <c r="J135" i="19" s="1"/>
  <c r="J136" i="19" s="1"/>
  <c r="J137" i="19" s="1"/>
  <c r="J138" i="19" s="1"/>
  <c r="J139" i="19" s="1"/>
  <c r="J140" i="19" s="1"/>
  <c r="J141" i="19" s="1"/>
  <c r="J142" i="19" s="1"/>
  <c r="J143" i="19" s="1"/>
  <c r="J144" i="19" s="1"/>
  <c r="J145" i="19" s="1"/>
  <c r="J146" i="19" s="1"/>
  <c r="J147" i="19" s="1"/>
  <c r="J148" i="19" s="1"/>
  <c r="J149" i="19" s="1"/>
  <c r="J150" i="19" s="1"/>
  <c r="J151" i="19" s="1"/>
  <c r="J152" i="19" s="1"/>
  <c r="J153" i="19" s="1"/>
  <c r="J154" i="19" s="1"/>
  <c r="J155" i="19" s="1"/>
  <c r="J156" i="19" s="1"/>
  <c r="J157" i="19" s="1"/>
  <c r="J158" i="19" s="1"/>
  <c r="J159" i="19" s="1"/>
  <c r="J160" i="19" s="1"/>
  <c r="J161" i="19" s="1"/>
  <c r="J162" i="19" s="1"/>
  <c r="J163" i="19" s="1"/>
  <c r="J164" i="19" s="1"/>
  <c r="J165" i="19" s="1"/>
  <c r="J166" i="19" s="1"/>
  <c r="J167" i="19" s="1"/>
  <c r="J168" i="19" s="1"/>
  <c r="J169" i="19" s="1"/>
  <c r="J170" i="19" s="1"/>
  <c r="J171" i="19" s="1"/>
  <c r="J172" i="19" s="1"/>
  <c r="J173" i="19" s="1"/>
  <c r="J174" i="19" s="1"/>
  <c r="J175" i="19" s="1"/>
  <c r="J176" i="19" s="1"/>
  <c r="J177" i="19" s="1"/>
  <c r="J178" i="19" s="1"/>
  <c r="J179" i="19" s="1"/>
  <c r="J180" i="19" s="1"/>
  <c r="J181" i="19" s="1"/>
  <c r="J182" i="19" s="1"/>
  <c r="J183" i="19" s="1"/>
  <c r="J184" i="19" s="1"/>
  <c r="J185" i="19" s="1"/>
  <c r="J186" i="19" s="1"/>
  <c r="J187" i="19" s="1"/>
  <c r="J188" i="19" s="1"/>
  <c r="J189" i="19" s="1"/>
  <c r="J190" i="19" s="1"/>
  <c r="J191" i="19" s="1"/>
  <c r="J192" i="19" s="1"/>
  <c r="J193" i="19" s="1"/>
  <c r="J194" i="19" s="1"/>
  <c r="J195" i="19" s="1"/>
  <c r="J196" i="19" s="1"/>
  <c r="J197" i="19" s="1"/>
  <c r="J198" i="19" s="1"/>
  <c r="J199" i="19" s="1"/>
  <c r="J200" i="19" s="1"/>
  <c r="J201" i="19" s="1"/>
  <c r="J202" i="19" s="1"/>
  <c r="J203" i="19" s="1"/>
  <c r="J204" i="19" s="1"/>
  <c r="J205" i="19" s="1"/>
  <c r="J206" i="19" s="1"/>
  <c r="J207" i="19" s="1"/>
  <c r="J208" i="19" s="1"/>
  <c r="J209" i="19" s="1"/>
  <c r="J210" i="19" s="1"/>
  <c r="J211" i="19" s="1"/>
  <c r="J212" i="19" s="1"/>
  <c r="J213" i="19" s="1"/>
  <c r="J214" i="19" s="1"/>
  <c r="J215" i="19" s="1"/>
  <c r="J216" i="19" s="1"/>
  <c r="J217" i="19" s="1"/>
  <c r="J218" i="19" s="1"/>
  <c r="J219" i="19" s="1"/>
  <c r="J220" i="19" s="1"/>
  <c r="J221" i="19" s="1"/>
  <c r="J222" i="19" s="1"/>
  <c r="J223" i="19" s="1"/>
  <c r="J224" i="19" s="1"/>
  <c r="J225" i="19" s="1"/>
  <c r="J226" i="19" s="1"/>
  <c r="J227" i="19" s="1"/>
  <c r="J228" i="19" s="1"/>
  <c r="J229" i="19" s="1"/>
  <c r="J230" i="19" s="1"/>
  <c r="J231" i="19" s="1"/>
  <c r="J232" i="19" s="1"/>
  <c r="J233" i="19" s="1"/>
  <c r="J234" i="19" s="1"/>
  <c r="J235" i="19" s="1"/>
  <c r="J236" i="19" s="1"/>
  <c r="J237" i="19" s="1"/>
  <c r="J238" i="19" s="1"/>
  <c r="J239" i="19" s="1"/>
  <c r="J240" i="19" s="1"/>
  <c r="J241" i="19" s="1"/>
  <c r="J242" i="19" s="1"/>
  <c r="J243" i="19" s="1"/>
  <c r="J244" i="19" s="1"/>
  <c r="J245" i="19" s="1"/>
  <c r="J246" i="19" s="1"/>
  <c r="J247" i="19" s="1"/>
  <c r="J248" i="19" s="1"/>
  <c r="J249" i="19" s="1"/>
  <c r="J250" i="19" s="1"/>
  <c r="J251" i="19" s="1"/>
  <c r="J252" i="19" s="1"/>
  <c r="J253" i="19" s="1"/>
  <c r="J254" i="19" s="1"/>
  <c r="J255" i="19" s="1"/>
  <c r="J256" i="19" s="1"/>
  <c r="J257" i="19" s="1"/>
  <c r="J258" i="19" s="1"/>
  <c r="J259" i="19" s="1"/>
  <c r="J260" i="19" s="1"/>
  <c r="J261" i="19" s="1"/>
  <c r="J262" i="19" s="1"/>
  <c r="J263" i="19" s="1"/>
  <c r="J264" i="19" s="1"/>
  <c r="J265" i="19" s="1"/>
  <c r="J266" i="19" s="1"/>
  <c r="J267" i="19" s="1"/>
  <c r="J268" i="19" s="1"/>
  <c r="J269" i="19" s="1"/>
  <c r="J270" i="19" s="1"/>
  <c r="J271" i="19" s="1"/>
  <c r="J272" i="19" s="1"/>
  <c r="J273" i="19" s="1"/>
  <c r="J274" i="19" s="1"/>
  <c r="J275" i="19" s="1"/>
  <c r="J276" i="19" s="1"/>
  <c r="J277" i="19" s="1"/>
  <c r="J278" i="19" s="1"/>
  <c r="J279" i="19" s="1"/>
  <c r="J280" i="19" s="1"/>
  <c r="J281" i="19" s="1"/>
  <c r="J282" i="19" s="1"/>
  <c r="J283" i="19" s="1"/>
  <c r="J284" i="19" s="1"/>
  <c r="J285" i="19" s="1"/>
  <c r="J286" i="19" s="1"/>
  <c r="J287" i="19" s="1"/>
  <c r="J288" i="19" s="1"/>
  <c r="J289" i="19" s="1"/>
  <c r="J290" i="19" s="1"/>
  <c r="J291" i="19" s="1"/>
  <c r="J292" i="19" s="1"/>
  <c r="J293" i="19" s="1"/>
  <c r="J294" i="19" s="1"/>
  <c r="J295" i="19" s="1"/>
  <c r="J296" i="19" s="1"/>
  <c r="J297" i="19" s="1"/>
  <c r="J298" i="19" s="1"/>
  <c r="J299" i="19" s="1"/>
  <c r="J300" i="19" s="1"/>
  <c r="J301" i="19" s="1"/>
  <c r="J302" i="19" s="1"/>
  <c r="J303" i="19" s="1"/>
  <c r="J304" i="19" s="1"/>
  <c r="J305" i="19" s="1"/>
  <c r="J306" i="19" s="1"/>
  <c r="J307" i="19" s="1"/>
  <c r="J308" i="19" s="1"/>
  <c r="J309" i="19" s="1"/>
  <c r="J310" i="19" s="1"/>
  <c r="J311" i="19" s="1"/>
  <c r="J312" i="19" s="1"/>
  <c r="J313" i="19" s="1"/>
  <c r="J314" i="19" s="1"/>
  <c r="J315" i="19" s="1"/>
  <c r="J316" i="19" s="1"/>
  <c r="J317" i="19" s="1"/>
  <c r="J318" i="19" s="1"/>
  <c r="J319" i="19" s="1"/>
  <c r="J320" i="19" s="1"/>
  <c r="J321" i="19" s="1"/>
  <c r="J322" i="19" s="1"/>
  <c r="J323" i="19" s="1"/>
  <c r="J324" i="19" s="1"/>
  <c r="J325" i="19" s="1"/>
  <c r="J326" i="19" s="1"/>
  <c r="J327" i="19" s="1"/>
  <c r="J328" i="19" s="1"/>
  <c r="J329" i="19" s="1"/>
  <c r="J330" i="19" s="1"/>
  <c r="J331" i="19" s="1"/>
  <c r="J332" i="19" s="1"/>
  <c r="J333" i="19" s="1"/>
  <c r="J334" i="19" s="1"/>
  <c r="J335" i="19" s="1"/>
  <c r="J336" i="19" s="1"/>
  <c r="J337" i="19" s="1"/>
  <c r="J338" i="19" s="1"/>
  <c r="J339" i="19" s="1"/>
  <c r="J340" i="19" s="1"/>
  <c r="J341" i="19" s="1"/>
  <c r="J342" i="19" s="1"/>
  <c r="J343" i="19" s="1"/>
  <c r="J344" i="19" s="1"/>
  <c r="J345" i="19" s="1"/>
  <c r="U5" i="16"/>
  <c r="U6" i="16"/>
  <c r="U8" i="16"/>
  <c r="U9" i="16"/>
  <c r="U10" i="16"/>
  <c r="U12" i="16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32" i="16"/>
  <c r="U33" i="16"/>
  <c r="U34" i="16"/>
  <c r="U35" i="16"/>
  <c r="U36" i="16"/>
  <c r="U37" i="16"/>
  <c r="U38" i="16"/>
  <c r="U39" i="16"/>
  <c r="U40" i="16"/>
  <c r="U41" i="16"/>
  <c r="U42" i="16"/>
  <c r="U43" i="16"/>
  <c r="U44" i="16"/>
  <c r="U45" i="16"/>
  <c r="U46" i="16"/>
  <c r="U47" i="16"/>
  <c r="U48" i="16"/>
  <c r="U49" i="16"/>
  <c r="U50" i="16"/>
  <c r="U51" i="16"/>
  <c r="U52" i="16"/>
  <c r="U53" i="16"/>
  <c r="U54" i="16"/>
  <c r="U55" i="16"/>
  <c r="U56" i="16"/>
  <c r="U57" i="16"/>
  <c r="U58" i="16"/>
  <c r="U59" i="16"/>
  <c r="U60" i="16"/>
  <c r="U61" i="16"/>
  <c r="U62" i="16"/>
  <c r="U63" i="16"/>
  <c r="U64" i="16"/>
  <c r="U65" i="16"/>
  <c r="U66" i="16"/>
  <c r="U67" i="16"/>
  <c r="U68" i="16"/>
  <c r="U69" i="16"/>
  <c r="U70" i="16"/>
  <c r="U71" i="16"/>
  <c r="U72" i="16"/>
  <c r="U73" i="16"/>
  <c r="U74" i="16"/>
  <c r="U75" i="16"/>
  <c r="U76" i="16"/>
  <c r="U77" i="16"/>
  <c r="U78" i="16"/>
  <c r="U79" i="16"/>
  <c r="U80" i="16"/>
  <c r="U81" i="16"/>
  <c r="U82" i="16"/>
  <c r="U83" i="16"/>
  <c r="U84" i="16"/>
  <c r="U85" i="16"/>
  <c r="U86" i="16"/>
  <c r="U87" i="16"/>
  <c r="U88" i="16"/>
  <c r="U89" i="16"/>
  <c r="U90" i="16"/>
  <c r="U91" i="16"/>
  <c r="U92" i="16"/>
  <c r="U93" i="16"/>
  <c r="U94" i="16"/>
  <c r="U95" i="16"/>
  <c r="U96" i="16"/>
  <c r="U97" i="16"/>
  <c r="U98" i="16"/>
  <c r="U99" i="16"/>
  <c r="U100" i="16"/>
  <c r="U101" i="16"/>
  <c r="U102" i="16"/>
  <c r="U103" i="16"/>
  <c r="U104" i="16"/>
  <c r="U105" i="16"/>
  <c r="U106" i="16"/>
  <c r="U107" i="16"/>
  <c r="U108" i="16"/>
  <c r="U109" i="16"/>
  <c r="U110" i="16"/>
  <c r="U111" i="16"/>
  <c r="U112" i="16"/>
  <c r="U113" i="16"/>
  <c r="U114" i="16"/>
  <c r="U115" i="16"/>
  <c r="U116" i="16"/>
  <c r="U117" i="16"/>
  <c r="U118" i="16"/>
  <c r="U119" i="16"/>
  <c r="U120" i="16"/>
  <c r="U121" i="16"/>
  <c r="U122" i="16"/>
  <c r="U123" i="16"/>
  <c r="U124" i="16"/>
  <c r="U125" i="16"/>
  <c r="U126" i="16"/>
  <c r="U127" i="16"/>
  <c r="U128" i="16"/>
  <c r="U129" i="16"/>
  <c r="U130" i="16"/>
  <c r="U131" i="16"/>
  <c r="U132" i="16"/>
  <c r="U133" i="16"/>
  <c r="U134" i="16"/>
  <c r="U135" i="16"/>
  <c r="U136" i="16"/>
  <c r="U137" i="16"/>
  <c r="U138" i="16"/>
  <c r="U139" i="16"/>
  <c r="U140" i="16"/>
  <c r="U141" i="16"/>
  <c r="U142" i="16"/>
  <c r="U143" i="16"/>
  <c r="U144" i="16"/>
  <c r="U145" i="16"/>
  <c r="U146" i="16"/>
  <c r="U147" i="16"/>
  <c r="U148" i="16"/>
  <c r="U149" i="16"/>
  <c r="U150" i="16"/>
  <c r="U151" i="16"/>
  <c r="U152" i="16"/>
  <c r="U153" i="16"/>
  <c r="U154" i="16"/>
  <c r="U155" i="16"/>
  <c r="U156" i="16"/>
  <c r="U157" i="16"/>
  <c r="U158" i="16"/>
  <c r="U159" i="16"/>
  <c r="U160" i="16"/>
  <c r="U161" i="16"/>
  <c r="U162" i="16"/>
  <c r="U163" i="16"/>
  <c r="U164" i="16"/>
  <c r="U165" i="16"/>
  <c r="U166" i="16"/>
  <c r="U167" i="16"/>
  <c r="U168" i="16"/>
  <c r="U169" i="16"/>
  <c r="U170" i="16"/>
  <c r="U171" i="16"/>
  <c r="U172" i="16"/>
  <c r="U173" i="16"/>
  <c r="U174" i="16"/>
  <c r="U175" i="16"/>
  <c r="U176" i="16"/>
  <c r="U177" i="16"/>
  <c r="U178" i="16"/>
  <c r="U179" i="16"/>
  <c r="U180" i="16"/>
  <c r="U181" i="16"/>
  <c r="U182" i="16"/>
  <c r="U183" i="16"/>
  <c r="U184" i="16"/>
  <c r="U185" i="16"/>
  <c r="U186" i="16"/>
  <c r="U187" i="16"/>
  <c r="U188" i="16"/>
  <c r="U189" i="16"/>
  <c r="U190" i="16"/>
  <c r="U191" i="16"/>
  <c r="U192" i="16"/>
  <c r="U193" i="16"/>
  <c r="U194" i="16"/>
  <c r="U195" i="16"/>
  <c r="U196" i="16"/>
  <c r="U197" i="16"/>
  <c r="U198" i="16"/>
  <c r="U199" i="16"/>
  <c r="U200" i="16"/>
  <c r="U201" i="16"/>
  <c r="U202" i="16"/>
  <c r="U203" i="16"/>
  <c r="U204" i="16"/>
  <c r="U205" i="16"/>
  <c r="U206" i="16"/>
  <c r="U207" i="16"/>
  <c r="U208" i="16"/>
  <c r="U209" i="16"/>
  <c r="U210" i="16"/>
  <c r="U211" i="16"/>
  <c r="U212" i="16"/>
  <c r="U213" i="16"/>
  <c r="U214" i="16"/>
  <c r="U215" i="16"/>
  <c r="U216" i="16"/>
  <c r="U217" i="16"/>
  <c r="U218" i="16"/>
  <c r="U219" i="16"/>
  <c r="U220" i="16"/>
  <c r="U221" i="16"/>
  <c r="U222" i="16"/>
  <c r="U223" i="16"/>
  <c r="U224" i="16"/>
  <c r="U225" i="16"/>
  <c r="U226" i="16"/>
  <c r="U227" i="16"/>
  <c r="U228" i="16"/>
  <c r="U229" i="16"/>
  <c r="U230" i="16"/>
  <c r="U231" i="16"/>
  <c r="U232" i="16"/>
  <c r="U233" i="16"/>
  <c r="U234" i="16"/>
  <c r="U235" i="16"/>
  <c r="U236" i="16"/>
  <c r="U237" i="16"/>
  <c r="U238" i="16"/>
  <c r="U239" i="16"/>
  <c r="U240" i="16"/>
  <c r="U241" i="16"/>
  <c r="U242" i="16"/>
  <c r="U243" i="16"/>
  <c r="U244" i="16"/>
  <c r="U245" i="16"/>
  <c r="U246" i="16"/>
  <c r="U247" i="16"/>
  <c r="U248" i="16"/>
  <c r="U249" i="16"/>
  <c r="U250" i="16"/>
  <c r="U251" i="16"/>
  <c r="U252" i="16"/>
  <c r="U253" i="16"/>
  <c r="U254" i="16"/>
  <c r="U255" i="16"/>
  <c r="U256" i="16"/>
  <c r="U257" i="16"/>
  <c r="U258" i="16"/>
  <c r="U259" i="16"/>
  <c r="U260" i="16"/>
  <c r="U261" i="16"/>
  <c r="U262" i="16"/>
  <c r="U263" i="16"/>
  <c r="U264" i="16"/>
  <c r="U265" i="16"/>
  <c r="U266" i="16"/>
  <c r="U267" i="16"/>
  <c r="U268" i="16"/>
  <c r="U269" i="16"/>
  <c r="U270" i="16"/>
  <c r="U271" i="16"/>
  <c r="U272" i="16"/>
  <c r="U273" i="16"/>
  <c r="U274" i="16"/>
  <c r="U275" i="16"/>
  <c r="U276" i="16"/>
  <c r="U277" i="16"/>
  <c r="U278" i="16"/>
  <c r="U279" i="16"/>
  <c r="U280" i="16"/>
  <c r="U281" i="16"/>
  <c r="U282" i="16"/>
  <c r="U283" i="16"/>
  <c r="U284" i="16"/>
  <c r="U285" i="16"/>
  <c r="U286" i="16"/>
  <c r="U287" i="16"/>
  <c r="U288" i="16"/>
  <c r="U289" i="16"/>
  <c r="U290" i="16"/>
  <c r="U291" i="16"/>
  <c r="U292" i="16"/>
  <c r="U293" i="16"/>
  <c r="U294" i="16"/>
  <c r="U295" i="16"/>
  <c r="U296" i="16"/>
  <c r="U297" i="16"/>
  <c r="U298" i="16"/>
  <c r="U299" i="16"/>
  <c r="U300" i="16"/>
  <c r="U301" i="16"/>
  <c r="U302" i="16"/>
  <c r="U303" i="16"/>
  <c r="U304" i="16"/>
  <c r="U305" i="16"/>
  <c r="U306" i="16"/>
  <c r="U307" i="16"/>
  <c r="U308" i="16"/>
  <c r="U309" i="16"/>
  <c r="U310" i="16"/>
  <c r="U311" i="16"/>
  <c r="U312" i="16"/>
  <c r="U313" i="16"/>
  <c r="U314" i="16"/>
  <c r="U315" i="16"/>
  <c r="U316" i="16"/>
  <c r="U317" i="16"/>
  <c r="U318" i="16"/>
  <c r="U319" i="16"/>
  <c r="U320" i="16"/>
  <c r="U321" i="16"/>
  <c r="U322" i="16"/>
  <c r="U323" i="16"/>
  <c r="U324" i="16"/>
  <c r="U325" i="16"/>
  <c r="U326" i="16"/>
  <c r="U327" i="16"/>
  <c r="U328" i="16"/>
  <c r="U329" i="16"/>
  <c r="U330" i="16"/>
  <c r="U331" i="16"/>
  <c r="U332" i="16"/>
  <c r="U333" i="16"/>
  <c r="U334" i="16"/>
  <c r="U335" i="16"/>
  <c r="U336" i="16"/>
  <c r="U337" i="16"/>
  <c r="U338" i="16"/>
  <c r="U339" i="16"/>
  <c r="U340" i="16"/>
  <c r="U341" i="16"/>
  <c r="U342" i="16"/>
  <c r="U343" i="16"/>
  <c r="U344" i="16"/>
  <c r="U345" i="16"/>
  <c r="U346" i="16"/>
  <c r="O5" i="16"/>
  <c r="I5" i="16"/>
  <c r="U4" i="16"/>
  <c r="R4" i="16"/>
  <c r="O4" i="16"/>
  <c r="L4" i="16"/>
  <c r="I4" i="16"/>
  <c r="F4" i="16"/>
  <c r="D6" i="16"/>
  <c r="D7" i="16"/>
  <c r="D8" i="16"/>
  <c r="D9" i="16"/>
  <c r="D10" i="16"/>
  <c r="D11" i="16"/>
  <c r="D12" i="16"/>
  <c r="D13" i="16"/>
  <c r="D14" i="16"/>
  <c r="D15" i="16"/>
  <c r="V15" i="16" s="1"/>
  <c r="D16" i="16"/>
  <c r="D17" i="16"/>
  <c r="D18" i="16"/>
  <c r="D19" i="16"/>
  <c r="D20" i="16"/>
  <c r="D21" i="16"/>
  <c r="D22" i="16"/>
  <c r="D23" i="16"/>
  <c r="V23" i="16" s="1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V39" i="16" s="1"/>
  <c r="D40" i="16"/>
  <c r="D41" i="16"/>
  <c r="D42" i="16"/>
  <c r="D43" i="16"/>
  <c r="D44" i="16"/>
  <c r="D45" i="16"/>
  <c r="D46" i="16"/>
  <c r="D47" i="16"/>
  <c r="V47" i="16" s="1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V63" i="16" s="1"/>
  <c r="D64" i="16"/>
  <c r="D65" i="16"/>
  <c r="D66" i="16"/>
  <c r="D67" i="16"/>
  <c r="D68" i="16"/>
  <c r="D69" i="16"/>
  <c r="D70" i="16"/>
  <c r="D71" i="16"/>
  <c r="V71" i="16" s="1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V87" i="16" s="1"/>
  <c r="D88" i="16"/>
  <c r="D89" i="16"/>
  <c r="D90" i="16"/>
  <c r="D91" i="16"/>
  <c r="D92" i="16"/>
  <c r="D93" i="16"/>
  <c r="D94" i="16"/>
  <c r="D95" i="16"/>
  <c r="V95" i="16" s="1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V111" i="16" s="1"/>
  <c r="D112" i="16"/>
  <c r="D113" i="16"/>
  <c r="D114" i="16"/>
  <c r="D115" i="16"/>
  <c r="D116" i="16"/>
  <c r="D117" i="16"/>
  <c r="D118" i="16"/>
  <c r="D119" i="16"/>
  <c r="V119" i="16" s="1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V143" i="16" s="1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V159" i="16" s="1"/>
  <c r="D160" i="16"/>
  <c r="D161" i="16"/>
  <c r="D162" i="16"/>
  <c r="D163" i="16"/>
  <c r="D164" i="16"/>
  <c r="D165" i="16"/>
  <c r="D166" i="16"/>
  <c r="D167" i="16"/>
  <c r="V167" i="16" s="1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V183" i="16" s="1"/>
  <c r="D184" i="16"/>
  <c r="D185" i="16"/>
  <c r="D186" i="16"/>
  <c r="D187" i="16"/>
  <c r="D188" i="16"/>
  <c r="D189" i="16"/>
  <c r="D190" i="16"/>
  <c r="D191" i="16"/>
  <c r="V191" i="16" s="1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V207" i="16" s="1"/>
  <c r="D208" i="16"/>
  <c r="D209" i="16"/>
  <c r="D210" i="16"/>
  <c r="D211" i="16"/>
  <c r="D212" i="16"/>
  <c r="D213" i="16"/>
  <c r="D214" i="16"/>
  <c r="D215" i="16"/>
  <c r="V215" i="16" s="1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V231" i="16" s="1"/>
  <c r="D232" i="16"/>
  <c r="D233" i="16"/>
  <c r="D234" i="16"/>
  <c r="D235" i="16"/>
  <c r="D236" i="16"/>
  <c r="D237" i="16"/>
  <c r="D238" i="16"/>
  <c r="D239" i="16"/>
  <c r="V239" i="16" s="1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V255" i="16" s="1"/>
  <c r="D256" i="16"/>
  <c r="D257" i="16"/>
  <c r="D258" i="16"/>
  <c r="D259" i="16"/>
  <c r="D260" i="16"/>
  <c r="D261" i="16"/>
  <c r="D262" i="16"/>
  <c r="D263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278" i="16"/>
  <c r="D279" i="16"/>
  <c r="V279" i="16" s="1"/>
  <c r="D280" i="16"/>
  <c r="D281" i="16"/>
  <c r="D282" i="16"/>
  <c r="D283" i="16"/>
  <c r="D284" i="16"/>
  <c r="D285" i="16"/>
  <c r="D286" i="16"/>
  <c r="D287" i="16"/>
  <c r="V287" i="16" s="1"/>
  <c r="D288" i="16"/>
  <c r="D289" i="16"/>
  <c r="D290" i="16"/>
  <c r="D291" i="16"/>
  <c r="D292" i="16"/>
  <c r="D293" i="16"/>
  <c r="D294" i="16"/>
  <c r="D295" i="16"/>
  <c r="D296" i="16"/>
  <c r="D297" i="16"/>
  <c r="D298" i="16"/>
  <c r="D299" i="16"/>
  <c r="D300" i="16"/>
  <c r="D301" i="16"/>
  <c r="D302" i="16"/>
  <c r="D303" i="16"/>
  <c r="V303" i="16" s="1"/>
  <c r="D304" i="16"/>
  <c r="D305" i="16"/>
  <c r="D306" i="16"/>
  <c r="D307" i="16"/>
  <c r="D308" i="16"/>
  <c r="D309" i="16"/>
  <c r="D310" i="16"/>
  <c r="D311" i="16"/>
  <c r="V311" i="16" s="1"/>
  <c r="D312" i="16"/>
  <c r="D313" i="16"/>
  <c r="D314" i="16"/>
  <c r="D315" i="16"/>
  <c r="D316" i="16"/>
  <c r="D317" i="16"/>
  <c r="D318" i="16"/>
  <c r="D319" i="16"/>
  <c r="D320" i="16"/>
  <c r="D321" i="16"/>
  <c r="D322" i="16"/>
  <c r="D323" i="16"/>
  <c r="D324" i="16"/>
  <c r="D325" i="16"/>
  <c r="D326" i="16"/>
  <c r="D327" i="16"/>
  <c r="V327" i="16" s="1"/>
  <c r="D328" i="16"/>
  <c r="D329" i="16"/>
  <c r="D330" i="16"/>
  <c r="D331" i="16"/>
  <c r="D332" i="16"/>
  <c r="D333" i="16"/>
  <c r="D334" i="16"/>
  <c r="D335" i="16"/>
  <c r="V335" i="16" s="1"/>
  <c r="D336" i="16"/>
  <c r="D337" i="16"/>
  <c r="D338" i="16"/>
  <c r="D339" i="16"/>
  <c r="D340" i="16"/>
  <c r="D341" i="16"/>
  <c r="D342" i="16"/>
  <c r="D343" i="16"/>
  <c r="D344" i="16"/>
  <c r="D345" i="16"/>
  <c r="D346" i="16"/>
  <c r="D5" i="16"/>
  <c r="D4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5" i="16"/>
  <c r="B4" i="16"/>
  <c r="V343" i="16" l="1"/>
  <c r="V319" i="16"/>
  <c r="V295" i="16"/>
  <c r="V271" i="16"/>
  <c r="V247" i="16"/>
  <c r="V223" i="16"/>
  <c r="V175" i="16"/>
  <c r="V151" i="16"/>
  <c r="V127" i="16"/>
  <c r="V103" i="16"/>
  <c r="V79" i="16"/>
  <c r="V55" i="16"/>
  <c r="V31" i="16"/>
  <c r="V5" i="16"/>
  <c r="V309" i="16"/>
  <c r="V205" i="16"/>
  <c r="V53" i="16"/>
  <c r="V260" i="16"/>
  <c r="V144" i="16"/>
  <c r="V4" i="16"/>
  <c r="V7" i="16"/>
  <c r="V305" i="16"/>
  <c r="V301" i="16"/>
  <c r="V297" i="16"/>
  <c r="V293" i="16"/>
  <c r="V289" i="16"/>
  <c r="V285" i="16"/>
  <c r="V281" i="16"/>
  <c r="V277" i="16"/>
  <c r="V273" i="16"/>
  <c r="V269" i="16"/>
  <c r="V265" i="16"/>
  <c r="V261" i="16"/>
  <c r="V257" i="16"/>
  <c r="V253" i="16"/>
  <c r="V249" i="16"/>
  <c r="V245" i="16"/>
  <c r="V241" i="16"/>
  <c r="V237" i="16"/>
  <c r="V233" i="16"/>
  <c r="V229" i="16"/>
  <c r="V225" i="16"/>
  <c r="V221" i="16"/>
  <c r="V217" i="16"/>
  <c r="V213" i="16"/>
  <c r="V209" i="16"/>
  <c r="V201" i="16"/>
  <c r="V197" i="16"/>
  <c r="V193" i="16"/>
  <c r="V189" i="16"/>
  <c r="V185" i="16"/>
  <c r="V181" i="16"/>
  <c r="V177" i="16"/>
  <c r="V173" i="16"/>
  <c r="V169" i="16"/>
  <c r="V165" i="16"/>
  <c r="V161" i="16"/>
  <c r="V157" i="16"/>
  <c r="V153" i="16"/>
  <c r="V149" i="16"/>
  <c r="V145" i="16"/>
  <c r="V141" i="16"/>
  <c r="V137" i="16"/>
  <c r="V133" i="16"/>
  <c r="V129" i="16"/>
  <c r="V125" i="16"/>
  <c r="V121" i="16"/>
  <c r="V117" i="16"/>
  <c r="V113" i="16"/>
  <c r="V109" i="16"/>
  <c r="V101" i="16"/>
  <c r="V93" i="16"/>
  <c r="V85" i="16"/>
  <c r="V77" i="16"/>
  <c r="V69" i="16"/>
  <c r="V61" i="16"/>
  <c r="P4" i="16"/>
  <c r="V263" i="16"/>
  <c r="V341" i="16"/>
  <c r="V333" i="16"/>
  <c r="V325" i="16"/>
  <c r="V317" i="16"/>
  <c r="V45" i="16"/>
  <c r="V37" i="16"/>
  <c r="V29" i="16"/>
  <c r="V21" i="16"/>
  <c r="V13" i="16"/>
  <c r="V345" i="16"/>
  <c r="V337" i="16"/>
  <c r="V329" i="16"/>
  <c r="V321" i="16"/>
  <c r="V313" i="16"/>
  <c r="R5" i="16"/>
  <c r="O6" i="16"/>
  <c r="P6" i="16" s="1"/>
  <c r="L5" i="16"/>
  <c r="M5" i="16" s="1"/>
  <c r="I7" i="16"/>
  <c r="J7" i="16" s="1"/>
  <c r="I6" i="16"/>
  <c r="F5" i="16"/>
  <c r="V339" i="16"/>
  <c r="V35" i="16"/>
  <c r="V27" i="16"/>
  <c r="V19" i="16"/>
  <c r="V11" i="16"/>
  <c r="V50" i="16"/>
  <c r="M4" i="16"/>
  <c r="V336" i="16"/>
  <c r="V242" i="16"/>
  <c r="V199" i="16"/>
  <c r="V196" i="16"/>
  <c r="V138" i="16"/>
  <c r="V80" i="16"/>
  <c r="V307" i="16"/>
  <c r="V291" i="16"/>
  <c r="V283" i="16"/>
  <c r="V275" i="16"/>
  <c r="V227" i="16"/>
  <c r="V203" i="16"/>
  <c r="V195" i="16"/>
  <c r="V187" i="16"/>
  <c r="V147" i="16"/>
  <c r="V139" i="16"/>
  <c r="V131" i="16"/>
  <c r="V123" i="16"/>
  <c r="V115" i="16"/>
  <c r="V83" i="16"/>
  <c r="V75" i="16"/>
  <c r="V67" i="16"/>
  <c r="V59" i="16"/>
  <c r="V51" i="16"/>
  <c r="V43" i="16"/>
  <c r="J4" i="16"/>
  <c r="V330" i="16"/>
  <c r="V272" i="16"/>
  <c r="V178" i="16"/>
  <c r="V135" i="16"/>
  <c r="V132" i="16"/>
  <c r="V74" i="16"/>
  <c r="V16" i="16"/>
  <c r="V331" i="16"/>
  <c r="V323" i="16"/>
  <c r="V315" i="16"/>
  <c r="V299" i="16"/>
  <c r="V267" i="16"/>
  <c r="V259" i="16"/>
  <c r="V251" i="16"/>
  <c r="V243" i="16"/>
  <c r="V235" i="16"/>
  <c r="V219" i="16"/>
  <c r="V211" i="16"/>
  <c r="V179" i="16"/>
  <c r="V171" i="16"/>
  <c r="V163" i="16"/>
  <c r="V155" i="16"/>
  <c r="V107" i="16"/>
  <c r="V99" i="16"/>
  <c r="V91" i="16"/>
  <c r="V105" i="16"/>
  <c r="V97" i="16"/>
  <c r="V89" i="16"/>
  <c r="V81" i="16"/>
  <c r="V73" i="16"/>
  <c r="V65" i="16"/>
  <c r="V57" i="16"/>
  <c r="V49" i="16"/>
  <c r="V41" i="16"/>
  <c r="V33" i="16"/>
  <c r="V25" i="16"/>
  <c r="V17" i="16"/>
  <c r="V9" i="16"/>
  <c r="V306" i="16"/>
  <c r="V202" i="16"/>
  <c r="G4" i="16"/>
  <c r="S4" i="16"/>
  <c r="V324" i="16"/>
  <c r="V266" i="16"/>
  <c r="V208" i="16"/>
  <c r="V114" i="16"/>
  <c r="V68" i="16"/>
  <c r="V10" i="16"/>
  <c r="J5" i="16"/>
  <c r="V344" i="16"/>
  <c r="V284" i="16"/>
  <c r="V280" i="16"/>
  <c r="V220" i="16"/>
  <c r="V216" i="16"/>
  <c r="V156" i="16"/>
  <c r="V152" i="16"/>
  <c r="V92" i="16"/>
  <c r="V88" i="16"/>
  <c r="V28" i="16"/>
  <c r="V24" i="16"/>
  <c r="J6" i="16"/>
  <c r="V338" i="16"/>
  <c r="V304" i="16"/>
  <c r="V298" i="16"/>
  <c r="V292" i="16"/>
  <c r="V274" i="16"/>
  <c r="V240" i="16"/>
  <c r="V234" i="16"/>
  <c r="V228" i="16"/>
  <c r="V210" i="16"/>
  <c r="V176" i="16"/>
  <c r="V170" i="16"/>
  <c r="V164" i="16"/>
  <c r="V146" i="16"/>
  <c r="V112" i="16"/>
  <c r="V106" i="16"/>
  <c r="V100" i="16"/>
  <c r="V82" i="16"/>
  <c r="V48" i="16"/>
  <c r="V42" i="16"/>
  <c r="V36" i="16"/>
  <c r="V18" i="16"/>
  <c r="G5" i="16"/>
  <c r="V316" i="16"/>
  <c r="V312" i="16"/>
  <c r="V252" i="16"/>
  <c r="V248" i="16"/>
  <c r="V188" i="16"/>
  <c r="V184" i="16"/>
  <c r="V124" i="16"/>
  <c r="V120" i="16"/>
  <c r="V60" i="16"/>
  <c r="V56" i="16"/>
  <c r="P5" i="16"/>
  <c r="V340" i="16"/>
  <c r="V328" i="16"/>
  <c r="V322" i="16"/>
  <c r="V308" i="16"/>
  <c r="V296" i="16"/>
  <c r="V290" i="16"/>
  <c r="V276" i="16"/>
  <c r="V264" i="16"/>
  <c r="V258" i="16"/>
  <c r="V244" i="16"/>
  <c r="V232" i="16"/>
  <c r="V226" i="16"/>
  <c r="V212" i="16"/>
  <c r="V200" i="16"/>
  <c r="V194" i="16"/>
  <c r="V180" i="16"/>
  <c r="V168" i="16"/>
  <c r="V162" i="16"/>
  <c r="V148" i="16"/>
  <c r="V136" i="16"/>
  <c r="V130" i="16"/>
  <c r="V116" i="16"/>
  <c r="V104" i="16"/>
  <c r="V98" i="16"/>
  <c r="V84" i="16"/>
  <c r="V72" i="16"/>
  <c r="V66" i="16"/>
  <c r="V52" i="16"/>
  <c r="V40" i="16"/>
  <c r="V34" i="16"/>
  <c r="V20" i="16"/>
  <c r="V8" i="16"/>
  <c r="V346" i="16"/>
  <c r="V332" i="16"/>
  <c r="V320" i="16"/>
  <c r="V314" i="16"/>
  <c r="V300" i="16"/>
  <c r="V288" i="16"/>
  <c r="V282" i="16"/>
  <c r="V268" i="16"/>
  <c r="V256" i="16"/>
  <c r="V250" i="16"/>
  <c r="V236" i="16"/>
  <c r="V224" i="16"/>
  <c r="V218" i="16"/>
  <c r="V204" i="16"/>
  <c r="V192" i="16"/>
  <c r="V186" i="16"/>
  <c r="V172" i="16"/>
  <c r="V160" i="16"/>
  <c r="V154" i="16"/>
  <c r="V140" i="16"/>
  <c r="V128" i="16"/>
  <c r="V122" i="16"/>
  <c r="V108" i="16"/>
  <c r="V96" i="16"/>
  <c r="V90" i="16"/>
  <c r="V76" i="16"/>
  <c r="V64" i="16"/>
  <c r="V58" i="16"/>
  <c r="V44" i="16"/>
  <c r="V32" i="16"/>
  <c r="V26" i="16"/>
  <c r="V12" i="16"/>
  <c r="V342" i="16"/>
  <c r="V334" i="16"/>
  <c r="V326" i="16"/>
  <c r="V318" i="16"/>
  <c r="V310" i="16"/>
  <c r="V302" i="16"/>
  <c r="V294" i="16"/>
  <c r="V286" i="16"/>
  <c r="V278" i="16"/>
  <c r="V270" i="16"/>
  <c r="V262" i="16"/>
  <c r="V254" i="16"/>
  <c r="V246" i="16"/>
  <c r="V238" i="16"/>
  <c r="V230" i="16"/>
  <c r="V222" i="16"/>
  <c r="V214" i="16"/>
  <c r="V206" i="16"/>
  <c r="V198" i="16"/>
  <c r="V190" i="16"/>
  <c r="V182" i="16"/>
  <c r="V174" i="16"/>
  <c r="V166" i="16"/>
  <c r="V158" i="16"/>
  <c r="V150" i="16"/>
  <c r="V142" i="16"/>
  <c r="V134" i="16"/>
  <c r="V126" i="16"/>
  <c r="V118" i="16"/>
  <c r="V110" i="16"/>
  <c r="V102" i="16"/>
  <c r="V94" i="16"/>
  <c r="V86" i="16"/>
  <c r="V78" i="16"/>
  <c r="V70" i="16"/>
  <c r="V62" i="16"/>
  <c r="V54" i="16"/>
  <c r="V46" i="16"/>
  <c r="V38" i="16"/>
  <c r="V30" i="16"/>
  <c r="V22" i="16"/>
  <c r="V14" i="16"/>
  <c r="V6" i="16"/>
  <c r="S5" i="16"/>
  <c r="E356" i="19"/>
  <c r="R6" i="16" l="1"/>
  <c r="S6" i="16" s="1"/>
  <c r="O7" i="16"/>
  <c r="P7" i="16" s="1"/>
  <c r="L6" i="16"/>
  <c r="M6" i="16" s="1"/>
  <c r="I8" i="16"/>
  <c r="J8" i="16" s="1"/>
  <c r="F6" i="16"/>
  <c r="G6" i="16" s="1"/>
  <c r="F356" i="19"/>
  <c r="G356" i="19" s="1"/>
  <c r="E355" i="19"/>
  <c r="R7" i="16" l="1"/>
  <c r="S7" i="16" s="1"/>
  <c r="O8" i="16"/>
  <c r="P8" i="16" s="1"/>
  <c r="L7" i="16"/>
  <c r="M7" i="16" s="1"/>
  <c r="I9" i="16"/>
  <c r="J9" i="16" s="1"/>
  <c r="F7" i="16"/>
  <c r="G7" i="16" s="1"/>
  <c r="F355" i="19"/>
  <c r="G355" i="19" s="1"/>
  <c r="E354" i="19"/>
  <c r="R8" i="16" l="1"/>
  <c r="S8" i="16" s="1"/>
  <c r="O9" i="16"/>
  <c r="P9" i="16" s="1"/>
  <c r="L8" i="16"/>
  <c r="M8" i="16" s="1"/>
  <c r="I10" i="16"/>
  <c r="J10" i="16" s="1"/>
  <c r="F8" i="16"/>
  <c r="G8" i="16" s="1"/>
  <c r="E353" i="19"/>
  <c r="F354" i="19"/>
  <c r="G354" i="19" s="1"/>
  <c r="R9" i="16" l="1"/>
  <c r="S9" i="16" s="1"/>
  <c r="O10" i="16"/>
  <c r="P10" i="16" s="1"/>
  <c r="L9" i="16"/>
  <c r="M9" i="16" s="1"/>
  <c r="I11" i="16"/>
  <c r="J11" i="16" s="1"/>
  <c r="F9" i="16"/>
  <c r="G9" i="16" s="1"/>
  <c r="E352" i="19"/>
  <c r="F353" i="19"/>
  <c r="G353" i="19" s="1"/>
  <c r="R10" i="16" l="1"/>
  <c r="S10" i="16" s="1"/>
  <c r="O11" i="16"/>
  <c r="P11" i="16" s="1"/>
  <c r="L10" i="16"/>
  <c r="M10" i="16" s="1"/>
  <c r="I12" i="16"/>
  <c r="J12" i="16" s="1"/>
  <c r="F10" i="16"/>
  <c r="G10" i="16" s="1"/>
  <c r="E351" i="19"/>
  <c r="F351" i="19" s="1"/>
  <c r="G351" i="19" s="1"/>
  <c r="F352" i="19"/>
  <c r="G352" i="19" s="1"/>
  <c r="R11" i="16" l="1"/>
  <c r="S11" i="16" s="1"/>
  <c r="O12" i="16"/>
  <c r="P12" i="16" s="1"/>
  <c r="L11" i="16"/>
  <c r="M11" i="16" s="1"/>
  <c r="I13" i="16"/>
  <c r="J13" i="16" s="1"/>
  <c r="F11" i="16"/>
  <c r="G11" i="16" s="1"/>
  <c r="R12" i="16" l="1"/>
  <c r="S12" i="16" s="1"/>
  <c r="O13" i="16"/>
  <c r="P13" i="16" s="1"/>
  <c r="L12" i="16"/>
  <c r="M12" i="16" s="1"/>
  <c r="I14" i="16"/>
  <c r="J14" i="16" s="1"/>
  <c r="F12" i="16"/>
  <c r="G12" i="16" s="1"/>
  <c r="R13" i="16" l="1"/>
  <c r="S13" i="16" s="1"/>
  <c r="O14" i="16"/>
  <c r="P14" i="16" s="1"/>
  <c r="L13" i="16"/>
  <c r="M13" i="16" s="1"/>
  <c r="I15" i="16"/>
  <c r="J15" i="16" s="1"/>
  <c r="F13" i="16"/>
  <c r="G13" i="16" s="1"/>
  <c r="R14" i="16" l="1"/>
  <c r="S14" i="16" s="1"/>
  <c r="O15" i="16"/>
  <c r="P15" i="16" s="1"/>
  <c r="L14" i="16"/>
  <c r="M14" i="16" s="1"/>
  <c r="I16" i="16"/>
  <c r="J16" i="16" s="1"/>
  <c r="F14" i="16"/>
  <c r="G14" i="16" s="1"/>
  <c r="R15" i="16" l="1"/>
  <c r="S15" i="16" s="1"/>
  <c r="O16" i="16"/>
  <c r="P16" i="16" s="1"/>
  <c r="L15" i="16"/>
  <c r="M15" i="16" s="1"/>
  <c r="I17" i="16"/>
  <c r="J17" i="16" s="1"/>
  <c r="F15" i="16"/>
  <c r="G15" i="16" s="1"/>
  <c r="R16" i="16" l="1"/>
  <c r="S16" i="16" s="1"/>
  <c r="O17" i="16"/>
  <c r="P17" i="16" s="1"/>
  <c r="L16" i="16"/>
  <c r="M16" i="16" s="1"/>
  <c r="I18" i="16"/>
  <c r="J18" i="16" s="1"/>
  <c r="F16" i="16"/>
  <c r="G16" i="16" s="1"/>
  <c r="R17" i="16" l="1"/>
  <c r="S17" i="16" s="1"/>
  <c r="O18" i="16"/>
  <c r="P18" i="16" s="1"/>
  <c r="L17" i="16"/>
  <c r="M17" i="16" s="1"/>
  <c r="I19" i="16"/>
  <c r="J19" i="16" s="1"/>
  <c r="F17" i="16"/>
  <c r="G17" i="16" s="1"/>
  <c r="R18" i="16" l="1"/>
  <c r="S18" i="16" s="1"/>
  <c r="O19" i="16"/>
  <c r="P19" i="16" s="1"/>
  <c r="L18" i="16"/>
  <c r="M18" i="16" s="1"/>
  <c r="I20" i="16"/>
  <c r="J20" i="16" s="1"/>
  <c r="F18" i="16"/>
  <c r="G18" i="16" s="1"/>
  <c r="R19" i="16" l="1"/>
  <c r="S19" i="16" s="1"/>
  <c r="O20" i="16"/>
  <c r="P20" i="16" s="1"/>
  <c r="L19" i="16"/>
  <c r="M19" i="16" s="1"/>
  <c r="I21" i="16"/>
  <c r="J21" i="16" s="1"/>
  <c r="F19" i="16"/>
  <c r="G19" i="16" s="1"/>
  <c r="R20" i="16" l="1"/>
  <c r="S20" i="16" s="1"/>
  <c r="O21" i="16"/>
  <c r="P21" i="16" s="1"/>
  <c r="L20" i="16"/>
  <c r="M20" i="16" s="1"/>
  <c r="I22" i="16"/>
  <c r="J22" i="16" s="1"/>
  <c r="F20" i="16"/>
  <c r="G20" i="16" s="1"/>
  <c r="R21" i="16" l="1"/>
  <c r="S21" i="16" s="1"/>
  <c r="O22" i="16"/>
  <c r="P22" i="16" s="1"/>
  <c r="L21" i="16"/>
  <c r="M21" i="16" s="1"/>
  <c r="I23" i="16"/>
  <c r="J23" i="16" s="1"/>
  <c r="F21" i="16"/>
  <c r="G21" i="16" s="1"/>
  <c r="R22" i="16" l="1"/>
  <c r="S22" i="16" s="1"/>
  <c r="O23" i="16"/>
  <c r="P23" i="16" s="1"/>
  <c r="L22" i="16"/>
  <c r="M22" i="16" s="1"/>
  <c r="I24" i="16"/>
  <c r="J24" i="16" s="1"/>
  <c r="F22" i="16"/>
  <c r="G22" i="16" s="1"/>
  <c r="R23" i="16" l="1"/>
  <c r="S23" i="16" s="1"/>
  <c r="O24" i="16"/>
  <c r="P24" i="16" s="1"/>
  <c r="L23" i="16"/>
  <c r="M23" i="16" s="1"/>
  <c r="I25" i="16"/>
  <c r="J25" i="16" s="1"/>
  <c r="F23" i="16"/>
  <c r="G23" i="16" s="1"/>
  <c r="R24" i="16" l="1"/>
  <c r="S24" i="16" s="1"/>
  <c r="O25" i="16"/>
  <c r="P25" i="16" s="1"/>
  <c r="L24" i="16"/>
  <c r="M24" i="16" s="1"/>
  <c r="I26" i="16"/>
  <c r="J26" i="16" s="1"/>
  <c r="F24" i="16"/>
  <c r="G24" i="16" s="1"/>
  <c r="R25" i="16" l="1"/>
  <c r="S25" i="16" s="1"/>
  <c r="O26" i="16"/>
  <c r="P26" i="16" s="1"/>
  <c r="L25" i="16"/>
  <c r="M25" i="16" s="1"/>
  <c r="I27" i="16"/>
  <c r="J27" i="16" s="1"/>
  <c r="F25" i="16"/>
  <c r="G25" i="16" s="1"/>
  <c r="R26" i="16" l="1"/>
  <c r="S26" i="16" s="1"/>
  <c r="O27" i="16"/>
  <c r="P27" i="16" s="1"/>
  <c r="L26" i="16"/>
  <c r="M26" i="16" s="1"/>
  <c r="I28" i="16"/>
  <c r="J28" i="16" s="1"/>
  <c r="F26" i="16"/>
  <c r="G26" i="16" s="1"/>
  <c r="R27" i="16" l="1"/>
  <c r="S27" i="16" s="1"/>
  <c r="O28" i="16"/>
  <c r="P28" i="16" s="1"/>
  <c r="L27" i="16"/>
  <c r="M27" i="16" s="1"/>
  <c r="I29" i="16"/>
  <c r="J29" i="16" s="1"/>
  <c r="F27" i="16"/>
  <c r="G27" i="16" s="1"/>
  <c r="R28" i="16" l="1"/>
  <c r="S28" i="16" s="1"/>
  <c r="O29" i="16"/>
  <c r="P29" i="16" s="1"/>
  <c r="L28" i="16"/>
  <c r="M28" i="16" s="1"/>
  <c r="I30" i="16"/>
  <c r="J30" i="16" s="1"/>
  <c r="F28" i="16"/>
  <c r="G28" i="16" s="1"/>
  <c r="R29" i="16" l="1"/>
  <c r="S29" i="16" s="1"/>
  <c r="O30" i="16"/>
  <c r="P30" i="16" s="1"/>
  <c r="L29" i="16"/>
  <c r="M29" i="16" s="1"/>
  <c r="I31" i="16"/>
  <c r="J31" i="16" s="1"/>
  <c r="F29" i="16"/>
  <c r="G29" i="16" s="1"/>
  <c r="R30" i="16" l="1"/>
  <c r="S30" i="16" s="1"/>
  <c r="O31" i="16"/>
  <c r="P31" i="16" s="1"/>
  <c r="L30" i="16"/>
  <c r="M30" i="16" s="1"/>
  <c r="I32" i="16"/>
  <c r="J32" i="16" s="1"/>
  <c r="F30" i="16"/>
  <c r="G30" i="16" s="1"/>
  <c r="R31" i="16" l="1"/>
  <c r="S31" i="16" s="1"/>
  <c r="O32" i="16"/>
  <c r="P32" i="16" s="1"/>
  <c r="L31" i="16"/>
  <c r="M31" i="16" s="1"/>
  <c r="I33" i="16"/>
  <c r="J33" i="16" s="1"/>
  <c r="F31" i="16"/>
  <c r="G31" i="16" s="1"/>
  <c r="R32" i="16" l="1"/>
  <c r="S32" i="16" s="1"/>
  <c r="O33" i="16"/>
  <c r="P33" i="16" s="1"/>
  <c r="L32" i="16"/>
  <c r="M32" i="16" s="1"/>
  <c r="I34" i="16"/>
  <c r="J34" i="16" s="1"/>
  <c r="F32" i="16"/>
  <c r="G32" i="16" s="1"/>
  <c r="R33" i="16" l="1"/>
  <c r="S33" i="16" s="1"/>
  <c r="O34" i="16"/>
  <c r="P34" i="16" s="1"/>
  <c r="L33" i="16"/>
  <c r="M33" i="16" s="1"/>
  <c r="I35" i="16"/>
  <c r="J35" i="16" s="1"/>
  <c r="F33" i="16"/>
  <c r="G33" i="16" s="1"/>
  <c r="R34" i="16" l="1"/>
  <c r="S34" i="16" s="1"/>
  <c r="O35" i="16"/>
  <c r="P35" i="16" s="1"/>
  <c r="L34" i="16"/>
  <c r="M34" i="16" s="1"/>
  <c r="I36" i="16"/>
  <c r="J36" i="16" s="1"/>
  <c r="F34" i="16"/>
  <c r="G34" i="16" s="1"/>
  <c r="R35" i="16" l="1"/>
  <c r="S35" i="16" s="1"/>
  <c r="O36" i="16"/>
  <c r="P36" i="16" s="1"/>
  <c r="L35" i="16"/>
  <c r="M35" i="16" s="1"/>
  <c r="I37" i="16"/>
  <c r="J37" i="16" s="1"/>
  <c r="F35" i="16"/>
  <c r="G35" i="16" s="1"/>
  <c r="R36" i="16" l="1"/>
  <c r="S36" i="16" s="1"/>
  <c r="O37" i="16"/>
  <c r="P37" i="16" s="1"/>
  <c r="L36" i="16"/>
  <c r="M36" i="16" s="1"/>
  <c r="I38" i="16"/>
  <c r="J38" i="16" s="1"/>
  <c r="F36" i="16"/>
  <c r="G36" i="16" s="1"/>
  <c r="R37" i="16" l="1"/>
  <c r="S37" i="16" s="1"/>
  <c r="O38" i="16"/>
  <c r="P38" i="16" s="1"/>
  <c r="L37" i="16"/>
  <c r="M37" i="16" s="1"/>
  <c r="I39" i="16"/>
  <c r="J39" i="16" s="1"/>
  <c r="F37" i="16"/>
  <c r="G37" i="16" s="1"/>
  <c r="R38" i="16" l="1"/>
  <c r="S38" i="16" s="1"/>
  <c r="O39" i="16"/>
  <c r="P39" i="16" s="1"/>
  <c r="L38" i="16"/>
  <c r="M38" i="16" s="1"/>
  <c r="I40" i="16"/>
  <c r="J40" i="16" s="1"/>
  <c r="F38" i="16"/>
  <c r="G38" i="16" s="1"/>
  <c r="R39" i="16" l="1"/>
  <c r="S39" i="16" s="1"/>
  <c r="O40" i="16"/>
  <c r="P40" i="16" s="1"/>
  <c r="L39" i="16"/>
  <c r="M39" i="16" s="1"/>
  <c r="I41" i="16"/>
  <c r="J41" i="16" s="1"/>
  <c r="F39" i="16"/>
  <c r="G39" i="16" s="1"/>
  <c r="R40" i="16" l="1"/>
  <c r="S40" i="16" s="1"/>
  <c r="O41" i="16"/>
  <c r="P41" i="16" s="1"/>
  <c r="L40" i="16"/>
  <c r="M40" i="16" s="1"/>
  <c r="I42" i="16"/>
  <c r="J42" i="16" s="1"/>
  <c r="F40" i="16"/>
  <c r="G40" i="16" s="1"/>
  <c r="R41" i="16" l="1"/>
  <c r="S41" i="16" s="1"/>
  <c r="O42" i="16"/>
  <c r="P42" i="16" s="1"/>
  <c r="L41" i="16"/>
  <c r="M41" i="16" s="1"/>
  <c r="I43" i="16"/>
  <c r="J43" i="16" s="1"/>
  <c r="F41" i="16"/>
  <c r="G41" i="16" s="1"/>
  <c r="R42" i="16" l="1"/>
  <c r="S42" i="16" s="1"/>
  <c r="O43" i="16"/>
  <c r="P43" i="16" s="1"/>
  <c r="L42" i="16"/>
  <c r="M42" i="16" s="1"/>
  <c r="I44" i="16"/>
  <c r="J44" i="16" s="1"/>
  <c r="F42" i="16"/>
  <c r="G42" i="16" s="1"/>
  <c r="R43" i="16" l="1"/>
  <c r="S43" i="16" s="1"/>
  <c r="O44" i="16"/>
  <c r="P44" i="16" s="1"/>
  <c r="L43" i="16"/>
  <c r="M43" i="16" s="1"/>
  <c r="I45" i="16"/>
  <c r="J45" i="16" s="1"/>
  <c r="F43" i="16"/>
  <c r="G43" i="16" s="1"/>
  <c r="R44" i="16" l="1"/>
  <c r="S44" i="16" s="1"/>
  <c r="O45" i="16"/>
  <c r="P45" i="16" s="1"/>
  <c r="L44" i="16"/>
  <c r="M44" i="16" s="1"/>
  <c r="I46" i="16"/>
  <c r="J46" i="16" s="1"/>
  <c r="F44" i="16"/>
  <c r="G44" i="16" s="1"/>
  <c r="R45" i="16" l="1"/>
  <c r="S45" i="16" s="1"/>
  <c r="O46" i="16"/>
  <c r="P46" i="16" s="1"/>
  <c r="L45" i="16"/>
  <c r="M45" i="16" s="1"/>
  <c r="I47" i="16"/>
  <c r="J47" i="16" s="1"/>
  <c r="F45" i="16"/>
  <c r="G45" i="16" s="1"/>
  <c r="R46" i="16" l="1"/>
  <c r="S46" i="16" s="1"/>
  <c r="O47" i="16"/>
  <c r="P47" i="16" s="1"/>
  <c r="L46" i="16"/>
  <c r="M46" i="16" s="1"/>
  <c r="I48" i="16"/>
  <c r="J48" i="16" s="1"/>
  <c r="F46" i="16"/>
  <c r="G46" i="16" s="1"/>
  <c r="R47" i="16" l="1"/>
  <c r="S47" i="16" s="1"/>
  <c r="O48" i="16"/>
  <c r="P48" i="16" s="1"/>
  <c r="L47" i="16"/>
  <c r="M47" i="16" s="1"/>
  <c r="I49" i="16"/>
  <c r="J49" i="16" s="1"/>
  <c r="F47" i="16"/>
  <c r="G47" i="16" s="1"/>
  <c r="R48" i="16" l="1"/>
  <c r="S48" i="16" s="1"/>
  <c r="O49" i="16"/>
  <c r="P49" i="16" s="1"/>
  <c r="L48" i="16"/>
  <c r="M48" i="16" s="1"/>
  <c r="I50" i="16"/>
  <c r="J50" i="16" s="1"/>
  <c r="F48" i="16"/>
  <c r="G48" i="16" s="1"/>
  <c r="R49" i="16" l="1"/>
  <c r="S49" i="16" s="1"/>
  <c r="O50" i="16"/>
  <c r="P50" i="16" s="1"/>
  <c r="L49" i="16"/>
  <c r="M49" i="16" s="1"/>
  <c r="I51" i="16"/>
  <c r="J51" i="16" s="1"/>
  <c r="F49" i="16"/>
  <c r="G49" i="16" s="1"/>
  <c r="R50" i="16" l="1"/>
  <c r="S50" i="16" s="1"/>
  <c r="O51" i="16"/>
  <c r="P51" i="16" s="1"/>
  <c r="L50" i="16"/>
  <c r="M50" i="16" s="1"/>
  <c r="I52" i="16"/>
  <c r="J52" i="16" s="1"/>
  <c r="F50" i="16"/>
  <c r="G50" i="16" s="1"/>
  <c r="R51" i="16" l="1"/>
  <c r="S51" i="16" s="1"/>
  <c r="O52" i="16"/>
  <c r="P52" i="16" s="1"/>
  <c r="L51" i="16"/>
  <c r="M51" i="16" s="1"/>
  <c r="I53" i="16"/>
  <c r="J53" i="16" s="1"/>
  <c r="F51" i="16"/>
  <c r="G51" i="16" s="1"/>
  <c r="R52" i="16" l="1"/>
  <c r="S52" i="16" s="1"/>
  <c r="O53" i="16"/>
  <c r="P53" i="16" s="1"/>
  <c r="L52" i="16"/>
  <c r="M52" i="16" s="1"/>
  <c r="I54" i="16"/>
  <c r="J54" i="16" s="1"/>
  <c r="F52" i="16"/>
  <c r="G52" i="16" s="1"/>
  <c r="R53" i="16" l="1"/>
  <c r="S53" i="16" s="1"/>
  <c r="O54" i="16"/>
  <c r="P54" i="16" s="1"/>
  <c r="L53" i="16"/>
  <c r="M53" i="16" s="1"/>
  <c r="I55" i="16"/>
  <c r="J55" i="16" s="1"/>
  <c r="F53" i="16"/>
  <c r="G53" i="16" s="1"/>
  <c r="R54" i="16" l="1"/>
  <c r="S54" i="16" s="1"/>
  <c r="O55" i="16"/>
  <c r="P55" i="16" s="1"/>
  <c r="L54" i="16"/>
  <c r="M54" i="16" s="1"/>
  <c r="I56" i="16"/>
  <c r="J56" i="16" s="1"/>
  <c r="F54" i="16"/>
  <c r="G54" i="16" s="1"/>
  <c r="R55" i="16" l="1"/>
  <c r="S55" i="16" s="1"/>
  <c r="O56" i="16"/>
  <c r="P56" i="16" s="1"/>
  <c r="L55" i="16"/>
  <c r="M55" i="16" s="1"/>
  <c r="I57" i="16"/>
  <c r="J57" i="16" s="1"/>
  <c r="F55" i="16"/>
  <c r="G55" i="16" s="1"/>
  <c r="R56" i="16" l="1"/>
  <c r="S56" i="16" s="1"/>
  <c r="O57" i="16"/>
  <c r="P57" i="16" s="1"/>
  <c r="L56" i="16"/>
  <c r="M56" i="16" s="1"/>
  <c r="I58" i="16"/>
  <c r="J58" i="16" s="1"/>
  <c r="F56" i="16"/>
  <c r="G56" i="16" s="1"/>
  <c r="R57" i="16" l="1"/>
  <c r="S57" i="16" s="1"/>
  <c r="O58" i="16"/>
  <c r="P58" i="16" s="1"/>
  <c r="L57" i="16"/>
  <c r="M57" i="16" s="1"/>
  <c r="I59" i="16"/>
  <c r="J59" i="16" s="1"/>
  <c r="F57" i="16"/>
  <c r="G57" i="16" s="1"/>
  <c r="R58" i="16" l="1"/>
  <c r="S58" i="16" s="1"/>
  <c r="O59" i="16"/>
  <c r="P59" i="16" s="1"/>
  <c r="L58" i="16"/>
  <c r="M58" i="16" s="1"/>
  <c r="I60" i="16"/>
  <c r="J60" i="16" s="1"/>
  <c r="F58" i="16"/>
  <c r="G58" i="16" s="1"/>
  <c r="R59" i="16" l="1"/>
  <c r="S59" i="16" s="1"/>
  <c r="O60" i="16"/>
  <c r="P60" i="16" s="1"/>
  <c r="L59" i="16"/>
  <c r="M59" i="16" s="1"/>
  <c r="I61" i="16"/>
  <c r="J61" i="16" s="1"/>
  <c r="F59" i="16"/>
  <c r="G59" i="16" s="1"/>
  <c r="R60" i="16" l="1"/>
  <c r="S60" i="16" s="1"/>
  <c r="O61" i="16"/>
  <c r="P61" i="16" s="1"/>
  <c r="L60" i="16"/>
  <c r="M60" i="16" s="1"/>
  <c r="I62" i="16"/>
  <c r="J62" i="16" s="1"/>
  <c r="F60" i="16"/>
  <c r="G60" i="16" s="1"/>
  <c r="R61" i="16" l="1"/>
  <c r="S61" i="16" s="1"/>
  <c r="O62" i="16"/>
  <c r="P62" i="16" s="1"/>
  <c r="L61" i="16"/>
  <c r="M61" i="16" s="1"/>
  <c r="I63" i="16"/>
  <c r="J63" i="16" s="1"/>
  <c r="F61" i="16"/>
  <c r="G61" i="16" s="1"/>
  <c r="R62" i="16" l="1"/>
  <c r="S62" i="16" s="1"/>
  <c r="O63" i="16"/>
  <c r="P63" i="16" s="1"/>
  <c r="L62" i="16"/>
  <c r="M62" i="16" s="1"/>
  <c r="I64" i="16"/>
  <c r="J64" i="16" s="1"/>
  <c r="F62" i="16"/>
  <c r="G62" i="16" s="1"/>
  <c r="R63" i="16" l="1"/>
  <c r="S63" i="16" s="1"/>
  <c r="O64" i="16"/>
  <c r="P64" i="16" s="1"/>
  <c r="L63" i="16"/>
  <c r="M63" i="16" s="1"/>
  <c r="I65" i="16"/>
  <c r="J65" i="16" s="1"/>
  <c r="F63" i="16"/>
  <c r="G63" i="16" s="1"/>
  <c r="R64" i="16" l="1"/>
  <c r="S64" i="16" s="1"/>
  <c r="O65" i="16"/>
  <c r="P65" i="16" s="1"/>
  <c r="L64" i="16"/>
  <c r="M64" i="16" s="1"/>
  <c r="I66" i="16"/>
  <c r="J66" i="16" s="1"/>
  <c r="F64" i="16"/>
  <c r="G64" i="16" s="1"/>
  <c r="R65" i="16" l="1"/>
  <c r="S65" i="16" s="1"/>
  <c r="O66" i="16"/>
  <c r="P66" i="16" s="1"/>
  <c r="L65" i="16"/>
  <c r="M65" i="16" s="1"/>
  <c r="I67" i="16"/>
  <c r="J67" i="16" s="1"/>
  <c r="F65" i="16"/>
  <c r="G65" i="16" s="1"/>
  <c r="R66" i="16" l="1"/>
  <c r="S66" i="16" s="1"/>
  <c r="O67" i="16"/>
  <c r="P67" i="16" s="1"/>
  <c r="L66" i="16"/>
  <c r="M66" i="16" s="1"/>
  <c r="I68" i="16"/>
  <c r="J68" i="16" s="1"/>
  <c r="F66" i="16"/>
  <c r="G66" i="16" s="1"/>
  <c r="R67" i="16" l="1"/>
  <c r="S67" i="16" s="1"/>
  <c r="O68" i="16"/>
  <c r="P68" i="16" s="1"/>
  <c r="L67" i="16"/>
  <c r="M67" i="16" s="1"/>
  <c r="I69" i="16"/>
  <c r="J69" i="16" s="1"/>
  <c r="F67" i="16"/>
  <c r="G67" i="16" s="1"/>
  <c r="R68" i="16" l="1"/>
  <c r="S68" i="16" s="1"/>
  <c r="O69" i="16"/>
  <c r="P69" i="16" s="1"/>
  <c r="L68" i="16"/>
  <c r="M68" i="16" s="1"/>
  <c r="I70" i="16"/>
  <c r="J70" i="16" s="1"/>
  <c r="F68" i="16"/>
  <c r="G68" i="16" s="1"/>
  <c r="R69" i="16" l="1"/>
  <c r="S69" i="16" s="1"/>
  <c r="O70" i="16"/>
  <c r="P70" i="16" s="1"/>
  <c r="L69" i="16"/>
  <c r="M69" i="16" s="1"/>
  <c r="I71" i="16"/>
  <c r="J71" i="16" s="1"/>
  <c r="F69" i="16"/>
  <c r="G69" i="16" s="1"/>
  <c r="R70" i="16" l="1"/>
  <c r="S70" i="16" s="1"/>
  <c r="O71" i="16"/>
  <c r="P71" i="16" s="1"/>
  <c r="L70" i="16"/>
  <c r="M70" i="16" s="1"/>
  <c r="I72" i="16"/>
  <c r="J72" i="16" s="1"/>
  <c r="F70" i="16"/>
  <c r="G70" i="16" s="1"/>
  <c r="R71" i="16" l="1"/>
  <c r="S71" i="16" s="1"/>
  <c r="O72" i="16"/>
  <c r="P72" i="16" s="1"/>
  <c r="L71" i="16"/>
  <c r="M71" i="16" s="1"/>
  <c r="I73" i="16"/>
  <c r="J73" i="16" s="1"/>
  <c r="F71" i="16"/>
  <c r="G71" i="16" s="1"/>
  <c r="R72" i="16" l="1"/>
  <c r="S72" i="16" s="1"/>
  <c r="O73" i="16"/>
  <c r="P73" i="16" s="1"/>
  <c r="L72" i="16"/>
  <c r="M72" i="16" s="1"/>
  <c r="I74" i="16"/>
  <c r="J74" i="16" s="1"/>
  <c r="F72" i="16"/>
  <c r="G72" i="16" s="1"/>
  <c r="R73" i="16" l="1"/>
  <c r="S73" i="16" s="1"/>
  <c r="O74" i="16"/>
  <c r="P74" i="16" s="1"/>
  <c r="L73" i="16"/>
  <c r="M73" i="16" s="1"/>
  <c r="I75" i="16"/>
  <c r="J75" i="16" s="1"/>
  <c r="F73" i="16"/>
  <c r="G73" i="16" s="1"/>
  <c r="R74" i="16" l="1"/>
  <c r="S74" i="16" s="1"/>
  <c r="O75" i="16"/>
  <c r="P75" i="16" s="1"/>
  <c r="L74" i="16"/>
  <c r="M74" i="16" s="1"/>
  <c r="I76" i="16"/>
  <c r="J76" i="16" s="1"/>
  <c r="F74" i="16"/>
  <c r="G74" i="16" s="1"/>
  <c r="R75" i="16" l="1"/>
  <c r="S75" i="16" s="1"/>
  <c r="O76" i="16"/>
  <c r="P76" i="16" s="1"/>
  <c r="L75" i="16"/>
  <c r="M75" i="16" s="1"/>
  <c r="I77" i="16"/>
  <c r="J77" i="16" s="1"/>
  <c r="F75" i="16"/>
  <c r="G75" i="16" s="1"/>
  <c r="R76" i="16" l="1"/>
  <c r="S76" i="16" s="1"/>
  <c r="O77" i="16"/>
  <c r="P77" i="16" s="1"/>
  <c r="L76" i="16"/>
  <c r="M76" i="16" s="1"/>
  <c r="I78" i="16"/>
  <c r="J78" i="16" s="1"/>
  <c r="F76" i="16"/>
  <c r="G76" i="16" s="1"/>
  <c r="R77" i="16" l="1"/>
  <c r="S77" i="16" s="1"/>
  <c r="O78" i="16"/>
  <c r="P78" i="16" s="1"/>
  <c r="L77" i="16"/>
  <c r="M77" i="16" s="1"/>
  <c r="I79" i="16"/>
  <c r="J79" i="16" s="1"/>
  <c r="F77" i="16"/>
  <c r="G77" i="16" s="1"/>
  <c r="R78" i="16" l="1"/>
  <c r="S78" i="16" s="1"/>
  <c r="O79" i="16"/>
  <c r="P79" i="16" s="1"/>
  <c r="L78" i="16"/>
  <c r="M78" i="16" s="1"/>
  <c r="I80" i="16"/>
  <c r="J80" i="16" s="1"/>
  <c r="F78" i="16"/>
  <c r="G78" i="16" s="1"/>
  <c r="R79" i="16" l="1"/>
  <c r="S79" i="16" s="1"/>
  <c r="O80" i="16"/>
  <c r="P80" i="16" s="1"/>
  <c r="L79" i="16"/>
  <c r="M79" i="16" s="1"/>
  <c r="I81" i="16"/>
  <c r="J81" i="16" s="1"/>
  <c r="F79" i="16"/>
  <c r="G79" i="16" s="1"/>
  <c r="R80" i="16" l="1"/>
  <c r="S80" i="16" s="1"/>
  <c r="O81" i="16"/>
  <c r="P81" i="16" s="1"/>
  <c r="L80" i="16"/>
  <c r="M80" i="16" s="1"/>
  <c r="I82" i="16"/>
  <c r="J82" i="16" s="1"/>
  <c r="F80" i="16"/>
  <c r="G80" i="16" s="1"/>
  <c r="R81" i="16" l="1"/>
  <c r="S81" i="16" s="1"/>
  <c r="O82" i="16"/>
  <c r="P82" i="16" s="1"/>
  <c r="L81" i="16"/>
  <c r="M81" i="16" s="1"/>
  <c r="I83" i="16"/>
  <c r="J83" i="16" s="1"/>
  <c r="F81" i="16"/>
  <c r="G81" i="16" s="1"/>
  <c r="R82" i="16" l="1"/>
  <c r="S82" i="16" s="1"/>
  <c r="O83" i="16"/>
  <c r="P83" i="16" s="1"/>
  <c r="L82" i="16"/>
  <c r="M82" i="16" s="1"/>
  <c r="I84" i="16"/>
  <c r="J84" i="16" s="1"/>
  <c r="F82" i="16"/>
  <c r="G82" i="16" s="1"/>
  <c r="R83" i="16" l="1"/>
  <c r="S83" i="16" s="1"/>
  <c r="O84" i="16"/>
  <c r="P84" i="16" s="1"/>
  <c r="L83" i="16"/>
  <c r="M83" i="16" s="1"/>
  <c r="I85" i="16"/>
  <c r="J85" i="16" s="1"/>
  <c r="F83" i="16"/>
  <c r="G83" i="16" s="1"/>
  <c r="R84" i="16" l="1"/>
  <c r="S84" i="16" s="1"/>
  <c r="O85" i="16"/>
  <c r="P85" i="16" s="1"/>
  <c r="L84" i="16"/>
  <c r="M84" i="16" s="1"/>
  <c r="I86" i="16"/>
  <c r="J86" i="16" s="1"/>
  <c r="F84" i="16"/>
  <c r="G84" i="16" s="1"/>
  <c r="R85" i="16" l="1"/>
  <c r="S85" i="16" s="1"/>
  <c r="O86" i="16"/>
  <c r="P86" i="16" s="1"/>
  <c r="L85" i="16"/>
  <c r="M85" i="16" s="1"/>
  <c r="I87" i="16"/>
  <c r="J87" i="16" s="1"/>
  <c r="F85" i="16"/>
  <c r="G85" i="16" s="1"/>
  <c r="R86" i="16" l="1"/>
  <c r="S86" i="16" s="1"/>
  <c r="O87" i="16"/>
  <c r="P87" i="16" s="1"/>
  <c r="L86" i="16"/>
  <c r="M86" i="16" s="1"/>
  <c r="I88" i="16"/>
  <c r="J88" i="16" s="1"/>
  <c r="F86" i="16"/>
  <c r="G86" i="16" s="1"/>
  <c r="R87" i="16" l="1"/>
  <c r="S87" i="16" s="1"/>
  <c r="O88" i="16"/>
  <c r="P88" i="16" s="1"/>
  <c r="L87" i="16"/>
  <c r="M87" i="16" s="1"/>
  <c r="I89" i="16"/>
  <c r="J89" i="16" s="1"/>
  <c r="F87" i="16"/>
  <c r="G87" i="16" s="1"/>
  <c r="R88" i="16" l="1"/>
  <c r="S88" i="16" s="1"/>
  <c r="O89" i="16"/>
  <c r="P89" i="16" s="1"/>
  <c r="L88" i="16"/>
  <c r="M88" i="16" s="1"/>
  <c r="I90" i="16"/>
  <c r="J90" i="16" s="1"/>
  <c r="F88" i="16"/>
  <c r="G88" i="16" s="1"/>
  <c r="R89" i="16" l="1"/>
  <c r="S89" i="16" s="1"/>
  <c r="O90" i="16"/>
  <c r="P90" i="16" s="1"/>
  <c r="L89" i="16"/>
  <c r="M89" i="16" s="1"/>
  <c r="I91" i="16"/>
  <c r="J91" i="16" s="1"/>
  <c r="F89" i="16"/>
  <c r="G89" i="16" s="1"/>
  <c r="R90" i="16" l="1"/>
  <c r="S90" i="16" s="1"/>
  <c r="O91" i="16"/>
  <c r="P91" i="16" s="1"/>
  <c r="L90" i="16"/>
  <c r="M90" i="16" s="1"/>
  <c r="I92" i="16"/>
  <c r="J92" i="16" s="1"/>
  <c r="F90" i="16"/>
  <c r="G90" i="16" s="1"/>
  <c r="R91" i="16" l="1"/>
  <c r="S91" i="16" s="1"/>
  <c r="O92" i="16"/>
  <c r="P92" i="16" s="1"/>
  <c r="L91" i="16"/>
  <c r="M91" i="16" s="1"/>
  <c r="I93" i="16"/>
  <c r="J93" i="16" s="1"/>
  <c r="F91" i="16"/>
  <c r="G91" i="16" s="1"/>
  <c r="R92" i="16" l="1"/>
  <c r="S92" i="16" s="1"/>
  <c r="O93" i="16"/>
  <c r="P93" i="16" s="1"/>
  <c r="L92" i="16"/>
  <c r="M92" i="16" s="1"/>
  <c r="I94" i="16"/>
  <c r="J94" i="16" s="1"/>
  <c r="F92" i="16"/>
  <c r="G92" i="16" s="1"/>
  <c r="R93" i="16" l="1"/>
  <c r="S93" i="16" s="1"/>
  <c r="O94" i="16"/>
  <c r="P94" i="16" s="1"/>
  <c r="L93" i="16"/>
  <c r="M93" i="16" s="1"/>
  <c r="I95" i="16"/>
  <c r="J95" i="16" s="1"/>
  <c r="F93" i="16"/>
  <c r="G93" i="16" s="1"/>
  <c r="R94" i="16" l="1"/>
  <c r="S94" i="16" s="1"/>
  <c r="O95" i="16"/>
  <c r="P95" i="16" s="1"/>
  <c r="L94" i="16"/>
  <c r="M94" i="16" s="1"/>
  <c r="I96" i="16"/>
  <c r="J96" i="16" s="1"/>
  <c r="F94" i="16"/>
  <c r="G94" i="16" s="1"/>
  <c r="R95" i="16" l="1"/>
  <c r="S95" i="16" s="1"/>
  <c r="O96" i="16"/>
  <c r="P96" i="16" s="1"/>
  <c r="L95" i="16"/>
  <c r="M95" i="16" s="1"/>
  <c r="I97" i="16"/>
  <c r="J97" i="16" s="1"/>
  <c r="F95" i="16"/>
  <c r="G95" i="16" s="1"/>
  <c r="R96" i="16" l="1"/>
  <c r="S96" i="16" s="1"/>
  <c r="O97" i="16"/>
  <c r="P97" i="16" s="1"/>
  <c r="L96" i="16"/>
  <c r="M96" i="16" s="1"/>
  <c r="I98" i="16"/>
  <c r="J98" i="16" s="1"/>
  <c r="F96" i="16"/>
  <c r="G96" i="16" s="1"/>
  <c r="R97" i="16" l="1"/>
  <c r="S97" i="16" s="1"/>
  <c r="O98" i="16"/>
  <c r="P98" i="16" s="1"/>
  <c r="L97" i="16"/>
  <c r="M97" i="16" s="1"/>
  <c r="I99" i="16"/>
  <c r="J99" i="16" s="1"/>
  <c r="F97" i="16"/>
  <c r="G97" i="16" s="1"/>
  <c r="R98" i="16" l="1"/>
  <c r="S98" i="16" s="1"/>
  <c r="O99" i="16"/>
  <c r="P99" i="16" s="1"/>
  <c r="L98" i="16"/>
  <c r="M98" i="16" s="1"/>
  <c r="I100" i="16"/>
  <c r="J100" i="16" s="1"/>
  <c r="F98" i="16"/>
  <c r="G98" i="16" s="1"/>
  <c r="R99" i="16" l="1"/>
  <c r="S99" i="16" s="1"/>
  <c r="O100" i="16"/>
  <c r="P100" i="16" s="1"/>
  <c r="L99" i="16"/>
  <c r="M99" i="16" s="1"/>
  <c r="I101" i="16"/>
  <c r="J101" i="16" s="1"/>
  <c r="F99" i="16"/>
  <c r="G99" i="16" s="1"/>
  <c r="R100" i="16" l="1"/>
  <c r="S100" i="16" s="1"/>
  <c r="O101" i="16"/>
  <c r="P101" i="16" s="1"/>
  <c r="L100" i="16"/>
  <c r="M100" i="16" s="1"/>
  <c r="I102" i="16"/>
  <c r="J102" i="16" s="1"/>
  <c r="F100" i="16"/>
  <c r="G100" i="16" s="1"/>
  <c r="R101" i="16" l="1"/>
  <c r="S101" i="16" s="1"/>
  <c r="O102" i="16"/>
  <c r="P102" i="16" s="1"/>
  <c r="L101" i="16"/>
  <c r="M101" i="16" s="1"/>
  <c r="I103" i="16"/>
  <c r="J103" i="16" s="1"/>
  <c r="F101" i="16"/>
  <c r="G101" i="16" s="1"/>
  <c r="R102" i="16" l="1"/>
  <c r="S102" i="16" s="1"/>
  <c r="O103" i="16"/>
  <c r="P103" i="16" s="1"/>
  <c r="L102" i="16"/>
  <c r="M102" i="16" s="1"/>
  <c r="I104" i="16"/>
  <c r="J104" i="16" s="1"/>
  <c r="F102" i="16"/>
  <c r="G102" i="16" s="1"/>
  <c r="R103" i="16" l="1"/>
  <c r="S103" i="16" s="1"/>
  <c r="O104" i="16"/>
  <c r="P104" i="16" s="1"/>
  <c r="L103" i="16"/>
  <c r="M103" i="16" s="1"/>
  <c r="I105" i="16"/>
  <c r="J105" i="16" s="1"/>
  <c r="F103" i="16"/>
  <c r="G103" i="16" s="1"/>
  <c r="R104" i="16" l="1"/>
  <c r="S104" i="16" s="1"/>
  <c r="O105" i="16"/>
  <c r="P105" i="16" s="1"/>
  <c r="L104" i="16"/>
  <c r="M104" i="16" s="1"/>
  <c r="I106" i="16"/>
  <c r="J106" i="16" s="1"/>
  <c r="F104" i="16"/>
  <c r="G104" i="16" s="1"/>
  <c r="R105" i="16" l="1"/>
  <c r="S105" i="16" s="1"/>
  <c r="O106" i="16"/>
  <c r="P106" i="16" s="1"/>
  <c r="L105" i="16"/>
  <c r="M105" i="16" s="1"/>
  <c r="I107" i="16"/>
  <c r="J107" i="16" s="1"/>
  <c r="F105" i="16"/>
  <c r="G105" i="16" s="1"/>
  <c r="R106" i="16" l="1"/>
  <c r="S106" i="16" s="1"/>
  <c r="O107" i="16"/>
  <c r="P107" i="16" s="1"/>
  <c r="L106" i="16"/>
  <c r="M106" i="16" s="1"/>
  <c r="I108" i="16"/>
  <c r="J108" i="16" s="1"/>
  <c r="F106" i="16"/>
  <c r="G106" i="16" s="1"/>
  <c r="R107" i="16" l="1"/>
  <c r="S107" i="16" s="1"/>
  <c r="O108" i="16"/>
  <c r="P108" i="16" s="1"/>
  <c r="L107" i="16"/>
  <c r="M107" i="16" s="1"/>
  <c r="I109" i="16"/>
  <c r="J109" i="16" s="1"/>
  <c r="F107" i="16"/>
  <c r="G107" i="16" s="1"/>
  <c r="R108" i="16" l="1"/>
  <c r="S108" i="16" s="1"/>
  <c r="O109" i="16"/>
  <c r="P109" i="16" s="1"/>
  <c r="L108" i="16"/>
  <c r="M108" i="16" s="1"/>
  <c r="I110" i="16"/>
  <c r="J110" i="16" s="1"/>
  <c r="F108" i="16"/>
  <c r="G108" i="16" s="1"/>
  <c r="R109" i="16" l="1"/>
  <c r="S109" i="16" s="1"/>
  <c r="O110" i="16"/>
  <c r="P110" i="16" s="1"/>
  <c r="L109" i="16"/>
  <c r="M109" i="16" s="1"/>
  <c r="I111" i="16"/>
  <c r="J111" i="16" s="1"/>
  <c r="F109" i="16"/>
  <c r="G109" i="16" s="1"/>
  <c r="R110" i="16" l="1"/>
  <c r="S110" i="16" s="1"/>
  <c r="O111" i="16"/>
  <c r="P111" i="16" s="1"/>
  <c r="L110" i="16"/>
  <c r="M110" i="16" s="1"/>
  <c r="I112" i="16"/>
  <c r="J112" i="16" s="1"/>
  <c r="F110" i="16"/>
  <c r="G110" i="16" s="1"/>
  <c r="R111" i="16" l="1"/>
  <c r="S111" i="16" s="1"/>
  <c r="O112" i="16"/>
  <c r="P112" i="16" s="1"/>
  <c r="L111" i="16"/>
  <c r="M111" i="16" s="1"/>
  <c r="I113" i="16"/>
  <c r="J113" i="16" s="1"/>
  <c r="F111" i="16"/>
  <c r="G111" i="16" s="1"/>
  <c r="R112" i="16" l="1"/>
  <c r="S112" i="16" s="1"/>
  <c r="O113" i="16"/>
  <c r="P113" i="16" s="1"/>
  <c r="L112" i="16"/>
  <c r="M112" i="16" s="1"/>
  <c r="I114" i="16"/>
  <c r="J114" i="16" s="1"/>
  <c r="F112" i="16"/>
  <c r="G112" i="16" s="1"/>
  <c r="R113" i="16" l="1"/>
  <c r="S113" i="16" s="1"/>
  <c r="O114" i="16"/>
  <c r="P114" i="16" s="1"/>
  <c r="L113" i="16"/>
  <c r="M113" i="16" s="1"/>
  <c r="I115" i="16"/>
  <c r="J115" i="16" s="1"/>
  <c r="F113" i="16"/>
  <c r="G113" i="16" s="1"/>
  <c r="R114" i="16" l="1"/>
  <c r="S114" i="16" s="1"/>
  <c r="O115" i="16"/>
  <c r="P115" i="16" s="1"/>
  <c r="L114" i="16"/>
  <c r="M114" i="16" s="1"/>
  <c r="I116" i="16"/>
  <c r="J116" i="16" s="1"/>
  <c r="F114" i="16"/>
  <c r="G114" i="16" s="1"/>
  <c r="R115" i="16" l="1"/>
  <c r="S115" i="16" s="1"/>
  <c r="O116" i="16"/>
  <c r="P116" i="16" s="1"/>
  <c r="L115" i="16"/>
  <c r="M115" i="16" s="1"/>
  <c r="I117" i="16"/>
  <c r="J117" i="16" s="1"/>
  <c r="F115" i="16"/>
  <c r="G115" i="16" s="1"/>
  <c r="R116" i="16" l="1"/>
  <c r="S116" i="16" s="1"/>
  <c r="O117" i="16"/>
  <c r="P117" i="16" s="1"/>
  <c r="L116" i="16"/>
  <c r="M116" i="16" s="1"/>
  <c r="I118" i="16"/>
  <c r="J118" i="16" s="1"/>
  <c r="F116" i="16"/>
  <c r="G116" i="16" s="1"/>
  <c r="R117" i="16" l="1"/>
  <c r="S117" i="16" s="1"/>
  <c r="O118" i="16"/>
  <c r="P118" i="16" s="1"/>
  <c r="L117" i="16"/>
  <c r="M117" i="16" s="1"/>
  <c r="I119" i="16"/>
  <c r="J119" i="16" s="1"/>
  <c r="F117" i="16"/>
  <c r="G117" i="16" s="1"/>
  <c r="R118" i="16" l="1"/>
  <c r="S118" i="16" s="1"/>
  <c r="O119" i="16"/>
  <c r="P119" i="16" s="1"/>
  <c r="L118" i="16"/>
  <c r="M118" i="16" s="1"/>
  <c r="I120" i="16"/>
  <c r="J120" i="16" s="1"/>
  <c r="F118" i="16"/>
  <c r="G118" i="16" s="1"/>
  <c r="R119" i="16" l="1"/>
  <c r="S119" i="16" s="1"/>
  <c r="O120" i="16"/>
  <c r="P120" i="16" s="1"/>
  <c r="L119" i="16"/>
  <c r="M119" i="16" s="1"/>
  <c r="I121" i="16"/>
  <c r="J121" i="16" s="1"/>
  <c r="F119" i="16"/>
  <c r="G119" i="16" s="1"/>
  <c r="R120" i="16" l="1"/>
  <c r="S120" i="16" s="1"/>
  <c r="O121" i="16"/>
  <c r="P121" i="16" s="1"/>
  <c r="L120" i="16"/>
  <c r="M120" i="16" s="1"/>
  <c r="I122" i="16"/>
  <c r="J122" i="16" s="1"/>
  <c r="F120" i="16"/>
  <c r="G120" i="16" s="1"/>
  <c r="R121" i="16" l="1"/>
  <c r="S121" i="16" s="1"/>
  <c r="O122" i="16"/>
  <c r="P122" i="16" s="1"/>
  <c r="L121" i="16"/>
  <c r="M121" i="16" s="1"/>
  <c r="I123" i="16"/>
  <c r="J123" i="16" s="1"/>
  <c r="F121" i="16"/>
  <c r="G121" i="16" s="1"/>
  <c r="R122" i="16" l="1"/>
  <c r="S122" i="16" s="1"/>
  <c r="O123" i="16"/>
  <c r="P123" i="16" s="1"/>
  <c r="L122" i="16"/>
  <c r="M122" i="16" s="1"/>
  <c r="I124" i="16"/>
  <c r="J124" i="16" s="1"/>
  <c r="F122" i="16"/>
  <c r="G122" i="16" s="1"/>
  <c r="R123" i="16" l="1"/>
  <c r="S123" i="16" s="1"/>
  <c r="O124" i="16"/>
  <c r="P124" i="16" s="1"/>
  <c r="L123" i="16"/>
  <c r="M123" i="16" s="1"/>
  <c r="I125" i="16"/>
  <c r="J125" i="16" s="1"/>
  <c r="F123" i="16"/>
  <c r="G123" i="16" s="1"/>
  <c r="R124" i="16" l="1"/>
  <c r="S124" i="16" s="1"/>
  <c r="O125" i="16"/>
  <c r="P125" i="16" s="1"/>
  <c r="L124" i="16"/>
  <c r="M124" i="16" s="1"/>
  <c r="I126" i="16"/>
  <c r="J126" i="16" s="1"/>
  <c r="F124" i="16"/>
  <c r="G124" i="16" s="1"/>
  <c r="R125" i="16" l="1"/>
  <c r="S125" i="16" s="1"/>
  <c r="O126" i="16"/>
  <c r="P126" i="16" s="1"/>
  <c r="L125" i="16"/>
  <c r="M125" i="16" s="1"/>
  <c r="I127" i="16"/>
  <c r="J127" i="16" s="1"/>
  <c r="F125" i="16"/>
  <c r="G125" i="16" s="1"/>
  <c r="R126" i="16" l="1"/>
  <c r="S126" i="16" s="1"/>
  <c r="O127" i="16"/>
  <c r="P127" i="16" s="1"/>
  <c r="L126" i="16"/>
  <c r="M126" i="16" s="1"/>
  <c r="I128" i="16"/>
  <c r="J128" i="16" s="1"/>
  <c r="F126" i="16"/>
  <c r="G126" i="16" s="1"/>
  <c r="R127" i="16" l="1"/>
  <c r="S127" i="16" s="1"/>
  <c r="O128" i="16"/>
  <c r="P128" i="16" s="1"/>
  <c r="L127" i="16"/>
  <c r="M127" i="16" s="1"/>
  <c r="I129" i="16"/>
  <c r="J129" i="16" s="1"/>
  <c r="F127" i="16"/>
  <c r="G127" i="16" s="1"/>
  <c r="R128" i="16" l="1"/>
  <c r="S128" i="16" s="1"/>
  <c r="O129" i="16"/>
  <c r="P129" i="16" s="1"/>
  <c r="L128" i="16"/>
  <c r="M128" i="16" s="1"/>
  <c r="I130" i="16"/>
  <c r="J130" i="16" s="1"/>
  <c r="F128" i="16"/>
  <c r="G128" i="16" s="1"/>
  <c r="R129" i="16" l="1"/>
  <c r="S129" i="16" s="1"/>
  <c r="O130" i="16"/>
  <c r="P130" i="16" s="1"/>
  <c r="L129" i="16"/>
  <c r="M129" i="16" s="1"/>
  <c r="I131" i="16"/>
  <c r="J131" i="16" s="1"/>
  <c r="F129" i="16"/>
  <c r="G129" i="16" s="1"/>
  <c r="R130" i="16" l="1"/>
  <c r="S130" i="16" s="1"/>
  <c r="O131" i="16"/>
  <c r="P131" i="16" s="1"/>
  <c r="L130" i="16"/>
  <c r="M130" i="16" s="1"/>
  <c r="I132" i="16"/>
  <c r="J132" i="16" s="1"/>
  <c r="F130" i="16"/>
  <c r="G130" i="16" s="1"/>
  <c r="R131" i="16" l="1"/>
  <c r="S131" i="16" s="1"/>
  <c r="O132" i="16"/>
  <c r="P132" i="16" s="1"/>
  <c r="L131" i="16"/>
  <c r="M131" i="16" s="1"/>
  <c r="I133" i="16"/>
  <c r="J133" i="16" s="1"/>
  <c r="F131" i="16"/>
  <c r="G131" i="16" s="1"/>
  <c r="R132" i="16" l="1"/>
  <c r="S132" i="16" s="1"/>
  <c r="O133" i="16"/>
  <c r="P133" i="16" s="1"/>
  <c r="L132" i="16"/>
  <c r="M132" i="16" s="1"/>
  <c r="I134" i="16"/>
  <c r="J134" i="16" s="1"/>
  <c r="F132" i="16"/>
  <c r="G132" i="16" s="1"/>
  <c r="R133" i="16" l="1"/>
  <c r="S133" i="16" s="1"/>
  <c r="O134" i="16"/>
  <c r="P134" i="16" s="1"/>
  <c r="L133" i="16"/>
  <c r="M133" i="16" s="1"/>
  <c r="I135" i="16"/>
  <c r="J135" i="16" s="1"/>
  <c r="F133" i="16"/>
  <c r="G133" i="16" s="1"/>
  <c r="R134" i="16" l="1"/>
  <c r="S134" i="16" s="1"/>
  <c r="O135" i="16"/>
  <c r="P135" i="16" s="1"/>
  <c r="L134" i="16"/>
  <c r="M134" i="16" s="1"/>
  <c r="I136" i="16"/>
  <c r="J136" i="16" s="1"/>
  <c r="F134" i="16"/>
  <c r="G134" i="16" s="1"/>
  <c r="R135" i="16" l="1"/>
  <c r="S135" i="16" s="1"/>
  <c r="O136" i="16"/>
  <c r="P136" i="16" s="1"/>
  <c r="L135" i="16"/>
  <c r="M135" i="16" s="1"/>
  <c r="I137" i="16"/>
  <c r="J137" i="16" s="1"/>
  <c r="F135" i="16"/>
  <c r="G135" i="16" s="1"/>
  <c r="R136" i="16" l="1"/>
  <c r="S136" i="16" s="1"/>
  <c r="O137" i="16"/>
  <c r="P137" i="16" s="1"/>
  <c r="L136" i="16"/>
  <c r="M136" i="16" s="1"/>
  <c r="I138" i="16"/>
  <c r="J138" i="16" s="1"/>
  <c r="F136" i="16"/>
  <c r="G136" i="16" s="1"/>
  <c r="R137" i="16" l="1"/>
  <c r="S137" i="16" s="1"/>
  <c r="O138" i="16"/>
  <c r="P138" i="16" s="1"/>
  <c r="L137" i="16"/>
  <c r="M137" i="16" s="1"/>
  <c r="I139" i="16"/>
  <c r="J139" i="16" s="1"/>
  <c r="F137" i="16"/>
  <c r="G137" i="16" s="1"/>
  <c r="R138" i="16" l="1"/>
  <c r="S138" i="16" s="1"/>
  <c r="O139" i="16"/>
  <c r="P139" i="16" s="1"/>
  <c r="L138" i="16"/>
  <c r="M138" i="16" s="1"/>
  <c r="I140" i="16"/>
  <c r="J140" i="16" s="1"/>
  <c r="F138" i="16"/>
  <c r="G138" i="16" s="1"/>
  <c r="R139" i="16" l="1"/>
  <c r="S139" i="16" s="1"/>
  <c r="O140" i="16"/>
  <c r="P140" i="16" s="1"/>
  <c r="L139" i="16"/>
  <c r="M139" i="16" s="1"/>
  <c r="I141" i="16"/>
  <c r="J141" i="16" s="1"/>
  <c r="F139" i="16"/>
  <c r="G139" i="16" s="1"/>
  <c r="R140" i="16" l="1"/>
  <c r="S140" i="16" s="1"/>
  <c r="O141" i="16"/>
  <c r="P141" i="16" s="1"/>
  <c r="L140" i="16"/>
  <c r="M140" i="16" s="1"/>
  <c r="I142" i="16"/>
  <c r="J142" i="16" s="1"/>
  <c r="F140" i="16"/>
  <c r="G140" i="16" s="1"/>
  <c r="R141" i="16" l="1"/>
  <c r="S141" i="16" s="1"/>
  <c r="O142" i="16"/>
  <c r="P142" i="16" s="1"/>
  <c r="L141" i="16"/>
  <c r="M141" i="16" s="1"/>
  <c r="I143" i="16"/>
  <c r="J143" i="16" s="1"/>
  <c r="F141" i="16"/>
  <c r="G141" i="16" s="1"/>
  <c r="R142" i="16" l="1"/>
  <c r="S142" i="16" s="1"/>
  <c r="O143" i="16"/>
  <c r="P143" i="16" s="1"/>
  <c r="L142" i="16"/>
  <c r="M142" i="16" s="1"/>
  <c r="I144" i="16"/>
  <c r="J144" i="16" s="1"/>
  <c r="F142" i="16"/>
  <c r="G142" i="16" s="1"/>
  <c r="R143" i="16" l="1"/>
  <c r="S143" i="16" s="1"/>
  <c r="O144" i="16"/>
  <c r="P144" i="16" s="1"/>
  <c r="L143" i="16"/>
  <c r="M143" i="16" s="1"/>
  <c r="I145" i="16"/>
  <c r="J145" i="16" s="1"/>
  <c r="F143" i="16"/>
  <c r="G143" i="16" s="1"/>
  <c r="R144" i="16" l="1"/>
  <c r="S144" i="16" s="1"/>
  <c r="O145" i="16"/>
  <c r="P145" i="16" s="1"/>
  <c r="L144" i="16"/>
  <c r="M144" i="16" s="1"/>
  <c r="I146" i="16"/>
  <c r="J146" i="16" s="1"/>
  <c r="F144" i="16"/>
  <c r="G144" i="16" s="1"/>
  <c r="R145" i="16" l="1"/>
  <c r="S145" i="16" s="1"/>
  <c r="O146" i="16"/>
  <c r="P146" i="16" s="1"/>
  <c r="L145" i="16"/>
  <c r="M145" i="16" s="1"/>
  <c r="I147" i="16"/>
  <c r="J147" i="16" s="1"/>
  <c r="F145" i="16"/>
  <c r="G145" i="16" s="1"/>
  <c r="R146" i="16" l="1"/>
  <c r="S146" i="16" s="1"/>
  <c r="O147" i="16"/>
  <c r="P147" i="16" s="1"/>
  <c r="L146" i="16"/>
  <c r="M146" i="16" s="1"/>
  <c r="I148" i="16"/>
  <c r="J148" i="16" s="1"/>
  <c r="F146" i="16"/>
  <c r="G146" i="16" s="1"/>
  <c r="R147" i="16" l="1"/>
  <c r="S147" i="16" s="1"/>
  <c r="O148" i="16"/>
  <c r="P148" i="16" s="1"/>
  <c r="L147" i="16"/>
  <c r="M147" i="16" s="1"/>
  <c r="I149" i="16"/>
  <c r="J149" i="16" s="1"/>
  <c r="F147" i="16"/>
  <c r="G147" i="16" s="1"/>
  <c r="R148" i="16" l="1"/>
  <c r="S148" i="16" s="1"/>
  <c r="O149" i="16"/>
  <c r="P149" i="16" s="1"/>
  <c r="L148" i="16"/>
  <c r="M148" i="16" s="1"/>
  <c r="I150" i="16"/>
  <c r="J150" i="16" s="1"/>
  <c r="F148" i="16"/>
  <c r="G148" i="16" s="1"/>
  <c r="R149" i="16" l="1"/>
  <c r="S149" i="16" s="1"/>
  <c r="O150" i="16"/>
  <c r="P150" i="16" s="1"/>
  <c r="L149" i="16"/>
  <c r="M149" i="16" s="1"/>
  <c r="I151" i="16"/>
  <c r="J151" i="16" s="1"/>
  <c r="F149" i="16"/>
  <c r="G149" i="16" s="1"/>
  <c r="R150" i="16" l="1"/>
  <c r="S150" i="16" s="1"/>
  <c r="O151" i="16"/>
  <c r="P151" i="16" s="1"/>
  <c r="L150" i="16"/>
  <c r="M150" i="16" s="1"/>
  <c r="I152" i="16"/>
  <c r="J152" i="16" s="1"/>
  <c r="F150" i="16"/>
  <c r="G150" i="16" s="1"/>
  <c r="R151" i="16" l="1"/>
  <c r="S151" i="16" s="1"/>
  <c r="O152" i="16"/>
  <c r="P152" i="16" s="1"/>
  <c r="L151" i="16"/>
  <c r="M151" i="16" s="1"/>
  <c r="I153" i="16"/>
  <c r="J153" i="16" s="1"/>
  <c r="F151" i="16"/>
  <c r="G151" i="16" s="1"/>
  <c r="R152" i="16" l="1"/>
  <c r="S152" i="16" s="1"/>
  <c r="O153" i="16"/>
  <c r="P153" i="16" s="1"/>
  <c r="L152" i="16"/>
  <c r="M152" i="16" s="1"/>
  <c r="I154" i="16"/>
  <c r="J154" i="16" s="1"/>
  <c r="F152" i="16"/>
  <c r="G152" i="16" s="1"/>
  <c r="R153" i="16" l="1"/>
  <c r="S153" i="16" s="1"/>
  <c r="O154" i="16"/>
  <c r="P154" i="16" s="1"/>
  <c r="L153" i="16"/>
  <c r="M153" i="16" s="1"/>
  <c r="I155" i="16"/>
  <c r="J155" i="16" s="1"/>
  <c r="F153" i="16"/>
  <c r="G153" i="16" s="1"/>
  <c r="R154" i="16" l="1"/>
  <c r="S154" i="16" s="1"/>
  <c r="O155" i="16"/>
  <c r="P155" i="16" s="1"/>
  <c r="L154" i="16"/>
  <c r="M154" i="16" s="1"/>
  <c r="I156" i="16"/>
  <c r="J156" i="16" s="1"/>
  <c r="F154" i="16"/>
  <c r="G154" i="16" s="1"/>
  <c r="R155" i="16" l="1"/>
  <c r="S155" i="16" s="1"/>
  <c r="O156" i="16"/>
  <c r="P156" i="16" s="1"/>
  <c r="L155" i="16"/>
  <c r="M155" i="16" s="1"/>
  <c r="I157" i="16"/>
  <c r="J157" i="16" s="1"/>
  <c r="F155" i="16"/>
  <c r="G155" i="16" s="1"/>
  <c r="R156" i="16" l="1"/>
  <c r="S156" i="16" s="1"/>
  <c r="O157" i="16"/>
  <c r="P157" i="16" s="1"/>
  <c r="L156" i="16"/>
  <c r="M156" i="16" s="1"/>
  <c r="I158" i="16"/>
  <c r="J158" i="16" s="1"/>
  <c r="F156" i="16"/>
  <c r="G156" i="16" s="1"/>
  <c r="R157" i="16" l="1"/>
  <c r="S157" i="16" s="1"/>
  <c r="O158" i="16"/>
  <c r="P158" i="16" s="1"/>
  <c r="L157" i="16"/>
  <c r="M157" i="16" s="1"/>
  <c r="I159" i="16"/>
  <c r="J159" i="16" s="1"/>
  <c r="F157" i="16"/>
  <c r="G157" i="16" s="1"/>
  <c r="R158" i="16" l="1"/>
  <c r="S158" i="16" s="1"/>
  <c r="O159" i="16"/>
  <c r="P159" i="16" s="1"/>
  <c r="L158" i="16"/>
  <c r="M158" i="16" s="1"/>
  <c r="I160" i="16"/>
  <c r="J160" i="16" s="1"/>
  <c r="F158" i="16"/>
  <c r="G158" i="16" s="1"/>
  <c r="R159" i="16" l="1"/>
  <c r="S159" i="16" s="1"/>
  <c r="O160" i="16"/>
  <c r="P160" i="16" s="1"/>
  <c r="L159" i="16"/>
  <c r="M159" i="16" s="1"/>
  <c r="I161" i="16"/>
  <c r="J161" i="16" s="1"/>
  <c r="F159" i="16"/>
  <c r="G159" i="16" s="1"/>
  <c r="R160" i="16" l="1"/>
  <c r="S160" i="16" s="1"/>
  <c r="O161" i="16"/>
  <c r="P161" i="16" s="1"/>
  <c r="L160" i="16"/>
  <c r="M160" i="16" s="1"/>
  <c r="I162" i="16"/>
  <c r="J162" i="16" s="1"/>
  <c r="F160" i="16"/>
  <c r="G160" i="16" s="1"/>
  <c r="R161" i="16" l="1"/>
  <c r="S161" i="16" s="1"/>
  <c r="O162" i="16"/>
  <c r="P162" i="16" s="1"/>
  <c r="L161" i="16"/>
  <c r="M161" i="16" s="1"/>
  <c r="I163" i="16"/>
  <c r="J163" i="16" s="1"/>
  <c r="F161" i="16"/>
  <c r="G161" i="16" s="1"/>
  <c r="R162" i="16" l="1"/>
  <c r="S162" i="16" s="1"/>
  <c r="O163" i="16"/>
  <c r="P163" i="16" s="1"/>
  <c r="L162" i="16"/>
  <c r="M162" i="16" s="1"/>
  <c r="I164" i="16"/>
  <c r="J164" i="16" s="1"/>
  <c r="F162" i="16"/>
  <c r="G162" i="16" s="1"/>
  <c r="R163" i="16" l="1"/>
  <c r="S163" i="16" s="1"/>
  <c r="O164" i="16"/>
  <c r="P164" i="16" s="1"/>
  <c r="L163" i="16"/>
  <c r="M163" i="16" s="1"/>
  <c r="I165" i="16"/>
  <c r="J165" i="16" s="1"/>
  <c r="F163" i="16"/>
  <c r="G163" i="16" s="1"/>
  <c r="R164" i="16" l="1"/>
  <c r="S164" i="16" s="1"/>
  <c r="O165" i="16"/>
  <c r="P165" i="16" s="1"/>
  <c r="L164" i="16"/>
  <c r="M164" i="16" s="1"/>
  <c r="I166" i="16"/>
  <c r="J166" i="16" s="1"/>
  <c r="F164" i="16"/>
  <c r="G164" i="16" s="1"/>
  <c r="R165" i="16" l="1"/>
  <c r="S165" i="16" s="1"/>
  <c r="O166" i="16"/>
  <c r="P166" i="16" s="1"/>
  <c r="L165" i="16"/>
  <c r="M165" i="16" s="1"/>
  <c r="I167" i="16"/>
  <c r="J167" i="16" s="1"/>
  <c r="F165" i="16"/>
  <c r="G165" i="16" s="1"/>
  <c r="R166" i="16" l="1"/>
  <c r="S166" i="16" s="1"/>
  <c r="O167" i="16"/>
  <c r="P167" i="16" s="1"/>
  <c r="L166" i="16"/>
  <c r="M166" i="16" s="1"/>
  <c r="I168" i="16"/>
  <c r="J168" i="16" s="1"/>
  <c r="F166" i="16"/>
  <c r="G166" i="16" s="1"/>
  <c r="R167" i="16" l="1"/>
  <c r="S167" i="16" s="1"/>
  <c r="O168" i="16"/>
  <c r="P168" i="16" s="1"/>
  <c r="L167" i="16"/>
  <c r="M167" i="16" s="1"/>
  <c r="I169" i="16"/>
  <c r="J169" i="16" s="1"/>
  <c r="F167" i="16"/>
  <c r="G167" i="16" s="1"/>
  <c r="R168" i="16" l="1"/>
  <c r="S168" i="16" s="1"/>
  <c r="O169" i="16"/>
  <c r="P169" i="16" s="1"/>
  <c r="L168" i="16"/>
  <c r="M168" i="16" s="1"/>
  <c r="I170" i="16"/>
  <c r="J170" i="16" s="1"/>
  <c r="F168" i="16"/>
  <c r="G168" i="16" s="1"/>
  <c r="R169" i="16" l="1"/>
  <c r="S169" i="16" s="1"/>
  <c r="O170" i="16"/>
  <c r="P170" i="16" s="1"/>
  <c r="L169" i="16"/>
  <c r="M169" i="16" s="1"/>
  <c r="I171" i="16"/>
  <c r="J171" i="16" s="1"/>
  <c r="F169" i="16"/>
  <c r="G169" i="16" s="1"/>
  <c r="R170" i="16" l="1"/>
  <c r="S170" i="16" s="1"/>
  <c r="O171" i="16"/>
  <c r="P171" i="16" s="1"/>
  <c r="L170" i="16"/>
  <c r="M170" i="16" s="1"/>
  <c r="I172" i="16"/>
  <c r="J172" i="16" s="1"/>
  <c r="F170" i="16"/>
  <c r="G170" i="16" s="1"/>
  <c r="R171" i="16" l="1"/>
  <c r="S171" i="16" s="1"/>
  <c r="O172" i="16"/>
  <c r="P172" i="16" s="1"/>
  <c r="L171" i="16"/>
  <c r="M171" i="16" s="1"/>
  <c r="I173" i="16"/>
  <c r="J173" i="16" s="1"/>
  <c r="F171" i="16"/>
  <c r="G171" i="16" s="1"/>
  <c r="R172" i="16" l="1"/>
  <c r="S172" i="16" s="1"/>
  <c r="O173" i="16"/>
  <c r="P173" i="16" s="1"/>
  <c r="L172" i="16"/>
  <c r="M172" i="16" s="1"/>
  <c r="I174" i="16"/>
  <c r="J174" i="16" s="1"/>
  <c r="F172" i="16"/>
  <c r="G172" i="16" s="1"/>
  <c r="R173" i="16" l="1"/>
  <c r="S173" i="16" s="1"/>
  <c r="O174" i="16"/>
  <c r="P174" i="16" s="1"/>
  <c r="L173" i="16"/>
  <c r="M173" i="16" s="1"/>
  <c r="I175" i="16"/>
  <c r="J175" i="16" s="1"/>
  <c r="F173" i="16"/>
  <c r="G173" i="16" s="1"/>
  <c r="R174" i="16" l="1"/>
  <c r="S174" i="16" s="1"/>
  <c r="O175" i="16"/>
  <c r="P175" i="16" s="1"/>
  <c r="L174" i="16"/>
  <c r="M174" i="16" s="1"/>
  <c r="I176" i="16"/>
  <c r="J176" i="16" s="1"/>
  <c r="F174" i="16"/>
  <c r="G174" i="16" s="1"/>
  <c r="R175" i="16" l="1"/>
  <c r="S175" i="16" s="1"/>
  <c r="O176" i="16"/>
  <c r="P176" i="16" s="1"/>
  <c r="L175" i="16"/>
  <c r="M175" i="16" s="1"/>
  <c r="I177" i="16"/>
  <c r="J177" i="16" s="1"/>
  <c r="F175" i="16"/>
  <c r="G175" i="16" s="1"/>
  <c r="R176" i="16" l="1"/>
  <c r="S176" i="16" s="1"/>
  <c r="O177" i="16"/>
  <c r="P177" i="16" s="1"/>
  <c r="L176" i="16"/>
  <c r="M176" i="16" s="1"/>
  <c r="I178" i="16"/>
  <c r="J178" i="16" s="1"/>
  <c r="F176" i="16"/>
  <c r="G176" i="16" s="1"/>
  <c r="R177" i="16" l="1"/>
  <c r="S177" i="16" s="1"/>
  <c r="O178" i="16"/>
  <c r="P178" i="16" s="1"/>
  <c r="L177" i="16"/>
  <c r="M177" i="16" s="1"/>
  <c r="I179" i="16"/>
  <c r="J179" i="16" s="1"/>
  <c r="F177" i="16"/>
  <c r="G177" i="16" s="1"/>
  <c r="R178" i="16" l="1"/>
  <c r="S178" i="16" s="1"/>
  <c r="O179" i="16"/>
  <c r="P179" i="16" s="1"/>
  <c r="L178" i="16"/>
  <c r="M178" i="16" s="1"/>
  <c r="I180" i="16"/>
  <c r="J180" i="16" s="1"/>
  <c r="F178" i="16"/>
  <c r="G178" i="16" s="1"/>
  <c r="R179" i="16" l="1"/>
  <c r="S179" i="16" s="1"/>
  <c r="O180" i="16"/>
  <c r="P180" i="16" s="1"/>
  <c r="L179" i="16"/>
  <c r="M179" i="16" s="1"/>
  <c r="I181" i="16"/>
  <c r="J181" i="16" s="1"/>
  <c r="F179" i="16"/>
  <c r="G179" i="16" s="1"/>
  <c r="R180" i="16" l="1"/>
  <c r="S180" i="16" s="1"/>
  <c r="O181" i="16"/>
  <c r="P181" i="16" s="1"/>
  <c r="L180" i="16"/>
  <c r="M180" i="16" s="1"/>
  <c r="I182" i="16"/>
  <c r="J182" i="16" s="1"/>
  <c r="F180" i="16"/>
  <c r="G180" i="16" s="1"/>
  <c r="R181" i="16" l="1"/>
  <c r="S181" i="16" s="1"/>
  <c r="O182" i="16"/>
  <c r="P182" i="16" s="1"/>
  <c r="L181" i="16"/>
  <c r="M181" i="16" s="1"/>
  <c r="I183" i="16"/>
  <c r="J183" i="16" s="1"/>
  <c r="F181" i="16"/>
  <c r="G181" i="16" s="1"/>
  <c r="R182" i="16" l="1"/>
  <c r="S182" i="16" s="1"/>
  <c r="O183" i="16"/>
  <c r="P183" i="16" s="1"/>
  <c r="L182" i="16"/>
  <c r="M182" i="16" s="1"/>
  <c r="I184" i="16"/>
  <c r="J184" i="16" s="1"/>
  <c r="F182" i="16"/>
  <c r="G182" i="16" s="1"/>
  <c r="R183" i="16" l="1"/>
  <c r="S183" i="16" s="1"/>
  <c r="O184" i="16"/>
  <c r="P184" i="16" s="1"/>
  <c r="L183" i="16"/>
  <c r="M183" i="16" s="1"/>
  <c r="I185" i="16"/>
  <c r="J185" i="16" s="1"/>
  <c r="F183" i="16"/>
  <c r="G183" i="16" s="1"/>
  <c r="R184" i="16" l="1"/>
  <c r="S184" i="16" s="1"/>
  <c r="O185" i="16"/>
  <c r="P185" i="16" s="1"/>
  <c r="L184" i="16"/>
  <c r="M184" i="16" s="1"/>
  <c r="I186" i="16"/>
  <c r="J186" i="16" s="1"/>
  <c r="F184" i="16"/>
  <c r="G184" i="16" s="1"/>
  <c r="R185" i="16" l="1"/>
  <c r="S185" i="16" s="1"/>
  <c r="O186" i="16"/>
  <c r="P186" i="16" s="1"/>
  <c r="L185" i="16"/>
  <c r="M185" i="16" s="1"/>
  <c r="I187" i="16"/>
  <c r="J187" i="16" s="1"/>
  <c r="F185" i="16"/>
  <c r="G185" i="16" s="1"/>
  <c r="R186" i="16" l="1"/>
  <c r="S186" i="16" s="1"/>
  <c r="O187" i="16"/>
  <c r="P187" i="16" s="1"/>
  <c r="L186" i="16"/>
  <c r="M186" i="16" s="1"/>
  <c r="I188" i="16"/>
  <c r="J188" i="16" s="1"/>
  <c r="F186" i="16"/>
  <c r="G186" i="16" s="1"/>
  <c r="R187" i="16" l="1"/>
  <c r="S187" i="16" s="1"/>
  <c r="O188" i="16"/>
  <c r="P188" i="16" s="1"/>
  <c r="L187" i="16"/>
  <c r="M187" i="16" s="1"/>
  <c r="I189" i="16"/>
  <c r="J189" i="16" s="1"/>
  <c r="F187" i="16"/>
  <c r="G187" i="16" s="1"/>
  <c r="R188" i="16" l="1"/>
  <c r="S188" i="16" s="1"/>
  <c r="O189" i="16"/>
  <c r="P189" i="16" s="1"/>
  <c r="L188" i="16"/>
  <c r="M188" i="16" s="1"/>
  <c r="I190" i="16"/>
  <c r="J190" i="16" s="1"/>
  <c r="F188" i="16"/>
  <c r="G188" i="16" s="1"/>
  <c r="R189" i="16" l="1"/>
  <c r="S189" i="16" s="1"/>
  <c r="O190" i="16"/>
  <c r="P190" i="16" s="1"/>
  <c r="L189" i="16"/>
  <c r="M189" i="16" s="1"/>
  <c r="I191" i="16"/>
  <c r="J191" i="16" s="1"/>
  <c r="F189" i="16"/>
  <c r="G189" i="16" s="1"/>
  <c r="R190" i="16" l="1"/>
  <c r="S190" i="16" s="1"/>
  <c r="O191" i="16"/>
  <c r="P191" i="16" s="1"/>
  <c r="L190" i="16"/>
  <c r="M190" i="16" s="1"/>
  <c r="I192" i="16"/>
  <c r="J192" i="16" s="1"/>
  <c r="F190" i="16"/>
  <c r="G190" i="16" s="1"/>
  <c r="R191" i="16" l="1"/>
  <c r="S191" i="16" s="1"/>
  <c r="O192" i="16"/>
  <c r="P192" i="16" s="1"/>
  <c r="L191" i="16"/>
  <c r="M191" i="16" s="1"/>
  <c r="I193" i="16"/>
  <c r="J193" i="16" s="1"/>
  <c r="F191" i="16"/>
  <c r="G191" i="16" s="1"/>
  <c r="R192" i="16" l="1"/>
  <c r="S192" i="16" s="1"/>
  <c r="O193" i="16"/>
  <c r="P193" i="16" s="1"/>
  <c r="L192" i="16"/>
  <c r="M192" i="16" s="1"/>
  <c r="I194" i="16"/>
  <c r="J194" i="16" s="1"/>
  <c r="F192" i="16"/>
  <c r="G192" i="16" s="1"/>
  <c r="R193" i="16" l="1"/>
  <c r="S193" i="16" s="1"/>
  <c r="O194" i="16"/>
  <c r="P194" i="16" s="1"/>
  <c r="L193" i="16"/>
  <c r="M193" i="16" s="1"/>
  <c r="I195" i="16"/>
  <c r="J195" i="16" s="1"/>
  <c r="F193" i="16"/>
  <c r="G193" i="16" s="1"/>
  <c r="R194" i="16" l="1"/>
  <c r="S194" i="16" s="1"/>
  <c r="O195" i="16"/>
  <c r="P195" i="16" s="1"/>
  <c r="L194" i="16"/>
  <c r="M194" i="16" s="1"/>
  <c r="I196" i="16"/>
  <c r="J196" i="16" s="1"/>
  <c r="F194" i="16"/>
  <c r="G194" i="16" s="1"/>
  <c r="R195" i="16" l="1"/>
  <c r="S195" i="16" s="1"/>
  <c r="O196" i="16"/>
  <c r="P196" i="16" s="1"/>
  <c r="L195" i="16"/>
  <c r="M195" i="16" s="1"/>
  <c r="I197" i="16"/>
  <c r="J197" i="16" s="1"/>
  <c r="F195" i="16"/>
  <c r="G195" i="16" s="1"/>
  <c r="R196" i="16" l="1"/>
  <c r="S196" i="16" s="1"/>
  <c r="O197" i="16"/>
  <c r="P197" i="16" s="1"/>
  <c r="L196" i="16"/>
  <c r="M196" i="16" s="1"/>
  <c r="I198" i="16"/>
  <c r="J198" i="16" s="1"/>
  <c r="F196" i="16"/>
  <c r="G196" i="16" s="1"/>
  <c r="R197" i="16" l="1"/>
  <c r="S197" i="16" s="1"/>
  <c r="O198" i="16"/>
  <c r="P198" i="16" s="1"/>
  <c r="L197" i="16"/>
  <c r="M197" i="16" s="1"/>
  <c r="I199" i="16"/>
  <c r="J199" i="16" s="1"/>
  <c r="F197" i="16"/>
  <c r="G197" i="16" s="1"/>
  <c r="R198" i="16" l="1"/>
  <c r="S198" i="16" s="1"/>
  <c r="O199" i="16"/>
  <c r="P199" i="16" s="1"/>
  <c r="L198" i="16"/>
  <c r="M198" i="16" s="1"/>
  <c r="I200" i="16"/>
  <c r="J200" i="16" s="1"/>
  <c r="F198" i="16"/>
  <c r="G198" i="16" s="1"/>
  <c r="R199" i="16" l="1"/>
  <c r="S199" i="16" s="1"/>
  <c r="O200" i="16"/>
  <c r="P200" i="16" s="1"/>
  <c r="L199" i="16"/>
  <c r="M199" i="16" s="1"/>
  <c r="I201" i="16"/>
  <c r="J201" i="16" s="1"/>
  <c r="F199" i="16"/>
  <c r="G199" i="16" s="1"/>
  <c r="R200" i="16" l="1"/>
  <c r="S200" i="16" s="1"/>
  <c r="O201" i="16"/>
  <c r="P201" i="16" s="1"/>
  <c r="L200" i="16"/>
  <c r="M200" i="16" s="1"/>
  <c r="I202" i="16"/>
  <c r="J202" i="16" s="1"/>
  <c r="F200" i="16"/>
  <c r="G200" i="16" s="1"/>
  <c r="R201" i="16" l="1"/>
  <c r="S201" i="16" s="1"/>
  <c r="O202" i="16"/>
  <c r="P202" i="16" s="1"/>
  <c r="L201" i="16"/>
  <c r="M201" i="16" s="1"/>
  <c r="I203" i="16"/>
  <c r="J203" i="16" s="1"/>
  <c r="F201" i="16"/>
  <c r="G201" i="16" s="1"/>
  <c r="R202" i="16" l="1"/>
  <c r="S202" i="16" s="1"/>
  <c r="O203" i="16"/>
  <c r="P203" i="16" s="1"/>
  <c r="L202" i="16"/>
  <c r="M202" i="16" s="1"/>
  <c r="I204" i="16"/>
  <c r="J204" i="16" s="1"/>
  <c r="F202" i="16"/>
  <c r="G202" i="16" s="1"/>
  <c r="R203" i="16" l="1"/>
  <c r="S203" i="16" s="1"/>
  <c r="O204" i="16"/>
  <c r="P204" i="16" s="1"/>
  <c r="L203" i="16"/>
  <c r="M203" i="16" s="1"/>
  <c r="I205" i="16"/>
  <c r="J205" i="16" s="1"/>
  <c r="F203" i="16"/>
  <c r="G203" i="16" s="1"/>
  <c r="R204" i="16" l="1"/>
  <c r="S204" i="16" s="1"/>
  <c r="O205" i="16"/>
  <c r="P205" i="16" s="1"/>
  <c r="L204" i="16"/>
  <c r="M204" i="16" s="1"/>
  <c r="I206" i="16"/>
  <c r="J206" i="16" s="1"/>
  <c r="F204" i="16"/>
  <c r="G204" i="16" s="1"/>
  <c r="R205" i="16" l="1"/>
  <c r="S205" i="16" s="1"/>
  <c r="O206" i="16"/>
  <c r="P206" i="16" s="1"/>
  <c r="L205" i="16"/>
  <c r="M205" i="16" s="1"/>
  <c r="I207" i="16"/>
  <c r="J207" i="16" s="1"/>
  <c r="F205" i="16"/>
  <c r="G205" i="16" s="1"/>
  <c r="R206" i="16" l="1"/>
  <c r="S206" i="16" s="1"/>
  <c r="O207" i="16"/>
  <c r="P207" i="16" s="1"/>
  <c r="L206" i="16"/>
  <c r="M206" i="16" s="1"/>
  <c r="I208" i="16"/>
  <c r="J208" i="16" s="1"/>
  <c r="F206" i="16"/>
  <c r="G206" i="16" s="1"/>
  <c r="R207" i="16" l="1"/>
  <c r="S207" i="16" s="1"/>
  <c r="O208" i="16"/>
  <c r="P208" i="16" s="1"/>
  <c r="L207" i="16"/>
  <c r="M207" i="16" s="1"/>
  <c r="I209" i="16"/>
  <c r="J209" i="16" s="1"/>
  <c r="F207" i="16"/>
  <c r="G207" i="16" s="1"/>
  <c r="R208" i="16" l="1"/>
  <c r="S208" i="16" s="1"/>
  <c r="O209" i="16"/>
  <c r="P209" i="16" s="1"/>
  <c r="L208" i="16"/>
  <c r="M208" i="16" s="1"/>
  <c r="I210" i="16"/>
  <c r="J210" i="16" s="1"/>
  <c r="F208" i="16"/>
  <c r="G208" i="16" s="1"/>
  <c r="R209" i="16" l="1"/>
  <c r="S209" i="16" s="1"/>
  <c r="O210" i="16"/>
  <c r="P210" i="16" s="1"/>
  <c r="L209" i="16"/>
  <c r="M209" i="16" s="1"/>
  <c r="I211" i="16"/>
  <c r="J211" i="16" s="1"/>
  <c r="F209" i="16"/>
  <c r="G209" i="16" s="1"/>
  <c r="R210" i="16" l="1"/>
  <c r="S210" i="16" s="1"/>
  <c r="O211" i="16"/>
  <c r="P211" i="16" s="1"/>
  <c r="L210" i="16"/>
  <c r="M210" i="16" s="1"/>
  <c r="I212" i="16"/>
  <c r="J212" i="16" s="1"/>
  <c r="F210" i="16"/>
  <c r="G210" i="16" s="1"/>
  <c r="R211" i="16" l="1"/>
  <c r="S211" i="16" s="1"/>
  <c r="O212" i="16"/>
  <c r="P212" i="16" s="1"/>
  <c r="L211" i="16"/>
  <c r="M211" i="16" s="1"/>
  <c r="I213" i="16"/>
  <c r="J213" i="16" s="1"/>
  <c r="F211" i="16"/>
  <c r="G211" i="16" s="1"/>
  <c r="R212" i="16" l="1"/>
  <c r="S212" i="16" s="1"/>
  <c r="O213" i="16"/>
  <c r="P213" i="16" s="1"/>
  <c r="L212" i="16"/>
  <c r="M212" i="16" s="1"/>
  <c r="I214" i="16"/>
  <c r="J214" i="16" s="1"/>
  <c r="F212" i="16"/>
  <c r="G212" i="16" s="1"/>
  <c r="R213" i="16" l="1"/>
  <c r="S213" i="16" s="1"/>
  <c r="O214" i="16"/>
  <c r="P214" i="16" s="1"/>
  <c r="L213" i="16"/>
  <c r="M213" i="16" s="1"/>
  <c r="I215" i="16"/>
  <c r="J215" i="16" s="1"/>
  <c r="F213" i="16"/>
  <c r="G213" i="16" s="1"/>
  <c r="R214" i="16" l="1"/>
  <c r="S214" i="16" s="1"/>
  <c r="O215" i="16"/>
  <c r="P215" i="16" s="1"/>
  <c r="L214" i="16"/>
  <c r="M214" i="16" s="1"/>
  <c r="I216" i="16"/>
  <c r="J216" i="16" s="1"/>
  <c r="F214" i="16"/>
  <c r="G214" i="16" s="1"/>
  <c r="R215" i="16" l="1"/>
  <c r="S215" i="16" s="1"/>
  <c r="O216" i="16"/>
  <c r="P216" i="16" s="1"/>
  <c r="L215" i="16"/>
  <c r="M215" i="16" s="1"/>
  <c r="I217" i="16"/>
  <c r="J217" i="16" s="1"/>
  <c r="F215" i="16"/>
  <c r="G215" i="16" s="1"/>
  <c r="R216" i="16" l="1"/>
  <c r="S216" i="16" s="1"/>
  <c r="O217" i="16"/>
  <c r="P217" i="16" s="1"/>
  <c r="L216" i="16"/>
  <c r="M216" i="16" s="1"/>
  <c r="I218" i="16"/>
  <c r="J218" i="16" s="1"/>
  <c r="F216" i="16"/>
  <c r="G216" i="16" s="1"/>
  <c r="R217" i="16" l="1"/>
  <c r="S217" i="16" s="1"/>
  <c r="O218" i="16"/>
  <c r="P218" i="16" s="1"/>
  <c r="L217" i="16"/>
  <c r="M217" i="16" s="1"/>
  <c r="I219" i="16"/>
  <c r="J219" i="16" s="1"/>
  <c r="F217" i="16"/>
  <c r="G217" i="16" s="1"/>
  <c r="R218" i="16" l="1"/>
  <c r="S218" i="16" s="1"/>
  <c r="O219" i="16"/>
  <c r="P219" i="16" s="1"/>
  <c r="L218" i="16"/>
  <c r="M218" i="16" s="1"/>
  <c r="I220" i="16"/>
  <c r="J220" i="16" s="1"/>
  <c r="F218" i="16"/>
  <c r="G218" i="16" s="1"/>
  <c r="R219" i="16" l="1"/>
  <c r="S219" i="16" s="1"/>
  <c r="O220" i="16"/>
  <c r="P220" i="16" s="1"/>
  <c r="L219" i="16"/>
  <c r="M219" i="16" s="1"/>
  <c r="I221" i="16"/>
  <c r="J221" i="16" s="1"/>
  <c r="F219" i="16"/>
  <c r="G219" i="16" s="1"/>
  <c r="R220" i="16" l="1"/>
  <c r="S220" i="16" s="1"/>
  <c r="O221" i="16"/>
  <c r="P221" i="16" s="1"/>
  <c r="L220" i="16"/>
  <c r="M220" i="16" s="1"/>
  <c r="I222" i="16"/>
  <c r="J222" i="16" s="1"/>
  <c r="F220" i="16"/>
  <c r="G220" i="16" s="1"/>
  <c r="R221" i="16" l="1"/>
  <c r="S221" i="16" s="1"/>
  <c r="O222" i="16"/>
  <c r="P222" i="16" s="1"/>
  <c r="L221" i="16"/>
  <c r="M221" i="16" s="1"/>
  <c r="I223" i="16"/>
  <c r="J223" i="16" s="1"/>
  <c r="F221" i="16"/>
  <c r="G221" i="16" s="1"/>
  <c r="R222" i="16" l="1"/>
  <c r="S222" i="16" s="1"/>
  <c r="O223" i="16"/>
  <c r="P223" i="16" s="1"/>
  <c r="L222" i="16"/>
  <c r="M222" i="16" s="1"/>
  <c r="I224" i="16"/>
  <c r="J224" i="16" s="1"/>
  <c r="F222" i="16"/>
  <c r="G222" i="16" s="1"/>
  <c r="R223" i="16" l="1"/>
  <c r="S223" i="16" s="1"/>
  <c r="O224" i="16"/>
  <c r="P224" i="16" s="1"/>
  <c r="L223" i="16"/>
  <c r="M223" i="16" s="1"/>
  <c r="I225" i="16"/>
  <c r="J225" i="16" s="1"/>
  <c r="F223" i="16"/>
  <c r="G223" i="16" s="1"/>
  <c r="R224" i="16" l="1"/>
  <c r="S224" i="16" s="1"/>
  <c r="O225" i="16"/>
  <c r="P225" i="16" s="1"/>
  <c r="L224" i="16"/>
  <c r="M224" i="16" s="1"/>
  <c r="I226" i="16"/>
  <c r="J226" i="16" s="1"/>
  <c r="F224" i="16"/>
  <c r="G224" i="16" s="1"/>
  <c r="R225" i="16" l="1"/>
  <c r="S225" i="16" s="1"/>
  <c r="O226" i="16"/>
  <c r="P226" i="16" s="1"/>
  <c r="L225" i="16"/>
  <c r="M225" i="16" s="1"/>
  <c r="I227" i="16"/>
  <c r="J227" i="16" s="1"/>
  <c r="F225" i="16"/>
  <c r="G225" i="16" s="1"/>
  <c r="R226" i="16" l="1"/>
  <c r="S226" i="16" s="1"/>
  <c r="O227" i="16"/>
  <c r="P227" i="16" s="1"/>
  <c r="L226" i="16"/>
  <c r="M226" i="16" s="1"/>
  <c r="I228" i="16"/>
  <c r="J228" i="16" s="1"/>
  <c r="F226" i="16"/>
  <c r="G226" i="16" s="1"/>
  <c r="R227" i="16" l="1"/>
  <c r="S227" i="16" s="1"/>
  <c r="O228" i="16"/>
  <c r="P228" i="16" s="1"/>
  <c r="L227" i="16"/>
  <c r="M227" i="16" s="1"/>
  <c r="I229" i="16"/>
  <c r="J229" i="16" s="1"/>
  <c r="F227" i="16"/>
  <c r="G227" i="16" s="1"/>
  <c r="R228" i="16" l="1"/>
  <c r="S228" i="16" s="1"/>
  <c r="O229" i="16"/>
  <c r="P229" i="16" s="1"/>
  <c r="L228" i="16"/>
  <c r="M228" i="16" s="1"/>
  <c r="I230" i="16"/>
  <c r="J230" i="16" s="1"/>
  <c r="F228" i="16"/>
  <c r="G228" i="16" s="1"/>
  <c r="R229" i="16" l="1"/>
  <c r="S229" i="16" s="1"/>
  <c r="O230" i="16"/>
  <c r="P230" i="16" s="1"/>
  <c r="L229" i="16"/>
  <c r="M229" i="16" s="1"/>
  <c r="I231" i="16"/>
  <c r="J231" i="16" s="1"/>
  <c r="F229" i="16"/>
  <c r="G229" i="16" s="1"/>
  <c r="R230" i="16" l="1"/>
  <c r="S230" i="16" s="1"/>
  <c r="O231" i="16"/>
  <c r="P231" i="16" s="1"/>
  <c r="L230" i="16"/>
  <c r="M230" i="16" s="1"/>
  <c r="I232" i="16"/>
  <c r="J232" i="16" s="1"/>
  <c r="F230" i="16"/>
  <c r="G230" i="16" s="1"/>
  <c r="R231" i="16" l="1"/>
  <c r="S231" i="16" s="1"/>
  <c r="O232" i="16"/>
  <c r="P232" i="16" s="1"/>
  <c r="L231" i="16"/>
  <c r="M231" i="16" s="1"/>
  <c r="I233" i="16"/>
  <c r="J233" i="16" s="1"/>
  <c r="F231" i="16"/>
  <c r="G231" i="16" s="1"/>
  <c r="R232" i="16" l="1"/>
  <c r="S232" i="16" s="1"/>
  <c r="O233" i="16"/>
  <c r="P233" i="16" s="1"/>
  <c r="L232" i="16"/>
  <c r="M232" i="16" s="1"/>
  <c r="I234" i="16"/>
  <c r="J234" i="16" s="1"/>
  <c r="F232" i="16"/>
  <c r="G232" i="16" s="1"/>
  <c r="R233" i="16" l="1"/>
  <c r="S233" i="16" s="1"/>
  <c r="O234" i="16"/>
  <c r="P234" i="16" s="1"/>
  <c r="L233" i="16"/>
  <c r="M233" i="16" s="1"/>
  <c r="I235" i="16"/>
  <c r="J235" i="16" s="1"/>
  <c r="F233" i="16"/>
  <c r="G233" i="16" s="1"/>
  <c r="R234" i="16" l="1"/>
  <c r="S234" i="16" s="1"/>
  <c r="O235" i="16"/>
  <c r="P235" i="16" s="1"/>
  <c r="L234" i="16"/>
  <c r="M234" i="16" s="1"/>
  <c r="I236" i="16"/>
  <c r="J236" i="16" s="1"/>
  <c r="F234" i="16"/>
  <c r="G234" i="16" s="1"/>
  <c r="R235" i="16" l="1"/>
  <c r="S235" i="16" s="1"/>
  <c r="O236" i="16"/>
  <c r="P236" i="16" s="1"/>
  <c r="L235" i="16"/>
  <c r="M235" i="16" s="1"/>
  <c r="I237" i="16"/>
  <c r="J237" i="16" s="1"/>
  <c r="F235" i="16"/>
  <c r="G235" i="16" s="1"/>
  <c r="R236" i="16" l="1"/>
  <c r="S236" i="16" s="1"/>
  <c r="O237" i="16"/>
  <c r="P237" i="16" s="1"/>
  <c r="L236" i="16"/>
  <c r="M236" i="16" s="1"/>
  <c r="I238" i="16"/>
  <c r="J238" i="16" s="1"/>
  <c r="F236" i="16"/>
  <c r="G236" i="16" s="1"/>
  <c r="R237" i="16" l="1"/>
  <c r="S237" i="16" s="1"/>
  <c r="O238" i="16"/>
  <c r="P238" i="16" s="1"/>
  <c r="L237" i="16"/>
  <c r="M237" i="16" s="1"/>
  <c r="I239" i="16"/>
  <c r="J239" i="16" s="1"/>
  <c r="F237" i="16"/>
  <c r="G237" i="16" s="1"/>
  <c r="R238" i="16" l="1"/>
  <c r="S238" i="16" s="1"/>
  <c r="O239" i="16"/>
  <c r="P239" i="16" s="1"/>
  <c r="L238" i="16"/>
  <c r="M238" i="16" s="1"/>
  <c r="I240" i="16"/>
  <c r="J240" i="16" s="1"/>
  <c r="F238" i="16"/>
  <c r="G238" i="16" s="1"/>
  <c r="R239" i="16" l="1"/>
  <c r="S239" i="16" s="1"/>
  <c r="O240" i="16"/>
  <c r="P240" i="16" s="1"/>
  <c r="L239" i="16"/>
  <c r="M239" i="16" s="1"/>
  <c r="I241" i="16"/>
  <c r="J241" i="16" s="1"/>
  <c r="F239" i="16"/>
  <c r="G239" i="16" s="1"/>
  <c r="R240" i="16" l="1"/>
  <c r="S240" i="16" s="1"/>
  <c r="O241" i="16"/>
  <c r="P241" i="16" s="1"/>
  <c r="L240" i="16"/>
  <c r="M240" i="16" s="1"/>
  <c r="I242" i="16"/>
  <c r="J242" i="16" s="1"/>
  <c r="F240" i="16"/>
  <c r="G240" i="16" s="1"/>
  <c r="R241" i="16" l="1"/>
  <c r="S241" i="16" s="1"/>
  <c r="O242" i="16"/>
  <c r="P242" i="16" s="1"/>
  <c r="L241" i="16"/>
  <c r="M241" i="16" s="1"/>
  <c r="I243" i="16"/>
  <c r="J243" i="16" s="1"/>
  <c r="F241" i="16"/>
  <c r="G241" i="16" s="1"/>
  <c r="R242" i="16" l="1"/>
  <c r="S242" i="16" s="1"/>
  <c r="O243" i="16"/>
  <c r="P243" i="16" s="1"/>
  <c r="L242" i="16"/>
  <c r="M242" i="16" s="1"/>
  <c r="I244" i="16"/>
  <c r="J244" i="16" s="1"/>
  <c r="F242" i="16"/>
  <c r="G242" i="16" s="1"/>
  <c r="R243" i="16" l="1"/>
  <c r="S243" i="16" s="1"/>
  <c r="O244" i="16"/>
  <c r="P244" i="16" s="1"/>
  <c r="L243" i="16"/>
  <c r="M243" i="16" s="1"/>
  <c r="I245" i="16"/>
  <c r="J245" i="16" s="1"/>
  <c r="F243" i="16"/>
  <c r="G243" i="16" s="1"/>
  <c r="R244" i="16" l="1"/>
  <c r="S244" i="16" s="1"/>
  <c r="O245" i="16"/>
  <c r="P245" i="16" s="1"/>
  <c r="L244" i="16"/>
  <c r="M244" i="16" s="1"/>
  <c r="I246" i="16"/>
  <c r="J246" i="16" s="1"/>
  <c r="F244" i="16"/>
  <c r="G244" i="16" s="1"/>
  <c r="R245" i="16" l="1"/>
  <c r="S245" i="16" s="1"/>
  <c r="O246" i="16"/>
  <c r="P246" i="16" s="1"/>
  <c r="L245" i="16"/>
  <c r="M245" i="16" s="1"/>
  <c r="I247" i="16"/>
  <c r="J247" i="16" s="1"/>
  <c r="F245" i="16"/>
  <c r="G245" i="16" s="1"/>
  <c r="R246" i="16" l="1"/>
  <c r="S246" i="16" s="1"/>
  <c r="O247" i="16"/>
  <c r="P247" i="16" s="1"/>
  <c r="L246" i="16"/>
  <c r="M246" i="16" s="1"/>
  <c r="I248" i="16"/>
  <c r="J248" i="16" s="1"/>
  <c r="F246" i="16"/>
  <c r="G246" i="16" s="1"/>
  <c r="R247" i="16" l="1"/>
  <c r="S247" i="16" s="1"/>
  <c r="O248" i="16"/>
  <c r="P248" i="16" s="1"/>
  <c r="L247" i="16"/>
  <c r="M247" i="16" s="1"/>
  <c r="I249" i="16"/>
  <c r="J249" i="16" s="1"/>
  <c r="F247" i="16"/>
  <c r="G247" i="16" s="1"/>
  <c r="R248" i="16" l="1"/>
  <c r="S248" i="16" s="1"/>
  <c r="O249" i="16"/>
  <c r="P249" i="16" s="1"/>
  <c r="L248" i="16"/>
  <c r="M248" i="16" s="1"/>
  <c r="I250" i="16"/>
  <c r="J250" i="16" s="1"/>
  <c r="F248" i="16"/>
  <c r="G248" i="16" s="1"/>
  <c r="R249" i="16" l="1"/>
  <c r="S249" i="16" s="1"/>
  <c r="O250" i="16"/>
  <c r="P250" i="16" s="1"/>
  <c r="L249" i="16"/>
  <c r="M249" i="16" s="1"/>
  <c r="I251" i="16"/>
  <c r="J251" i="16" s="1"/>
  <c r="F249" i="16"/>
  <c r="G249" i="16" s="1"/>
  <c r="R250" i="16" l="1"/>
  <c r="S250" i="16" s="1"/>
  <c r="O251" i="16"/>
  <c r="P251" i="16" s="1"/>
  <c r="L250" i="16"/>
  <c r="M250" i="16" s="1"/>
  <c r="I252" i="16"/>
  <c r="J252" i="16" s="1"/>
  <c r="F250" i="16"/>
  <c r="G250" i="16" s="1"/>
  <c r="R251" i="16" l="1"/>
  <c r="S251" i="16" s="1"/>
  <c r="O252" i="16"/>
  <c r="P252" i="16" s="1"/>
  <c r="L251" i="16"/>
  <c r="M251" i="16" s="1"/>
  <c r="I253" i="16"/>
  <c r="J253" i="16" s="1"/>
  <c r="F251" i="16"/>
  <c r="G251" i="16" s="1"/>
  <c r="R252" i="16" l="1"/>
  <c r="S252" i="16" s="1"/>
  <c r="O253" i="16"/>
  <c r="P253" i="16" s="1"/>
  <c r="L252" i="16"/>
  <c r="M252" i="16" s="1"/>
  <c r="I254" i="16"/>
  <c r="J254" i="16" s="1"/>
  <c r="F252" i="16"/>
  <c r="G252" i="16" s="1"/>
  <c r="R253" i="16" l="1"/>
  <c r="S253" i="16" s="1"/>
  <c r="O254" i="16"/>
  <c r="P254" i="16" s="1"/>
  <c r="L253" i="16"/>
  <c r="M253" i="16" s="1"/>
  <c r="I255" i="16"/>
  <c r="J255" i="16" s="1"/>
  <c r="F253" i="16"/>
  <c r="G253" i="16" s="1"/>
  <c r="R254" i="16" l="1"/>
  <c r="S254" i="16" s="1"/>
  <c r="O255" i="16"/>
  <c r="P255" i="16" s="1"/>
  <c r="L254" i="16"/>
  <c r="M254" i="16" s="1"/>
  <c r="I256" i="16"/>
  <c r="J256" i="16" s="1"/>
  <c r="F254" i="16"/>
  <c r="G254" i="16" s="1"/>
  <c r="R255" i="16" l="1"/>
  <c r="S255" i="16" s="1"/>
  <c r="O256" i="16"/>
  <c r="P256" i="16" s="1"/>
  <c r="L255" i="16"/>
  <c r="M255" i="16" s="1"/>
  <c r="I257" i="16"/>
  <c r="J257" i="16" s="1"/>
  <c r="F255" i="16"/>
  <c r="G255" i="16" s="1"/>
  <c r="R256" i="16" l="1"/>
  <c r="S256" i="16" s="1"/>
  <c r="O257" i="16"/>
  <c r="P257" i="16" s="1"/>
  <c r="L256" i="16"/>
  <c r="M256" i="16" s="1"/>
  <c r="I258" i="16"/>
  <c r="J258" i="16" s="1"/>
  <c r="F256" i="16"/>
  <c r="G256" i="16" s="1"/>
  <c r="R257" i="16" l="1"/>
  <c r="S257" i="16" s="1"/>
  <c r="O258" i="16"/>
  <c r="P258" i="16" s="1"/>
  <c r="L257" i="16"/>
  <c r="M257" i="16" s="1"/>
  <c r="I259" i="16"/>
  <c r="J259" i="16" s="1"/>
  <c r="F257" i="16"/>
  <c r="G257" i="16" s="1"/>
  <c r="R258" i="16" l="1"/>
  <c r="S258" i="16" s="1"/>
  <c r="O259" i="16"/>
  <c r="P259" i="16" s="1"/>
  <c r="L258" i="16"/>
  <c r="M258" i="16" s="1"/>
  <c r="I260" i="16"/>
  <c r="J260" i="16" s="1"/>
  <c r="F258" i="16"/>
  <c r="G258" i="16" s="1"/>
  <c r="R259" i="16" l="1"/>
  <c r="S259" i="16" s="1"/>
  <c r="O260" i="16"/>
  <c r="P260" i="16" s="1"/>
  <c r="L259" i="16"/>
  <c r="M259" i="16" s="1"/>
  <c r="I261" i="16"/>
  <c r="J261" i="16" s="1"/>
  <c r="F259" i="16"/>
  <c r="G259" i="16" s="1"/>
  <c r="R260" i="16" l="1"/>
  <c r="S260" i="16" s="1"/>
  <c r="O261" i="16"/>
  <c r="P261" i="16" s="1"/>
  <c r="L260" i="16"/>
  <c r="M260" i="16" s="1"/>
  <c r="I262" i="16"/>
  <c r="J262" i="16" s="1"/>
  <c r="F260" i="16"/>
  <c r="G260" i="16" s="1"/>
  <c r="R261" i="16" l="1"/>
  <c r="S261" i="16" s="1"/>
  <c r="O262" i="16"/>
  <c r="P262" i="16" s="1"/>
  <c r="L261" i="16"/>
  <c r="M261" i="16" s="1"/>
  <c r="I263" i="16"/>
  <c r="J263" i="16" s="1"/>
  <c r="F261" i="16"/>
  <c r="G261" i="16" s="1"/>
  <c r="R262" i="16" l="1"/>
  <c r="S262" i="16" s="1"/>
  <c r="O263" i="16"/>
  <c r="P263" i="16" s="1"/>
  <c r="L262" i="16"/>
  <c r="M262" i="16" s="1"/>
  <c r="I264" i="16"/>
  <c r="J264" i="16" s="1"/>
  <c r="F262" i="16"/>
  <c r="G262" i="16" s="1"/>
  <c r="R263" i="16" l="1"/>
  <c r="S263" i="16" s="1"/>
  <c r="O264" i="16"/>
  <c r="P264" i="16" s="1"/>
  <c r="L263" i="16"/>
  <c r="M263" i="16" s="1"/>
  <c r="I265" i="16"/>
  <c r="J265" i="16" s="1"/>
  <c r="F263" i="16"/>
  <c r="G263" i="16" s="1"/>
  <c r="R264" i="16" l="1"/>
  <c r="S264" i="16" s="1"/>
  <c r="O265" i="16"/>
  <c r="P265" i="16" s="1"/>
  <c r="L264" i="16"/>
  <c r="M264" i="16" s="1"/>
  <c r="I266" i="16"/>
  <c r="J266" i="16" s="1"/>
  <c r="F264" i="16"/>
  <c r="G264" i="16" s="1"/>
  <c r="R265" i="16" l="1"/>
  <c r="S265" i="16" s="1"/>
  <c r="O266" i="16"/>
  <c r="P266" i="16" s="1"/>
  <c r="L265" i="16"/>
  <c r="M265" i="16" s="1"/>
  <c r="I267" i="16"/>
  <c r="J267" i="16" s="1"/>
  <c r="F265" i="16"/>
  <c r="G265" i="16" s="1"/>
  <c r="R266" i="16" l="1"/>
  <c r="S266" i="16" s="1"/>
  <c r="O267" i="16"/>
  <c r="P267" i="16" s="1"/>
  <c r="L266" i="16"/>
  <c r="M266" i="16" s="1"/>
  <c r="I268" i="16"/>
  <c r="J268" i="16" s="1"/>
  <c r="F266" i="16"/>
  <c r="G266" i="16" s="1"/>
  <c r="R267" i="16" l="1"/>
  <c r="S267" i="16" s="1"/>
  <c r="O268" i="16"/>
  <c r="P268" i="16" s="1"/>
  <c r="L267" i="16"/>
  <c r="M267" i="16" s="1"/>
  <c r="I269" i="16"/>
  <c r="J269" i="16" s="1"/>
  <c r="F267" i="16"/>
  <c r="G267" i="16" s="1"/>
  <c r="R268" i="16" l="1"/>
  <c r="S268" i="16" s="1"/>
  <c r="O269" i="16"/>
  <c r="P269" i="16" s="1"/>
  <c r="L268" i="16"/>
  <c r="M268" i="16" s="1"/>
  <c r="I270" i="16"/>
  <c r="J270" i="16" s="1"/>
  <c r="F268" i="16"/>
  <c r="G268" i="16" s="1"/>
  <c r="R269" i="16" l="1"/>
  <c r="S269" i="16" s="1"/>
  <c r="O270" i="16"/>
  <c r="P270" i="16" s="1"/>
  <c r="L269" i="16"/>
  <c r="M269" i="16" s="1"/>
  <c r="I271" i="16"/>
  <c r="J271" i="16" s="1"/>
  <c r="F269" i="16"/>
  <c r="G269" i="16" s="1"/>
  <c r="R270" i="16" l="1"/>
  <c r="S270" i="16" s="1"/>
  <c r="O271" i="16"/>
  <c r="P271" i="16" s="1"/>
  <c r="L270" i="16"/>
  <c r="M270" i="16" s="1"/>
  <c r="I272" i="16"/>
  <c r="J272" i="16" s="1"/>
  <c r="F270" i="16"/>
  <c r="G270" i="16" s="1"/>
  <c r="R271" i="16" l="1"/>
  <c r="S271" i="16" s="1"/>
  <c r="O272" i="16"/>
  <c r="P272" i="16" s="1"/>
  <c r="L271" i="16"/>
  <c r="M271" i="16" s="1"/>
  <c r="I273" i="16"/>
  <c r="J273" i="16" s="1"/>
  <c r="F271" i="16"/>
  <c r="G271" i="16" s="1"/>
  <c r="R272" i="16" l="1"/>
  <c r="S272" i="16" s="1"/>
  <c r="O273" i="16"/>
  <c r="P273" i="16" s="1"/>
  <c r="L272" i="16"/>
  <c r="M272" i="16" s="1"/>
  <c r="I274" i="16"/>
  <c r="J274" i="16" s="1"/>
  <c r="F272" i="16"/>
  <c r="G272" i="16" s="1"/>
  <c r="R273" i="16" l="1"/>
  <c r="S273" i="16" s="1"/>
  <c r="O274" i="16"/>
  <c r="P274" i="16" s="1"/>
  <c r="L273" i="16"/>
  <c r="M273" i="16" s="1"/>
  <c r="I275" i="16"/>
  <c r="J275" i="16" s="1"/>
  <c r="F273" i="16"/>
  <c r="G273" i="16" s="1"/>
  <c r="R274" i="16" l="1"/>
  <c r="S274" i="16" s="1"/>
  <c r="O275" i="16"/>
  <c r="P275" i="16" s="1"/>
  <c r="L274" i="16"/>
  <c r="M274" i="16" s="1"/>
  <c r="I276" i="16"/>
  <c r="J276" i="16" s="1"/>
  <c r="F274" i="16"/>
  <c r="G274" i="16" s="1"/>
  <c r="R275" i="16" l="1"/>
  <c r="S275" i="16" s="1"/>
  <c r="O276" i="16"/>
  <c r="P276" i="16" s="1"/>
  <c r="L275" i="16"/>
  <c r="M275" i="16" s="1"/>
  <c r="I277" i="16"/>
  <c r="J277" i="16" s="1"/>
  <c r="F275" i="16"/>
  <c r="G275" i="16" s="1"/>
  <c r="R276" i="16" l="1"/>
  <c r="S276" i="16" s="1"/>
  <c r="O277" i="16"/>
  <c r="P277" i="16" s="1"/>
  <c r="L276" i="16"/>
  <c r="M276" i="16" s="1"/>
  <c r="I278" i="16"/>
  <c r="J278" i="16" s="1"/>
  <c r="F276" i="16"/>
  <c r="G276" i="16" s="1"/>
  <c r="R277" i="16" l="1"/>
  <c r="S277" i="16" s="1"/>
  <c r="O278" i="16"/>
  <c r="P278" i="16" s="1"/>
  <c r="L277" i="16"/>
  <c r="M277" i="16" s="1"/>
  <c r="I279" i="16"/>
  <c r="J279" i="16" s="1"/>
  <c r="F277" i="16"/>
  <c r="G277" i="16" s="1"/>
  <c r="R278" i="16" l="1"/>
  <c r="S278" i="16" s="1"/>
  <c r="O279" i="16"/>
  <c r="P279" i="16" s="1"/>
  <c r="L278" i="16"/>
  <c r="M278" i="16" s="1"/>
  <c r="I280" i="16"/>
  <c r="J280" i="16" s="1"/>
  <c r="F278" i="16"/>
  <c r="G278" i="16" s="1"/>
  <c r="R279" i="16" l="1"/>
  <c r="S279" i="16" s="1"/>
  <c r="O280" i="16"/>
  <c r="P280" i="16" s="1"/>
  <c r="L279" i="16"/>
  <c r="M279" i="16" s="1"/>
  <c r="I281" i="16"/>
  <c r="J281" i="16" s="1"/>
  <c r="F279" i="16"/>
  <c r="G279" i="16" s="1"/>
  <c r="R280" i="16" l="1"/>
  <c r="S280" i="16" s="1"/>
  <c r="O281" i="16"/>
  <c r="P281" i="16" s="1"/>
  <c r="L280" i="16"/>
  <c r="M280" i="16" s="1"/>
  <c r="I282" i="16"/>
  <c r="J282" i="16" s="1"/>
  <c r="F280" i="16"/>
  <c r="G280" i="16" s="1"/>
  <c r="R281" i="16" l="1"/>
  <c r="S281" i="16" s="1"/>
  <c r="O282" i="16"/>
  <c r="P282" i="16" s="1"/>
  <c r="L281" i="16"/>
  <c r="M281" i="16" s="1"/>
  <c r="I283" i="16"/>
  <c r="J283" i="16" s="1"/>
  <c r="F281" i="16"/>
  <c r="G281" i="16" s="1"/>
  <c r="R282" i="16" l="1"/>
  <c r="S282" i="16" s="1"/>
  <c r="O283" i="16"/>
  <c r="P283" i="16" s="1"/>
  <c r="L282" i="16"/>
  <c r="M282" i="16" s="1"/>
  <c r="I284" i="16"/>
  <c r="J284" i="16" s="1"/>
  <c r="F282" i="16"/>
  <c r="G282" i="16" s="1"/>
  <c r="R283" i="16" l="1"/>
  <c r="S283" i="16" s="1"/>
  <c r="O284" i="16"/>
  <c r="P284" i="16" s="1"/>
  <c r="L283" i="16"/>
  <c r="M283" i="16" s="1"/>
  <c r="I285" i="16"/>
  <c r="J285" i="16" s="1"/>
  <c r="F283" i="16"/>
  <c r="G283" i="16" s="1"/>
  <c r="R284" i="16" l="1"/>
  <c r="S284" i="16" s="1"/>
  <c r="O285" i="16"/>
  <c r="P285" i="16" s="1"/>
  <c r="L284" i="16"/>
  <c r="M284" i="16" s="1"/>
  <c r="I286" i="16"/>
  <c r="J286" i="16" s="1"/>
  <c r="F284" i="16"/>
  <c r="G284" i="16" s="1"/>
  <c r="R285" i="16" l="1"/>
  <c r="S285" i="16" s="1"/>
  <c r="O286" i="16"/>
  <c r="P286" i="16" s="1"/>
  <c r="L285" i="16"/>
  <c r="M285" i="16" s="1"/>
  <c r="I287" i="16"/>
  <c r="J287" i="16" s="1"/>
  <c r="F285" i="16"/>
  <c r="G285" i="16" s="1"/>
  <c r="R286" i="16" l="1"/>
  <c r="S286" i="16" s="1"/>
  <c r="O287" i="16"/>
  <c r="P287" i="16" s="1"/>
  <c r="L286" i="16"/>
  <c r="M286" i="16" s="1"/>
  <c r="I288" i="16"/>
  <c r="J288" i="16" s="1"/>
  <c r="F286" i="16"/>
  <c r="G286" i="16" s="1"/>
  <c r="R287" i="16" l="1"/>
  <c r="S287" i="16" s="1"/>
  <c r="O288" i="16"/>
  <c r="P288" i="16" s="1"/>
  <c r="L287" i="16"/>
  <c r="M287" i="16" s="1"/>
  <c r="I289" i="16"/>
  <c r="J289" i="16" s="1"/>
  <c r="F287" i="16"/>
  <c r="G287" i="16" s="1"/>
  <c r="R288" i="16" l="1"/>
  <c r="S288" i="16" s="1"/>
  <c r="O289" i="16"/>
  <c r="P289" i="16" s="1"/>
  <c r="L288" i="16"/>
  <c r="M288" i="16" s="1"/>
  <c r="I290" i="16"/>
  <c r="J290" i="16" s="1"/>
  <c r="F288" i="16"/>
  <c r="G288" i="16" s="1"/>
  <c r="R289" i="16" l="1"/>
  <c r="S289" i="16" s="1"/>
  <c r="O290" i="16"/>
  <c r="P290" i="16" s="1"/>
  <c r="L289" i="16"/>
  <c r="M289" i="16" s="1"/>
  <c r="I291" i="16"/>
  <c r="J291" i="16" s="1"/>
  <c r="F289" i="16"/>
  <c r="G289" i="16" s="1"/>
  <c r="R290" i="16" l="1"/>
  <c r="S290" i="16" s="1"/>
  <c r="O291" i="16"/>
  <c r="P291" i="16" s="1"/>
  <c r="L290" i="16"/>
  <c r="M290" i="16" s="1"/>
  <c r="I292" i="16"/>
  <c r="J292" i="16" s="1"/>
  <c r="F290" i="16"/>
  <c r="G290" i="16" s="1"/>
  <c r="R291" i="16" l="1"/>
  <c r="S291" i="16" s="1"/>
  <c r="O292" i="16"/>
  <c r="P292" i="16" s="1"/>
  <c r="L291" i="16"/>
  <c r="M291" i="16" s="1"/>
  <c r="I293" i="16"/>
  <c r="J293" i="16" s="1"/>
  <c r="F291" i="16"/>
  <c r="G291" i="16" s="1"/>
  <c r="R292" i="16" l="1"/>
  <c r="S292" i="16" s="1"/>
  <c r="O293" i="16"/>
  <c r="P293" i="16" s="1"/>
  <c r="L292" i="16"/>
  <c r="M292" i="16" s="1"/>
  <c r="I294" i="16"/>
  <c r="J294" i="16" s="1"/>
  <c r="F292" i="16"/>
  <c r="G292" i="16" s="1"/>
  <c r="R293" i="16" l="1"/>
  <c r="S293" i="16" s="1"/>
  <c r="O294" i="16"/>
  <c r="P294" i="16" s="1"/>
  <c r="L293" i="16"/>
  <c r="M293" i="16" s="1"/>
  <c r="I295" i="16"/>
  <c r="J295" i="16" s="1"/>
  <c r="F293" i="16"/>
  <c r="G293" i="16" s="1"/>
  <c r="R294" i="16" l="1"/>
  <c r="S294" i="16" s="1"/>
  <c r="O295" i="16"/>
  <c r="P295" i="16" s="1"/>
  <c r="L294" i="16"/>
  <c r="M294" i="16" s="1"/>
  <c r="I296" i="16"/>
  <c r="J296" i="16" s="1"/>
  <c r="F294" i="16"/>
  <c r="G294" i="16" s="1"/>
  <c r="R295" i="16" l="1"/>
  <c r="S295" i="16" s="1"/>
  <c r="O296" i="16"/>
  <c r="P296" i="16" s="1"/>
  <c r="L295" i="16"/>
  <c r="M295" i="16" s="1"/>
  <c r="I297" i="16"/>
  <c r="J297" i="16" s="1"/>
  <c r="F295" i="16"/>
  <c r="G295" i="16" s="1"/>
  <c r="R296" i="16" l="1"/>
  <c r="S296" i="16" s="1"/>
  <c r="O297" i="16"/>
  <c r="P297" i="16" s="1"/>
  <c r="L296" i="16"/>
  <c r="M296" i="16" s="1"/>
  <c r="I298" i="16"/>
  <c r="J298" i="16" s="1"/>
  <c r="F296" i="16"/>
  <c r="G296" i="16" s="1"/>
  <c r="R297" i="16" l="1"/>
  <c r="S297" i="16" s="1"/>
  <c r="O298" i="16"/>
  <c r="P298" i="16" s="1"/>
  <c r="L297" i="16"/>
  <c r="M297" i="16" s="1"/>
  <c r="I299" i="16"/>
  <c r="J299" i="16" s="1"/>
  <c r="F297" i="16"/>
  <c r="G297" i="16" s="1"/>
  <c r="R298" i="16" l="1"/>
  <c r="S298" i="16" s="1"/>
  <c r="O299" i="16"/>
  <c r="P299" i="16" s="1"/>
  <c r="L298" i="16"/>
  <c r="M298" i="16" s="1"/>
  <c r="I300" i="16"/>
  <c r="J300" i="16" s="1"/>
  <c r="F298" i="16"/>
  <c r="G298" i="16" s="1"/>
  <c r="R299" i="16" l="1"/>
  <c r="S299" i="16" s="1"/>
  <c r="O300" i="16"/>
  <c r="P300" i="16" s="1"/>
  <c r="L299" i="16"/>
  <c r="M299" i="16" s="1"/>
  <c r="I301" i="16"/>
  <c r="J301" i="16" s="1"/>
  <c r="F299" i="16"/>
  <c r="G299" i="16" s="1"/>
  <c r="R300" i="16" l="1"/>
  <c r="S300" i="16" s="1"/>
  <c r="O301" i="16"/>
  <c r="P301" i="16" s="1"/>
  <c r="L300" i="16"/>
  <c r="M300" i="16" s="1"/>
  <c r="I302" i="16"/>
  <c r="J302" i="16" s="1"/>
  <c r="F300" i="16"/>
  <c r="G300" i="16" s="1"/>
  <c r="R301" i="16" l="1"/>
  <c r="S301" i="16" s="1"/>
  <c r="O302" i="16"/>
  <c r="P302" i="16" s="1"/>
  <c r="L301" i="16"/>
  <c r="M301" i="16" s="1"/>
  <c r="I303" i="16"/>
  <c r="J303" i="16" s="1"/>
  <c r="F301" i="16"/>
  <c r="G301" i="16" s="1"/>
  <c r="R302" i="16" l="1"/>
  <c r="S302" i="16" s="1"/>
  <c r="O303" i="16"/>
  <c r="P303" i="16" s="1"/>
  <c r="L302" i="16"/>
  <c r="M302" i="16" s="1"/>
  <c r="I304" i="16"/>
  <c r="J304" i="16" s="1"/>
  <c r="F302" i="16"/>
  <c r="G302" i="16" s="1"/>
  <c r="R303" i="16" l="1"/>
  <c r="S303" i="16" s="1"/>
  <c r="O304" i="16"/>
  <c r="P304" i="16" s="1"/>
  <c r="L303" i="16"/>
  <c r="M303" i="16" s="1"/>
  <c r="I305" i="16"/>
  <c r="J305" i="16" s="1"/>
  <c r="F303" i="16"/>
  <c r="G303" i="16" s="1"/>
  <c r="R304" i="16" l="1"/>
  <c r="S304" i="16" s="1"/>
  <c r="O305" i="16"/>
  <c r="P305" i="16" s="1"/>
  <c r="L304" i="16"/>
  <c r="M304" i="16" s="1"/>
  <c r="I306" i="16"/>
  <c r="J306" i="16" s="1"/>
  <c r="F304" i="16"/>
  <c r="G304" i="16" s="1"/>
  <c r="R305" i="16" l="1"/>
  <c r="S305" i="16" s="1"/>
  <c r="O306" i="16"/>
  <c r="P306" i="16" s="1"/>
  <c r="L305" i="16"/>
  <c r="M305" i="16" s="1"/>
  <c r="I307" i="16"/>
  <c r="J307" i="16" s="1"/>
  <c r="F305" i="16"/>
  <c r="G305" i="16" s="1"/>
  <c r="R306" i="16" l="1"/>
  <c r="S306" i="16" s="1"/>
  <c r="O307" i="16"/>
  <c r="P307" i="16" s="1"/>
  <c r="L306" i="16"/>
  <c r="M306" i="16" s="1"/>
  <c r="I308" i="16"/>
  <c r="J308" i="16" s="1"/>
  <c r="F306" i="16"/>
  <c r="G306" i="16" s="1"/>
  <c r="R307" i="16" l="1"/>
  <c r="S307" i="16" s="1"/>
  <c r="O308" i="16"/>
  <c r="P308" i="16" s="1"/>
  <c r="L307" i="16"/>
  <c r="M307" i="16" s="1"/>
  <c r="I309" i="16"/>
  <c r="J309" i="16" s="1"/>
  <c r="F307" i="16"/>
  <c r="G307" i="16" s="1"/>
  <c r="R308" i="16" l="1"/>
  <c r="S308" i="16" s="1"/>
  <c r="O309" i="16"/>
  <c r="P309" i="16" s="1"/>
  <c r="L308" i="16"/>
  <c r="M308" i="16" s="1"/>
  <c r="I310" i="16"/>
  <c r="J310" i="16" s="1"/>
  <c r="F308" i="16"/>
  <c r="G308" i="16" s="1"/>
  <c r="R309" i="16" l="1"/>
  <c r="S309" i="16" s="1"/>
  <c r="O310" i="16"/>
  <c r="P310" i="16" s="1"/>
  <c r="L309" i="16"/>
  <c r="M309" i="16" s="1"/>
  <c r="I311" i="16"/>
  <c r="J311" i="16" s="1"/>
  <c r="F309" i="16"/>
  <c r="G309" i="16" s="1"/>
  <c r="R310" i="16" l="1"/>
  <c r="S310" i="16" s="1"/>
  <c r="O311" i="16"/>
  <c r="P311" i="16" s="1"/>
  <c r="L310" i="16"/>
  <c r="M310" i="16" s="1"/>
  <c r="I312" i="16"/>
  <c r="J312" i="16" s="1"/>
  <c r="F310" i="16"/>
  <c r="G310" i="16" s="1"/>
  <c r="R311" i="16" l="1"/>
  <c r="S311" i="16" s="1"/>
  <c r="O312" i="16"/>
  <c r="P312" i="16" s="1"/>
  <c r="L311" i="16"/>
  <c r="M311" i="16" s="1"/>
  <c r="I313" i="16"/>
  <c r="J313" i="16" s="1"/>
  <c r="F311" i="16"/>
  <c r="G311" i="16" s="1"/>
  <c r="R312" i="16" l="1"/>
  <c r="S312" i="16" s="1"/>
  <c r="O313" i="16"/>
  <c r="P313" i="16" s="1"/>
  <c r="L312" i="16"/>
  <c r="M312" i="16" s="1"/>
  <c r="I314" i="16"/>
  <c r="J314" i="16" s="1"/>
  <c r="F312" i="16"/>
  <c r="G312" i="16" s="1"/>
  <c r="R313" i="16" l="1"/>
  <c r="S313" i="16" s="1"/>
  <c r="O314" i="16"/>
  <c r="P314" i="16" s="1"/>
  <c r="L313" i="16"/>
  <c r="M313" i="16" s="1"/>
  <c r="I315" i="16"/>
  <c r="J315" i="16" s="1"/>
  <c r="F313" i="16"/>
  <c r="G313" i="16" s="1"/>
  <c r="R314" i="16" l="1"/>
  <c r="S314" i="16" s="1"/>
  <c r="O315" i="16"/>
  <c r="P315" i="16" s="1"/>
  <c r="L314" i="16"/>
  <c r="M314" i="16" s="1"/>
  <c r="I316" i="16"/>
  <c r="J316" i="16" s="1"/>
  <c r="F314" i="16"/>
  <c r="G314" i="16" s="1"/>
  <c r="R315" i="16" l="1"/>
  <c r="S315" i="16" s="1"/>
  <c r="O316" i="16"/>
  <c r="P316" i="16" s="1"/>
  <c r="L315" i="16"/>
  <c r="M315" i="16" s="1"/>
  <c r="I317" i="16"/>
  <c r="J317" i="16" s="1"/>
  <c r="F315" i="16"/>
  <c r="G315" i="16" s="1"/>
  <c r="R316" i="16" l="1"/>
  <c r="S316" i="16" s="1"/>
  <c r="O317" i="16"/>
  <c r="P317" i="16" s="1"/>
  <c r="L316" i="16"/>
  <c r="M316" i="16" s="1"/>
  <c r="I318" i="16"/>
  <c r="J318" i="16" s="1"/>
  <c r="F316" i="16"/>
  <c r="G316" i="16" s="1"/>
  <c r="R317" i="16" l="1"/>
  <c r="S317" i="16" s="1"/>
  <c r="O318" i="16"/>
  <c r="P318" i="16" s="1"/>
  <c r="L317" i="16"/>
  <c r="M317" i="16" s="1"/>
  <c r="I319" i="16"/>
  <c r="J319" i="16" s="1"/>
  <c r="F317" i="16"/>
  <c r="G317" i="16" s="1"/>
  <c r="R318" i="16" l="1"/>
  <c r="S318" i="16" s="1"/>
  <c r="O319" i="16"/>
  <c r="P319" i="16" s="1"/>
  <c r="L318" i="16"/>
  <c r="M318" i="16" s="1"/>
  <c r="I320" i="16"/>
  <c r="J320" i="16" s="1"/>
  <c r="F318" i="16"/>
  <c r="G318" i="16" s="1"/>
  <c r="R319" i="16" l="1"/>
  <c r="S319" i="16" s="1"/>
  <c r="O320" i="16"/>
  <c r="P320" i="16" s="1"/>
  <c r="L319" i="16"/>
  <c r="M319" i="16" s="1"/>
  <c r="I321" i="16"/>
  <c r="J321" i="16" s="1"/>
  <c r="F319" i="16"/>
  <c r="G319" i="16" s="1"/>
  <c r="R320" i="16" l="1"/>
  <c r="S320" i="16" s="1"/>
  <c r="O321" i="16"/>
  <c r="P321" i="16" s="1"/>
  <c r="L320" i="16"/>
  <c r="M320" i="16" s="1"/>
  <c r="I322" i="16"/>
  <c r="J322" i="16" s="1"/>
  <c r="F320" i="16"/>
  <c r="G320" i="16" s="1"/>
  <c r="R321" i="16" l="1"/>
  <c r="S321" i="16" s="1"/>
  <c r="O322" i="16"/>
  <c r="P322" i="16" s="1"/>
  <c r="L321" i="16"/>
  <c r="M321" i="16" s="1"/>
  <c r="I323" i="16"/>
  <c r="J323" i="16" s="1"/>
  <c r="F321" i="16"/>
  <c r="G321" i="16" s="1"/>
  <c r="R322" i="16" l="1"/>
  <c r="S322" i="16" s="1"/>
  <c r="O323" i="16"/>
  <c r="P323" i="16" s="1"/>
  <c r="L322" i="16"/>
  <c r="M322" i="16" s="1"/>
  <c r="I324" i="16"/>
  <c r="J324" i="16" s="1"/>
  <c r="F322" i="16"/>
  <c r="G322" i="16" s="1"/>
  <c r="R323" i="16" l="1"/>
  <c r="S323" i="16" s="1"/>
  <c r="O324" i="16"/>
  <c r="P324" i="16" s="1"/>
  <c r="L323" i="16"/>
  <c r="M323" i="16" s="1"/>
  <c r="I325" i="16"/>
  <c r="J325" i="16" s="1"/>
  <c r="F323" i="16"/>
  <c r="G323" i="16" s="1"/>
  <c r="R324" i="16" l="1"/>
  <c r="S324" i="16" s="1"/>
  <c r="O325" i="16"/>
  <c r="P325" i="16" s="1"/>
  <c r="L324" i="16"/>
  <c r="M324" i="16" s="1"/>
  <c r="I326" i="16"/>
  <c r="J326" i="16" s="1"/>
  <c r="F324" i="16"/>
  <c r="G324" i="16" s="1"/>
  <c r="R325" i="16" l="1"/>
  <c r="S325" i="16" s="1"/>
  <c r="O326" i="16"/>
  <c r="P326" i="16" s="1"/>
  <c r="L325" i="16"/>
  <c r="M325" i="16" s="1"/>
  <c r="I327" i="16"/>
  <c r="J327" i="16" s="1"/>
  <c r="F325" i="16"/>
  <c r="G325" i="16" s="1"/>
  <c r="R326" i="16" l="1"/>
  <c r="S326" i="16" s="1"/>
  <c r="O327" i="16"/>
  <c r="P327" i="16" s="1"/>
  <c r="L326" i="16"/>
  <c r="M326" i="16" s="1"/>
  <c r="I328" i="16"/>
  <c r="J328" i="16" s="1"/>
  <c r="F326" i="16"/>
  <c r="G326" i="16" s="1"/>
  <c r="R327" i="16" l="1"/>
  <c r="S327" i="16" s="1"/>
  <c r="O328" i="16"/>
  <c r="P328" i="16" s="1"/>
  <c r="L327" i="16"/>
  <c r="M327" i="16" s="1"/>
  <c r="I329" i="16"/>
  <c r="J329" i="16" s="1"/>
  <c r="F327" i="16"/>
  <c r="G327" i="16" s="1"/>
  <c r="R328" i="16" l="1"/>
  <c r="S328" i="16" s="1"/>
  <c r="O329" i="16"/>
  <c r="P329" i="16" s="1"/>
  <c r="L328" i="16"/>
  <c r="M328" i="16" s="1"/>
  <c r="I330" i="16"/>
  <c r="J330" i="16" s="1"/>
  <c r="F328" i="16"/>
  <c r="G328" i="16" s="1"/>
  <c r="R329" i="16" l="1"/>
  <c r="S329" i="16" s="1"/>
  <c r="O330" i="16"/>
  <c r="P330" i="16" s="1"/>
  <c r="L329" i="16"/>
  <c r="M329" i="16" s="1"/>
  <c r="I331" i="16"/>
  <c r="J331" i="16" s="1"/>
  <c r="F329" i="16"/>
  <c r="G329" i="16" s="1"/>
  <c r="R330" i="16" l="1"/>
  <c r="S330" i="16" s="1"/>
  <c r="O331" i="16"/>
  <c r="P331" i="16" s="1"/>
  <c r="L330" i="16"/>
  <c r="M330" i="16" s="1"/>
  <c r="I332" i="16"/>
  <c r="J332" i="16" s="1"/>
  <c r="F330" i="16"/>
  <c r="G330" i="16" s="1"/>
  <c r="R331" i="16" l="1"/>
  <c r="S331" i="16" s="1"/>
  <c r="O332" i="16"/>
  <c r="P332" i="16" s="1"/>
  <c r="L331" i="16"/>
  <c r="M331" i="16" s="1"/>
  <c r="I333" i="16"/>
  <c r="J333" i="16" s="1"/>
  <c r="F331" i="16"/>
  <c r="G331" i="16" s="1"/>
  <c r="R332" i="16" l="1"/>
  <c r="S332" i="16" s="1"/>
  <c r="O333" i="16"/>
  <c r="P333" i="16" s="1"/>
  <c r="L332" i="16"/>
  <c r="M332" i="16" s="1"/>
  <c r="I334" i="16"/>
  <c r="J334" i="16" s="1"/>
  <c r="F332" i="16"/>
  <c r="G332" i="16" s="1"/>
  <c r="R333" i="16" l="1"/>
  <c r="S333" i="16" s="1"/>
  <c r="O334" i="16"/>
  <c r="P334" i="16" s="1"/>
  <c r="L333" i="16"/>
  <c r="M333" i="16" s="1"/>
  <c r="I335" i="16"/>
  <c r="J335" i="16" s="1"/>
  <c r="F333" i="16"/>
  <c r="G333" i="16" s="1"/>
  <c r="R334" i="16" l="1"/>
  <c r="S334" i="16" s="1"/>
  <c r="O335" i="16"/>
  <c r="P335" i="16" s="1"/>
  <c r="L334" i="16"/>
  <c r="M334" i="16" s="1"/>
  <c r="I336" i="16"/>
  <c r="J336" i="16" s="1"/>
  <c r="F334" i="16"/>
  <c r="G334" i="16" s="1"/>
  <c r="R335" i="16" l="1"/>
  <c r="S335" i="16" s="1"/>
  <c r="O336" i="16"/>
  <c r="P336" i="16" s="1"/>
  <c r="L335" i="16"/>
  <c r="M335" i="16" s="1"/>
  <c r="I337" i="16"/>
  <c r="J337" i="16" s="1"/>
  <c r="F335" i="16"/>
  <c r="G335" i="16" s="1"/>
  <c r="R336" i="16" l="1"/>
  <c r="S336" i="16" s="1"/>
  <c r="O337" i="16"/>
  <c r="P337" i="16" s="1"/>
  <c r="L336" i="16"/>
  <c r="M336" i="16" s="1"/>
  <c r="I338" i="16"/>
  <c r="J338" i="16" s="1"/>
  <c r="F336" i="16"/>
  <c r="G336" i="16" s="1"/>
  <c r="R337" i="16" l="1"/>
  <c r="S337" i="16" s="1"/>
  <c r="O338" i="16"/>
  <c r="P338" i="16" s="1"/>
  <c r="L337" i="16"/>
  <c r="M337" i="16" s="1"/>
  <c r="I339" i="16"/>
  <c r="J339" i="16" s="1"/>
  <c r="F337" i="16"/>
  <c r="G337" i="16" s="1"/>
  <c r="R338" i="16" l="1"/>
  <c r="S338" i="16" s="1"/>
  <c r="O339" i="16"/>
  <c r="P339" i="16" s="1"/>
  <c r="L338" i="16"/>
  <c r="M338" i="16" s="1"/>
  <c r="I340" i="16"/>
  <c r="J340" i="16" s="1"/>
  <c r="F338" i="16"/>
  <c r="G338" i="16" s="1"/>
  <c r="R339" i="16" l="1"/>
  <c r="S339" i="16" s="1"/>
  <c r="O340" i="16"/>
  <c r="P340" i="16" s="1"/>
  <c r="L339" i="16"/>
  <c r="M339" i="16" s="1"/>
  <c r="I341" i="16"/>
  <c r="J341" i="16" s="1"/>
  <c r="F339" i="16"/>
  <c r="G339" i="16" s="1"/>
  <c r="R340" i="16" l="1"/>
  <c r="S340" i="16" s="1"/>
  <c r="O341" i="16"/>
  <c r="P341" i="16" s="1"/>
  <c r="L340" i="16"/>
  <c r="M340" i="16" s="1"/>
  <c r="I342" i="16"/>
  <c r="J342" i="16" s="1"/>
  <c r="F340" i="16"/>
  <c r="G340" i="16" s="1"/>
  <c r="R341" i="16" l="1"/>
  <c r="S341" i="16" s="1"/>
  <c r="O342" i="16"/>
  <c r="P342" i="16" s="1"/>
  <c r="L341" i="16"/>
  <c r="M341" i="16" s="1"/>
  <c r="I343" i="16"/>
  <c r="J343" i="16" s="1"/>
  <c r="F341" i="16"/>
  <c r="G341" i="16" s="1"/>
  <c r="R342" i="16" l="1"/>
  <c r="S342" i="16" s="1"/>
  <c r="O343" i="16"/>
  <c r="P343" i="16" s="1"/>
  <c r="L342" i="16"/>
  <c r="M342" i="16" s="1"/>
  <c r="I344" i="16"/>
  <c r="J344" i="16" s="1"/>
  <c r="F342" i="16"/>
  <c r="G342" i="16" s="1"/>
  <c r="R343" i="16" l="1"/>
  <c r="S343" i="16" s="1"/>
  <c r="O344" i="16"/>
  <c r="P344" i="16" s="1"/>
  <c r="L343" i="16"/>
  <c r="M343" i="16" s="1"/>
  <c r="I346" i="16"/>
  <c r="J346" i="16" s="1"/>
  <c r="I345" i="16"/>
  <c r="J345" i="16" s="1"/>
  <c r="F343" i="16"/>
  <c r="G343" i="16" s="1"/>
  <c r="R344" i="16" l="1"/>
  <c r="S344" i="16" s="1"/>
  <c r="O345" i="16"/>
  <c r="P345" i="16" s="1"/>
  <c r="O346" i="16"/>
  <c r="P346" i="16" s="1"/>
  <c r="L344" i="16"/>
  <c r="M344" i="16" s="1"/>
  <c r="F344" i="16"/>
  <c r="G344" i="16" s="1"/>
  <c r="R345" i="16" l="1"/>
  <c r="S345" i="16" s="1"/>
  <c r="R346" i="16"/>
  <c r="S346" i="16" s="1"/>
  <c r="L345" i="16"/>
  <c r="M345" i="16" s="1"/>
  <c r="L346" i="16"/>
  <c r="M346" i="16" s="1"/>
  <c r="F345" i="16"/>
  <c r="G345" i="16" s="1"/>
  <c r="F346" i="16"/>
  <c r="G346" i="16" s="1"/>
</calcChain>
</file>

<file path=xl/sharedStrings.xml><?xml version="1.0" encoding="utf-8"?>
<sst xmlns="http://schemas.openxmlformats.org/spreadsheetml/2006/main" count="4521" uniqueCount="385">
  <si>
    <t>Depth</t>
  </si>
  <si>
    <t>Magnitude</t>
  </si>
  <si>
    <t>mb</t>
  </si>
  <si>
    <t>md</t>
  </si>
  <si>
    <t>mwc</t>
  </si>
  <si>
    <t>Mag Type</t>
  </si>
  <si>
    <t>MS</t>
  </si>
  <si>
    <t>PAS</t>
  </si>
  <si>
    <t xml:space="preserve">M </t>
  </si>
  <si>
    <t>SHL</t>
  </si>
  <si>
    <t>ISC</t>
  </si>
  <si>
    <t>mL</t>
  </si>
  <si>
    <t>NDI</t>
  </si>
  <si>
    <t>NEI</t>
  </si>
  <si>
    <t>NEIC</t>
  </si>
  <si>
    <t>mw</t>
  </si>
  <si>
    <t>EIC</t>
  </si>
  <si>
    <t>EIDC</t>
  </si>
  <si>
    <t>MD</t>
  </si>
  <si>
    <t>ML</t>
  </si>
  <si>
    <t>MW</t>
  </si>
  <si>
    <t>,ND</t>
  </si>
  <si>
    <t>IDC</t>
  </si>
  <si>
    <t xml:space="preserve">.1430, </t>
  </si>
  <si>
    <t xml:space="preserve">.8680, </t>
  </si>
  <si>
    <t>IMD</t>
  </si>
  <si>
    <t>Mw</t>
  </si>
  <si>
    <t>USGS</t>
  </si>
  <si>
    <t>MB</t>
  </si>
  <si>
    <t>MC</t>
  </si>
  <si>
    <t>Event No</t>
  </si>
  <si>
    <t>Year</t>
  </si>
  <si>
    <t>3.5-3.9</t>
  </si>
  <si>
    <t>4.0-4.4</t>
  </si>
  <si>
    <t>4.5-4.9</t>
  </si>
  <si>
    <t>5.0-5.4</t>
  </si>
  <si>
    <t>5.5-5.9</t>
  </si>
  <si>
    <t>6.0-6.4</t>
  </si>
  <si>
    <t>6.5-7.0</t>
  </si>
  <si>
    <t xml:space="preserve">Total Years </t>
  </si>
  <si>
    <t>Magnitude Range</t>
  </si>
  <si>
    <t>M</t>
  </si>
  <si>
    <t>No. Of Equation</t>
  </si>
  <si>
    <t xml:space="preserve">N </t>
  </si>
  <si>
    <t>Log N</t>
  </si>
  <si>
    <t>a</t>
  </si>
  <si>
    <t>b</t>
  </si>
  <si>
    <t>Table A Completeness Analysis</t>
  </si>
  <si>
    <t>Period</t>
  </si>
  <si>
    <t>Ts (Yr)</t>
  </si>
  <si>
    <t>3.5-3.9 Mw</t>
  </si>
  <si>
    <t>4-4.4 Mw</t>
  </si>
  <si>
    <t>4.5-4.9 Mw</t>
  </si>
  <si>
    <t>5-5.4 Mw</t>
  </si>
  <si>
    <t>5.5-5.9 Mw</t>
  </si>
  <si>
    <t>&gt;6 Mw</t>
  </si>
  <si>
    <t>N</t>
  </si>
  <si>
    <t>λ</t>
  </si>
  <si>
    <t>αs</t>
  </si>
  <si>
    <r>
      <t>(1/Ts)</t>
    </r>
    <r>
      <rPr>
        <b/>
        <vertAlign val="superscript"/>
        <sz val="9"/>
        <color indexed="8"/>
        <rFont val="Times New Roman"/>
        <family val="1"/>
      </rPr>
      <t>1/2</t>
    </r>
  </si>
  <si>
    <t>No. Of Data</t>
  </si>
  <si>
    <t>Longitude</t>
  </si>
  <si>
    <t>Latitude</t>
  </si>
  <si>
    <t>Month</t>
  </si>
  <si>
    <t>Date</t>
  </si>
  <si>
    <t>Hours</t>
  </si>
  <si>
    <t>Minutes</t>
  </si>
  <si>
    <t>Reference</t>
  </si>
  <si>
    <t>NAME OF FAULT (IF ANY)</t>
  </si>
  <si>
    <t>WEST COAST FAULT</t>
  </si>
  <si>
    <t>NTF10</t>
  </si>
  <si>
    <t>FIBC26</t>
  </si>
  <si>
    <t>FIBC21</t>
  </si>
  <si>
    <t>FIBC20</t>
  </si>
  <si>
    <t>FIBC19</t>
  </si>
  <si>
    <t>FIBC27</t>
  </si>
  <si>
    <t>FIBC15</t>
  </si>
  <si>
    <t>FIBC16</t>
  </si>
  <si>
    <t>FIBC22</t>
  </si>
  <si>
    <t>FIBC23</t>
  </si>
  <si>
    <t>FIBC24</t>
  </si>
  <si>
    <t>FIBC25</t>
  </si>
  <si>
    <t>FIBC28</t>
  </si>
  <si>
    <t>FIBC29</t>
  </si>
  <si>
    <t>FIBC13</t>
  </si>
  <si>
    <t>FIBC7</t>
  </si>
  <si>
    <t>FIBC11</t>
  </si>
  <si>
    <t>FIBC10</t>
  </si>
  <si>
    <t>FIBC12</t>
  </si>
  <si>
    <t>FIBC6</t>
  </si>
  <si>
    <t>FIBC14</t>
  </si>
  <si>
    <t>FIBC9</t>
  </si>
  <si>
    <t>FIBC8</t>
  </si>
  <si>
    <t>FIBC17</t>
  </si>
  <si>
    <t>FIBC18</t>
  </si>
  <si>
    <t>GREAT BOUNDARY FAULT</t>
  </si>
  <si>
    <t>BHARATPUR MOUNT ABU FAULT</t>
  </si>
  <si>
    <t>FIC24</t>
  </si>
  <si>
    <t>FIC25</t>
  </si>
  <si>
    <t>FIC23</t>
  </si>
  <si>
    <t>FIC22</t>
  </si>
  <si>
    <t>FIC19</t>
  </si>
  <si>
    <t>FIC21</t>
  </si>
  <si>
    <t>FIC17</t>
  </si>
  <si>
    <t>FIC11</t>
  </si>
  <si>
    <t>FIC12</t>
  </si>
  <si>
    <t>FIC16</t>
  </si>
  <si>
    <t>FIC18</t>
  </si>
  <si>
    <t>FIC13</t>
  </si>
  <si>
    <t>FIC20</t>
  </si>
  <si>
    <t>FIC10</t>
  </si>
  <si>
    <t>FIC15</t>
  </si>
  <si>
    <t>FIC14</t>
  </si>
  <si>
    <t>THARGON FAULT</t>
  </si>
  <si>
    <t>NTF7</t>
  </si>
  <si>
    <t>KADDAM FAULT</t>
  </si>
  <si>
    <t>NTF12</t>
  </si>
  <si>
    <t>NTF15</t>
  </si>
  <si>
    <t>NTF14</t>
  </si>
  <si>
    <t>KINNERASANI FAULT</t>
  </si>
  <si>
    <t>KOLLERU FAULT</t>
  </si>
  <si>
    <t>GODAVARI VALLEY FAULT</t>
  </si>
  <si>
    <t>PURNA FAULT</t>
  </si>
  <si>
    <t>NTF13</t>
  </si>
  <si>
    <t>WARNA FAULT</t>
  </si>
  <si>
    <t>NTF8</t>
  </si>
  <si>
    <t>CHIPUM FAULT</t>
  </si>
  <si>
    <t>NTF11</t>
  </si>
  <si>
    <t>SON NARMADA FAULT</t>
  </si>
  <si>
    <t>NTF22</t>
  </si>
  <si>
    <t>NTF24</t>
  </si>
  <si>
    <t>NTF19</t>
  </si>
  <si>
    <t>NTF21</t>
  </si>
  <si>
    <t>NTF20</t>
  </si>
  <si>
    <t>NTF23</t>
  </si>
  <si>
    <t>SEISAT</t>
  </si>
  <si>
    <t>No of Eq2</t>
  </si>
  <si>
    <t>NORTH KATHIAWAR  FAULT</t>
  </si>
  <si>
    <t>FIBC1</t>
  </si>
  <si>
    <t>FIBC2</t>
  </si>
  <si>
    <t>FIBC3</t>
  </si>
  <si>
    <t>FIBC4</t>
  </si>
  <si>
    <t>FIBC5</t>
  </si>
  <si>
    <t>FIBC30</t>
  </si>
  <si>
    <t>FIBC31</t>
  </si>
  <si>
    <t>FIBC32</t>
  </si>
  <si>
    <t>FIBC33</t>
  </si>
  <si>
    <t>FIBC34</t>
  </si>
  <si>
    <t>FIBC35</t>
  </si>
  <si>
    <t>FIBC36</t>
  </si>
  <si>
    <t>FIC1</t>
  </si>
  <si>
    <t>FIC2</t>
  </si>
  <si>
    <t>FIC3</t>
  </si>
  <si>
    <t>FIC4</t>
  </si>
  <si>
    <t>FIC5</t>
  </si>
  <si>
    <t>FIC6</t>
  </si>
  <si>
    <t>FIC7</t>
  </si>
  <si>
    <t>FIC8</t>
  </si>
  <si>
    <t>FIC9</t>
  </si>
  <si>
    <t>FIC26</t>
  </si>
  <si>
    <t>FIC27</t>
  </si>
  <si>
    <t>FIC28</t>
  </si>
  <si>
    <t>NTF1</t>
  </si>
  <si>
    <t>NTF2</t>
  </si>
  <si>
    <t>NTF3</t>
  </si>
  <si>
    <t>NTF4</t>
  </si>
  <si>
    <t>NTF5</t>
  </si>
  <si>
    <t>NTF6</t>
  </si>
  <si>
    <t>NTF9</t>
  </si>
  <si>
    <t>NTF16</t>
  </si>
  <si>
    <t>NTF17</t>
  </si>
  <si>
    <t>NTF18</t>
  </si>
  <si>
    <t>NTF25</t>
  </si>
  <si>
    <t>NTF26</t>
  </si>
  <si>
    <t>NTF27</t>
  </si>
  <si>
    <t>NTF28</t>
  </si>
  <si>
    <t>NTF29</t>
  </si>
  <si>
    <t>NTF30</t>
  </si>
  <si>
    <t>NTF31</t>
  </si>
  <si>
    <t>NTF32</t>
  </si>
  <si>
    <t>NTF33</t>
  </si>
  <si>
    <t>NTF34</t>
  </si>
  <si>
    <t>NTF35</t>
  </si>
  <si>
    <t>NTF36</t>
  </si>
  <si>
    <t>NTF37</t>
  </si>
  <si>
    <t>NTF38</t>
  </si>
  <si>
    <t>NTF39</t>
  </si>
  <si>
    <t>NTF40</t>
  </si>
  <si>
    <t>NTF41</t>
  </si>
  <si>
    <t>NTF42</t>
  </si>
  <si>
    <t>NTF43</t>
  </si>
  <si>
    <t>NTF44</t>
  </si>
  <si>
    <t>NTF45</t>
  </si>
  <si>
    <t>NTF46</t>
  </si>
  <si>
    <t>NTF47</t>
  </si>
  <si>
    <t>NTF48</t>
  </si>
  <si>
    <t>NTF49</t>
  </si>
  <si>
    <t>NTF50</t>
  </si>
  <si>
    <t>NTF51</t>
  </si>
  <si>
    <t>NTF52</t>
  </si>
  <si>
    <t>NTF53</t>
  </si>
  <si>
    <t>NTF54</t>
  </si>
  <si>
    <t>NTF55</t>
  </si>
  <si>
    <t>NTF56</t>
  </si>
  <si>
    <t>NTF57</t>
  </si>
  <si>
    <t>NTF58</t>
  </si>
  <si>
    <t>NTF59</t>
  </si>
  <si>
    <t>NTF60</t>
  </si>
  <si>
    <t>NTF61</t>
  </si>
  <si>
    <t>NTF62</t>
  </si>
  <si>
    <t>NTF63</t>
  </si>
  <si>
    <t>NTF64</t>
  </si>
  <si>
    <t>NTF65</t>
  </si>
  <si>
    <t>SSF1</t>
  </si>
  <si>
    <t>SSF2</t>
  </si>
  <si>
    <t>FIBC</t>
  </si>
  <si>
    <t>FIC</t>
  </si>
  <si>
    <t>NTF</t>
  </si>
  <si>
    <t>SSF</t>
  </si>
  <si>
    <t>Total Length</t>
  </si>
  <si>
    <t>Max Mw</t>
  </si>
  <si>
    <t>Total Weightage Factor</t>
  </si>
  <si>
    <t>Revised Alpha</t>
  </si>
  <si>
    <t>FAULT 12</t>
  </si>
  <si>
    <t>TAPTI NORTH FAULT 4</t>
  </si>
  <si>
    <t>TAPTI NORTH FAULT 5</t>
  </si>
  <si>
    <t>TAPTI NORTH FAULT 6</t>
  </si>
  <si>
    <t>TAPTI NORTH FAULT 7</t>
  </si>
  <si>
    <t>TAPTI NORTH FAULT 9</t>
  </si>
  <si>
    <t>TAPTI NORTH FAULT 8</t>
  </si>
  <si>
    <t>TAPTI NORTH FAULT 10</t>
  </si>
  <si>
    <t>TAPTI NORTH FAULT 11</t>
  </si>
  <si>
    <t>TAPTI NORTH FAULT 12</t>
  </si>
  <si>
    <t>TAPTI NORTH FAULT 13</t>
  </si>
  <si>
    <t>TAPTI NORTH FAULT 14</t>
  </si>
  <si>
    <t>TAPTI NORTH FAULT 15</t>
  </si>
  <si>
    <t>SUB SURFACE FAULT 1</t>
  </si>
  <si>
    <t>TAPTI NORTH FAULT 16</t>
  </si>
  <si>
    <t>TAPTI NORTH FAULT 17</t>
  </si>
  <si>
    <t>SUB SURFACE FAULT 2</t>
  </si>
  <si>
    <t>TAPTI NORTH FAULT 1</t>
  </si>
  <si>
    <t>TAPTI NORTH FAULT 2</t>
  </si>
  <si>
    <t>TAPTI NORTH FAULT 3</t>
  </si>
  <si>
    <t>TAPTI NORTH FAULT 18</t>
  </si>
  <si>
    <t>TAPTI NORTH FAULT 19</t>
  </si>
  <si>
    <t>FAULT 1</t>
  </si>
  <si>
    <t>FAULT 2</t>
  </si>
  <si>
    <t>FAULT 3</t>
  </si>
  <si>
    <t>FAULT 4</t>
  </si>
  <si>
    <t>FAULT 5</t>
  </si>
  <si>
    <t>FAULT 6</t>
  </si>
  <si>
    <t>FAULT 7</t>
  </si>
  <si>
    <t>FAULT 8</t>
  </si>
  <si>
    <t>FAULT INVOLVING BASEMENT &amp; COVER 1</t>
  </si>
  <si>
    <t>FAULT INVOLVING BASEMENT &amp; COVER 2</t>
  </si>
  <si>
    <t>FAULT INVOLVING BASEMENT &amp; COVER 3</t>
  </si>
  <si>
    <t>FAULT INVOLVING BASEMENT &amp; COVER 4</t>
  </si>
  <si>
    <t>FAULT INVOLVING BASEMENT &amp; COVER 5</t>
  </si>
  <si>
    <t>FAULT INVOLVING BASEMENT &amp; COVER 6</t>
  </si>
  <si>
    <t>FAULT INVOLVING BASEMENT &amp; COVER 7</t>
  </si>
  <si>
    <t>FAULT INVOLVING BASEMENT &amp; COVER 8</t>
  </si>
  <si>
    <t>FAULT INVOLVING BASEMENT &amp; COVER 9</t>
  </si>
  <si>
    <t>FAULT INVOLVING BASEMENT &amp; COVER 10</t>
  </si>
  <si>
    <t>FAULT INVOLVING BASEMENT &amp; COVER 11</t>
  </si>
  <si>
    <t>FAULT INVOLVING BASEMENT &amp; COVER 12</t>
  </si>
  <si>
    <t>FAULT INVOLVING BASEMENT &amp; COVER 13</t>
  </si>
  <si>
    <t>FAULT INVOLVING BASEMENT &amp; COVER 14</t>
  </si>
  <si>
    <t>FAULT INVOLVING BASEMENT &amp; COVER 15</t>
  </si>
  <si>
    <t>FAULT INVOLVING BASEMENT &amp; COVER 16</t>
  </si>
  <si>
    <t>FAULT INVOLVING BASEMENT &amp; COVER 17</t>
  </si>
  <si>
    <t>FAULT INVOLVING BASEMENT &amp; COVER 18</t>
  </si>
  <si>
    <t>FAULT INVOLVING BASEMENT &amp; COVER 19</t>
  </si>
  <si>
    <t>FAULT INVOLVING BASEMENT &amp; COVER 20</t>
  </si>
  <si>
    <t>FAULT INVOLVING BASEMENT &amp; COVER 21</t>
  </si>
  <si>
    <t>FAULT INVOLVING BASEMENT &amp; COVER 22</t>
  </si>
  <si>
    <t>FAULT INVOLVING BASEMENT &amp; COVER 23</t>
  </si>
  <si>
    <t>FAULT INVOLVING BASEMENT &amp; COVER 24</t>
  </si>
  <si>
    <t>FAULT INVOLVING BASEMENT &amp; COVER 25</t>
  </si>
  <si>
    <t>FAULT INVOLVING BASEMENT &amp; COVER 26</t>
  </si>
  <si>
    <t>FAULT INVOLVING BASEMENT &amp; COVER 27</t>
  </si>
  <si>
    <t>FAULT INVOLVING BASEMENT &amp; COVER 28</t>
  </si>
  <si>
    <t>FAULT INVOLVING BASEMENT &amp; COVER 29</t>
  </si>
  <si>
    <t>FAULT INVOLVING BASEMENT &amp; COVER 30</t>
  </si>
  <si>
    <t>FAULT INVOLVING BASEMENT &amp; COVER 31</t>
  </si>
  <si>
    <t>FAULT INVOLVING COVER 1</t>
  </si>
  <si>
    <t>FAULT INVOLVING COVER 2</t>
  </si>
  <si>
    <t>FAULT INVOLVING COVER 3</t>
  </si>
  <si>
    <t>FAULT INVOLVING COVER 4</t>
  </si>
  <si>
    <t>FAULT INVOLVING COVER 5</t>
  </si>
  <si>
    <t>FAULT INVOLVING COVER 6</t>
  </si>
  <si>
    <t>FAULT INVOLVING COVER 7</t>
  </si>
  <si>
    <t>FAULT INVOLVING COVER 8</t>
  </si>
  <si>
    <t>FAULT INVOLVING COVER 9</t>
  </si>
  <si>
    <t>FAULT INVOLVING COVER 10</t>
  </si>
  <si>
    <t>FAULT INVOLVING COVER 11</t>
  </si>
  <si>
    <t>FAULT INVOLVING COVER 12</t>
  </si>
  <si>
    <t>FAULT INVOLVING COVER 13</t>
  </si>
  <si>
    <t>FAULT INVOLVING COVER 14</t>
  </si>
  <si>
    <t>FAULT INVOLVING COVER 15</t>
  </si>
  <si>
    <t>FAULT INVOLVING COVER 16</t>
  </si>
  <si>
    <t>FAULT INVOLVING COVER 17</t>
  </si>
  <si>
    <t>FAULT INVOLVING COVER 18</t>
  </si>
  <si>
    <t>FAULT INVOLVING COVER 19</t>
  </si>
  <si>
    <t>FAULT INVOLVING COVER 20</t>
  </si>
  <si>
    <t>FAULT INVOLVING COVER 21</t>
  </si>
  <si>
    <t>FAULT INVOLVING COVER 22</t>
  </si>
  <si>
    <t>FAULT INVOLVING COVER 23</t>
  </si>
  <si>
    <t>FAULT INVOLVING COVER 24</t>
  </si>
  <si>
    <t>FAULT INVOLVING COVER 25</t>
  </si>
  <si>
    <t>FAULT INVOLVING COVER 26</t>
  </si>
  <si>
    <t>FAULT INVOLVING COVER 27</t>
  </si>
  <si>
    <t>FAULT 9</t>
  </si>
  <si>
    <t>FAULT 10</t>
  </si>
  <si>
    <t>FAULT 11</t>
  </si>
  <si>
    <t>MARGINAL FAULT a</t>
  </si>
  <si>
    <t>MARGINAL FAULT b</t>
  </si>
  <si>
    <t>MARGINAL FAULT c</t>
  </si>
  <si>
    <t>MARGINAL FAULT d</t>
  </si>
  <si>
    <t>PALDI FAULT a</t>
  </si>
  <si>
    <t>PALDI FAULT b</t>
  </si>
  <si>
    <t>UPPER GODAVARI FAULT a</t>
  </si>
  <si>
    <t>UPPER GODAVARI FAULT b</t>
  </si>
  <si>
    <t>KISHANGARH CHIPLI FAULT a</t>
  </si>
  <si>
    <t>KISHANGARH CHIPLI FAULT b</t>
  </si>
  <si>
    <t>KISHANGARH CHIPLI FAULT c</t>
  </si>
  <si>
    <t>GAVLIGARH FAULT a</t>
  </si>
  <si>
    <t>GAVLIGARH FAULT b</t>
  </si>
  <si>
    <t>GAVLIGARH FAULT c</t>
  </si>
  <si>
    <t>GAVLIGARH FAULT d</t>
  </si>
  <si>
    <t>BARWANI SUKTA FAULT a</t>
  </si>
  <si>
    <t>BARWANI SUKTA FAULT b</t>
  </si>
  <si>
    <t>42 62 165 139</t>
  </si>
  <si>
    <t>193 162</t>
  </si>
  <si>
    <t>171 81 57 40</t>
  </si>
  <si>
    <t>49 114 168 152</t>
  </si>
  <si>
    <t>177 213</t>
  </si>
  <si>
    <t>59 153 33</t>
  </si>
  <si>
    <t>196 123 82 86 56 126</t>
  </si>
  <si>
    <t>10 11 8 21 145</t>
  </si>
  <si>
    <t>164 32</t>
  </si>
  <si>
    <t>174 19</t>
  </si>
  <si>
    <t>120 136</t>
  </si>
  <si>
    <t>169 160</t>
  </si>
  <si>
    <t>73 53</t>
  </si>
  <si>
    <t>128 80 144</t>
  </si>
  <si>
    <t>125 182</t>
  </si>
  <si>
    <t>214 159</t>
  </si>
  <si>
    <t>89 147 111</t>
  </si>
  <si>
    <t>167 93</t>
  </si>
  <si>
    <t>51 149 151</t>
  </si>
  <si>
    <t>48 179 60</t>
  </si>
  <si>
    <t>64 179 61</t>
  </si>
  <si>
    <t>179 60 61</t>
  </si>
  <si>
    <t>60 96</t>
  </si>
  <si>
    <t>48 179 96</t>
  </si>
  <si>
    <t>60 61 96</t>
  </si>
  <si>
    <t>67 37 194</t>
  </si>
  <si>
    <t>67 194</t>
  </si>
  <si>
    <t>161 67 194 172 195</t>
  </si>
  <si>
    <t>200 211 201 209 197 17 43 199 202</t>
  </si>
  <si>
    <t>3 1 140 198 200 211 201 208 209 197 17 43 199 202</t>
  </si>
  <si>
    <t>29 90 63 124 158 74 91 18 178</t>
  </si>
  <si>
    <t>No of EQ</t>
  </si>
  <si>
    <t>LONG 1</t>
  </si>
  <si>
    <t>LAT 1</t>
  </si>
  <si>
    <t>LONG 2</t>
  </si>
  <si>
    <t>LAT 2</t>
  </si>
  <si>
    <t>Active Fault Length</t>
  </si>
  <si>
    <r>
      <t>W</t>
    </r>
    <r>
      <rPr>
        <vertAlign val="subscript"/>
        <sz val="11"/>
        <color theme="1"/>
        <rFont val="Calibri"/>
        <family val="2"/>
        <scheme val="minor"/>
      </rPr>
      <t>m</t>
    </r>
  </si>
  <si>
    <t>Abbreviation</t>
  </si>
  <si>
    <t>Type of Fault</t>
  </si>
  <si>
    <t>S no.</t>
  </si>
  <si>
    <t>FAULT DETAILS</t>
  </si>
  <si>
    <r>
      <t>W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</t>
    </r>
  </si>
  <si>
    <t>Total Length of Neotectonic fault</t>
  </si>
  <si>
    <t>Total Length of Subsurface fault</t>
  </si>
  <si>
    <t>Total Length of Fault Involving Cover</t>
  </si>
  <si>
    <t>Total Length of Fault Involving Base &amp; Cover</t>
  </si>
  <si>
    <t xml:space="preserve">Total Length </t>
  </si>
  <si>
    <t>Total no. of years having E/Q Record</t>
  </si>
  <si>
    <t>343 years</t>
  </si>
  <si>
    <t>Minute</t>
  </si>
  <si>
    <t>Magnitude Interval Selected</t>
  </si>
  <si>
    <t>No of events in selected range</t>
  </si>
  <si>
    <t>Period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</si>
</sst>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&quot;₹&quot;\ * #,##0.00_ ;_ &quot;₹&quot;\ * \-#,##0.00_ ;_ &quot;₹&quot;\ * &quot;-&quot;??_ ;_ @_ "/>
    <numFmt numFmtId="165" formatCode="0.0"/>
    <numFmt numFmtId="166" formatCode="0.0000"/>
    <numFmt numFmtId="167" formatCode="###0.000;###0.000"/>
    <numFmt numFmtId="168" formatCode="###000.00;###000.00"/>
    <numFmt numFmtId="169" formatCode="###0;###0"/>
    <numFmt numFmtId="170" formatCode="###00;###00"/>
    <numFmt numFmtId="171" formatCode="###0.0;###0.0"/>
    <numFmt numFmtId="172" formatCode="###00.00;###00.00"/>
    <numFmt numFmtId="173" formatCode="###0.00;###0.00"/>
    <numFmt numFmtId="174" formatCode="###000;###000"/>
    <numFmt numFmtId="175" formatCode="###0.0000;###0.0000"/>
    <numFmt numFmtId="176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9"/>
      <color indexed="8"/>
      <name val="Times New Roman"/>
      <family val="1"/>
    </font>
    <font>
      <b/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164" fontId="1" fillId="0" borderId="0" applyFont="0" applyFill="0" applyBorder="0" applyAlignment="0" applyProtection="0"/>
  </cellStyleXfs>
  <cellXfs count="148">
    <xf numFmtId="0" fontId="0" fillId="0" borderId="0" xfId="0"/>
    <xf numFmtId="0" fontId="16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7" fontId="19" fillId="0" borderId="0" xfId="42" applyNumberFormat="1" applyFont="1" applyAlignment="1">
      <alignment horizontal="center" vertical="center" wrapText="1"/>
    </xf>
    <xf numFmtId="173" fontId="19" fillId="0" borderId="0" xfId="42" applyNumberFormat="1" applyFont="1" applyAlignment="1">
      <alignment horizontal="center" vertical="center" wrapText="1"/>
    </xf>
    <xf numFmtId="174" fontId="19" fillId="0" borderId="0" xfId="42" applyNumberFormat="1" applyFont="1" applyAlignment="1">
      <alignment horizontal="center" vertical="center" wrapText="1"/>
    </xf>
    <xf numFmtId="172" fontId="19" fillId="0" borderId="0" xfId="42" applyNumberFormat="1" applyFont="1" applyAlignment="1">
      <alignment horizontal="center" vertical="center" wrapText="1"/>
    </xf>
    <xf numFmtId="171" fontId="19" fillId="0" borderId="0" xfId="42" applyNumberFormat="1" applyFont="1" applyAlignment="1">
      <alignment horizontal="center" vertical="center" wrapText="1"/>
    </xf>
    <xf numFmtId="170" fontId="19" fillId="0" borderId="0" xfId="42" applyNumberFormat="1" applyFont="1" applyAlignment="1">
      <alignment horizontal="center" vertical="center" wrapText="1"/>
    </xf>
    <xf numFmtId="169" fontId="19" fillId="0" borderId="0" xfId="42" applyNumberFormat="1" applyFont="1" applyAlignment="1">
      <alignment horizontal="center" vertical="center" wrapText="1"/>
    </xf>
    <xf numFmtId="170" fontId="0" fillId="0" borderId="0" xfId="0" applyNumberFormat="1" applyAlignment="1">
      <alignment horizontal="center"/>
    </xf>
    <xf numFmtId="168" fontId="19" fillId="0" borderId="0" xfId="42" applyNumberFormat="1" applyFont="1" applyAlignment="1">
      <alignment horizontal="center" vertical="center" wrapText="1"/>
    </xf>
    <xf numFmtId="174" fontId="0" fillId="0" borderId="0" xfId="0" applyNumberFormat="1" applyAlignment="1">
      <alignment horizontal="center"/>
    </xf>
    <xf numFmtId="166" fontId="19" fillId="0" borderId="0" xfId="42" applyNumberFormat="1" applyFont="1" applyAlignment="1">
      <alignment horizontal="center" vertical="center" wrapText="1"/>
    </xf>
    <xf numFmtId="1" fontId="19" fillId="0" borderId="0" xfId="42" applyNumberFormat="1" applyFont="1" applyAlignment="1">
      <alignment horizontal="center" vertical="center" wrapText="1"/>
    </xf>
    <xf numFmtId="1" fontId="19" fillId="0" borderId="0" xfId="42" applyNumberFormat="1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Continuous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Continuous" wrapText="1"/>
    </xf>
    <xf numFmtId="0" fontId="22" fillId="0" borderId="0" xfId="0" applyFont="1" applyAlignment="1">
      <alignment horizontal="centerContinuous" wrapText="1"/>
    </xf>
    <xf numFmtId="0" fontId="22" fillId="0" borderId="12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2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34" borderId="33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4" borderId="15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3" borderId="37" xfId="0" applyFill="1" applyBorder="1" applyAlignment="1">
      <alignment horizontal="center"/>
    </xf>
    <xf numFmtId="0" fontId="16" fillId="34" borderId="0" xfId="0" applyFont="1" applyFill="1" applyAlignment="1">
      <alignment horizontal="center"/>
    </xf>
    <xf numFmtId="0" fontId="0" fillId="0" borderId="26" xfId="0" applyBorder="1" applyAlignment="1">
      <alignment horizontal="center"/>
    </xf>
    <xf numFmtId="0" fontId="0" fillId="0" borderId="40" xfId="0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2" fontId="16" fillId="0" borderId="0" xfId="0" applyNumberFormat="1" applyFont="1"/>
    <xf numFmtId="166" fontId="0" fillId="36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0" fontId="0" fillId="36" borderId="0" xfId="0" applyFill="1" applyAlignment="1">
      <alignment horizontal="center"/>
    </xf>
    <xf numFmtId="0" fontId="0" fillId="36" borderId="0" xfId="0" applyFill="1"/>
    <xf numFmtId="0" fontId="0" fillId="35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/>
    <xf numFmtId="0" fontId="0" fillId="37" borderId="0" xfId="0" applyFill="1" applyAlignment="1">
      <alignment horizontal="center"/>
    </xf>
    <xf numFmtId="0" fontId="20" fillId="0" borderId="45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26" fillId="34" borderId="21" xfId="0" applyFont="1" applyFill="1" applyBorder="1" applyAlignment="1">
      <alignment horizontal="center" vertical="center"/>
    </xf>
    <xf numFmtId="0" fontId="0" fillId="34" borderId="19" xfId="0" applyFill="1" applyBorder="1" applyAlignment="1">
      <alignment horizontal="center" vertical="center"/>
    </xf>
    <xf numFmtId="0" fontId="27" fillId="34" borderId="19" xfId="0" applyFont="1" applyFill="1" applyBorder="1" applyAlignment="1">
      <alignment horizontal="center" vertical="center"/>
    </xf>
    <xf numFmtId="0" fontId="0" fillId="34" borderId="35" xfId="0" applyFill="1" applyBorder="1" applyAlignment="1">
      <alignment horizontal="center" vertical="center"/>
    </xf>
    <xf numFmtId="175" fontId="19" fillId="0" borderId="0" xfId="42" applyNumberFormat="1" applyFont="1" applyAlignment="1">
      <alignment horizontal="center" vertical="center" wrapText="1"/>
    </xf>
    <xf numFmtId="175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6" fillId="0" borderId="22" xfId="0" applyFont="1" applyBorder="1" applyAlignment="1">
      <alignment horizontal="center" vertical="center" wrapText="1"/>
    </xf>
    <xf numFmtId="1" fontId="19" fillId="0" borderId="22" xfId="42" applyNumberFormat="1" applyFont="1" applyBorder="1" applyAlignment="1">
      <alignment horizontal="center"/>
    </xf>
    <xf numFmtId="173" fontId="19" fillId="0" borderId="22" xfId="42" applyNumberFormat="1" applyFont="1" applyBorder="1" applyAlignment="1">
      <alignment horizontal="center" vertical="center" wrapText="1"/>
    </xf>
    <xf numFmtId="169" fontId="19" fillId="0" borderId="22" xfId="42" applyNumberFormat="1" applyFont="1" applyBorder="1" applyAlignment="1">
      <alignment horizontal="center" vertical="center" wrapText="1"/>
    </xf>
    <xf numFmtId="170" fontId="19" fillId="0" borderId="22" xfId="42" applyNumberFormat="1" applyFont="1" applyBorder="1" applyAlignment="1">
      <alignment horizontal="center" vertical="center" wrapText="1"/>
    </xf>
    <xf numFmtId="171" fontId="19" fillId="0" borderId="22" xfId="42" applyNumberFormat="1" applyFont="1" applyBorder="1" applyAlignment="1">
      <alignment horizontal="center" vertical="center" wrapText="1"/>
    </xf>
    <xf numFmtId="174" fontId="19" fillId="0" borderId="22" xfId="42" applyNumberFormat="1" applyFont="1" applyBorder="1" applyAlignment="1">
      <alignment horizontal="center" vertical="center" wrapText="1"/>
    </xf>
    <xf numFmtId="173" fontId="0" fillId="0" borderId="22" xfId="0" applyNumberFormat="1" applyBorder="1" applyAlignment="1">
      <alignment horizontal="center"/>
    </xf>
    <xf numFmtId="170" fontId="0" fillId="0" borderId="22" xfId="0" applyNumberFormat="1" applyBorder="1" applyAlignment="1">
      <alignment horizontal="center"/>
    </xf>
    <xf numFmtId="174" fontId="0" fillId="0" borderId="22" xfId="0" applyNumberFormat="1" applyBorder="1" applyAlignment="1">
      <alignment horizontal="center"/>
    </xf>
    <xf numFmtId="0" fontId="16" fillId="0" borderId="47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1" fontId="19" fillId="0" borderId="27" xfId="42" applyNumberFormat="1" applyFont="1" applyBorder="1" applyAlignment="1">
      <alignment horizontal="center" vertical="center"/>
    </xf>
    <xf numFmtId="166" fontId="19" fillId="0" borderId="22" xfId="42" applyNumberFormat="1" applyFont="1" applyBorder="1" applyAlignment="1">
      <alignment horizontal="center" vertical="center" wrapText="1"/>
    </xf>
    <xf numFmtId="1" fontId="19" fillId="0" borderId="22" xfId="42" applyNumberFormat="1" applyFont="1" applyBorder="1" applyAlignment="1">
      <alignment horizontal="center" vertical="center" wrapText="1"/>
    </xf>
    <xf numFmtId="169" fontId="19" fillId="0" borderId="43" xfId="42" applyNumberFormat="1" applyFont="1" applyBorder="1" applyAlignment="1">
      <alignment horizontal="center" vertical="center" wrapText="1"/>
    </xf>
    <xf numFmtId="2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19" fillId="0" borderId="46" xfId="42" applyNumberFormat="1" applyFont="1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0" applyNumberFormat="1" applyBorder="1" applyAlignment="1">
      <alignment horizontal="center" vertical="center"/>
    </xf>
    <xf numFmtId="1" fontId="0" fillId="0" borderId="44" xfId="0" applyNumberForma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5" fontId="0" fillId="0" borderId="40" xfId="0" applyNumberFormat="1" applyBorder="1" applyAlignment="1">
      <alignment horizontal="center"/>
    </xf>
    <xf numFmtId="164" fontId="28" fillId="0" borderId="0" xfId="43" applyFont="1" applyBorder="1" applyAlignment="1">
      <alignment wrapText="1"/>
    </xf>
    <xf numFmtId="0" fontId="0" fillId="0" borderId="48" xfId="0" applyBorder="1" applyAlignment="1">
      <alignment horizontal="center"/>
    </xf>
    <xf numFmtId="165" fontId="0" fillId="0" borderId="48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24" xfId="0" applyBorder="1" applyAlignment="1">
      <alignment horizontal="center"/>
    </xf>
    <xf numFmtId="164" fontId="16" fillId="0" borderId="22" xfId="43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176" fontId="22" fillId="0" borderId="14" xfId="0" applyNumberFormat="1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/>
    </xf>
    <xf numFmtId="176" fontId="22" fillId="0" borderId="13" xfId="0" applyNumberFormat="1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176" fontId="22" fillId="0" borderId="28" xfId="0" applyNumberFormat="1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/>
    </xf>
    <xf numFmtId="176" fontId="22" fillId="0" borderId="22" xfId="0" applyNumberFormat="1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176" fontId="22" fillId="0" borderId="24" xfId="0" applyNumberFormat="1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176" fontId="22" fillId="0" borderId="32" xfId="0" applyNumberFormat="1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/>
    </xf>
    <xf numFmtId="176" fontId="22" fillId="0" borderId="16" xfId="0" applyNumberFormat="1" applyFont="1" applyBorder="1" applyAlignment="1">
      <alignment horizontal="center" vertical="center" wrapText="1"/>
    </xf>
    <xf numFmtId="176" fontId="22" fillId="0" borderId="17" xfId="0" applyNumberFormat="1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/>
    </xf>
    <xf numFmtId="164" fontId="16" fillId="0" borderId="22" xfId="4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30" fillId="35" borderId="0" xfId="0" applyFont="1" applyFill="1" applyAlignment="1">
      <alignment horizontal="center"/>
    </xf>
    <xf numFmtId="0" fontId="30" fillId="33" borderId="0" xfId="0" applyFont="1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1">
    <dxf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numFmt numFmtId="166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numFmt numFmtId="166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numFmt numFmtId="166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numFmt numFmtId="166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relativeIndent="0" justifyLastLine="0" shrinkToFit="0" readingOrder="0"/>
    </dxf>
    <dxf>
      <fill>
        <patternFill>
          <fgColor indexed="64"/>
          <bgColor theme="9" tint="0.39997558519241921"/>
        </patternFill>
      </fill>
      <alignment horizontal="center" vertical="bottom" textRotation="0" wrapText="0" relativeIndent="0" justifyLastLine="0" shrinkToFit="0" readingOrder="0"/>
    </dxf>
    <dxf>
      <fill>
        <patternFill>
          <fgColor indexed="64"/>
          <bgColor theme="8" tint="0.39997558519241921"/>
        </patternFill>
      </fill>
      <alignment horizontal="center" vertical="bottom" textRotation="0" wrapText="0" relativeIndent="0" justifyLastLine="0" shrinkToFit="0" readingOrder="0"/>
    </dxf>
    <dxf>
      <fill>
        <patternFill>
          <fgColor indexed="64"/>
          <bgColor theme="8" tint="0.39997558519241921"/>
        </patternFill>
      </fill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</dxf>
    <dxf>
      <alignment horizontal="left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relativeIndent="0" justifyLastLine="0" shrinkToFit="0" readingOrder="0"/>
    </dxf>
    <dxf>
      <numFmt numFmtId="170" formatCode="###00;###00"/>
      <alignment horizontal="center" vertical="bottom" textRotation="0" wrapText="0" relativeIndent="0" justifyLastLine="0" shrinkToFit="0" readingOrder="0"/>
    </dxf>
    <dxf>
      <numFmt numFmtId="170" formatCode="###00;###00"/>
      <alignment horizontal="center" vertical="bottom" textRotation="0" wrapText="0" relativeIndent="0" justifyLastLine="0" shrinkToFit="0" readingOrder="0"/>
    </dxf>
    <dxf>
      <numFmt numFmtId="174" formatCode="###000;###000"/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relativeIndent="0" justifyLastLine="0" shrinkToFit="0" readingOrder="0"/>
    </dxf>
    <dxf>
      <numFmt numFmtId="0" formatCode="General"/>
      <alignment horizontal="center" vertical="bottom" textRotation="0" wrapText="0" relativeIndent="0" justifyLastLine="0" shrinkToFit="0" readingOrder="0"/>
    </dxf>
    <dxf>
      <numFmt numFmtId="0" formatCode="General"/>
      <alignment horizontal="center" vertical="bottom" textRotation="0" wrapText="0" relativeIndent="0" justifyLastLine="0" shrinkToFit="0" readingOrder="0"/>
    </dxf>
    <dxf>
      <numFmt numFmtId="175" formatCode="###0.0000;###0.0000"/>
      <alignment horizontal="center" vertical="bottom" textRotation="0" wrapText="0" relativeIndent="0" justifyLastLine="0" shrinkToFit="0" readingOrder="0"/>
    </dxf>
    <dxf>
      <numFmt numFmtId="175" formatCode="###0.0000;###0.0000"/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G-R</a:t>
            </a:r>
            <a:r>
              <a:rPr lang="en-US" baseline="0"/>
              <a:t> relationship parameter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'A-B PSHA'!$G$350</c:f>
              <c:strCache>
                <c:ptCount val="1"/>
                <c:pt idx="0">
                  <c:v>Log N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'A-B PSHA'!$C$352:$C$357</c:f>
              <c:numCache>
                <c:formatCode>General</c:formatCode>
                <c:ptCount val="6"/>
                <c:pt idx="0">
                  <c:v>4.2</c:v>
                </c:pt>
                <c:pt idx="1">
                  <c:v>4.7</c:v>
                </c:pt>
                <c:pt idx="2">
                  <c:v>5.2</c:v>
                </c:pt>
                <c:pt idx="3">
                  <c:v>5.7</c:v>
                </c:pt>
                <c:pt idx="4">
                  <c:v>6.2</c:v>
                </c:pt>
                <c:pt idx="5">
                  <c:v>6.7</c:v>
                </c:pt>
              </c:numCache>
            </c:numRef>
          </c:xVal>
          <c:yVal>
            <c:numRef>
              <c:f>'A-B PSHA'!$G$352:$G$357</c:f>
              <c:numCache>
                <c:formatCode>General</c:formatCode>
                <c:ptCount val="6"/>
                <c:pt idx="0">
                  <c:v>-0.35060268922517168</c:v>
                </c:pt>
                <c:pt idx="1">
                  <c:v>-0.64319951735229008</c:v>
                </c:pt>
                <c:pt idx="2">
                  <c:v>-1.016780180164883</c:v>
                </c:pt>
                <c:pt idx="3">
                  <c:v>-1.3311741373868458</c:v>
                </c:pt>
                <c:pt idx="4">
                  <c:v>-1.5810516106034456</c:v>
                </c:pt>
                <c:pt idx="5">
                  <c:v>-1.933234128714808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1D-45FE-A822-3F09F95D4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341248"/>
        <c:axId val="332343552"/>
      </c:scatterChart>
      <c:valAx>
        <c:axId val="332341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/>
                </a:pPr>
                <a:r>
                  <a:rPr lang="en-US" sz="1050"/>
                  <a:t>Average</a:t>
                </a:r>
                <a:r>
                  <a:rPr lang="en-US" sz="1050" baseline="0"/>
                  <a:t> Magnitude</a:t>
                </a:r>
                <a:endParaRPr lang="en-US" sz="105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2343552"/>
        <c:crosses val="autoZero"/>
        <c:crossBetween val="midCat"/>
      </c:valAx>
      <c:valAx>
        <c:axId val="3323435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50"/>
                </a:pPr>
                <a:r>
                  <a:rPr lang="en-US" sz="1050"/>
                  <a:t>Log</a:t>
                </a:r>
                <a:r>
                  <a:rPr lang="en-US" sz="1050" baseline="0"/>
                  <a:t> N</a:t>
                </a:r>
                <a:endParaRPr lang="en-US" sz="105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23412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847119916462052E-2"/>
          <c:y val="2.0557125736896886E-2"/>
          <c:w val="0.76346373633675535"/>
          <c:h val="0.90410233881320856"/>
        </c:manualLayout>
      </c:layout>
      <c:scatterChart>
        <c:scatterStyle val="lineMarker"/>
        <c:varyColors val="0"/>
        <c:ser>
          <c:idx val="0"/>
          <c:order val="0"/>
          <c:tx>
            <c:v>1/Ts</c:v>
          </c:tx>
          <c:spPr>
            <a:ln w="28575">
              <a:noFill/>
            </a:ln>
          </c:spPr>
          <c:xVal>
            <c:numRef>
              <c:f>'COMPLETENESS ANALYSIS'!$C$4:$C$346</c:f>
              <c:numCache>
                <c:formatCode>General</c:formatCode>
                <c:ptCount val="3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</c:numCache>
            </c:numRef>
          </c:xVal>
          <c:yVal>
            <c:numRef>
              <c:f>'COMPLETENESS ANALYSIS'!$D$4:$D$346</c:f>
              <c:numCache>
                <c:formatCode>0.000</c:formatCode>
                <c:ptCount val="343"/>
                <c:pt idx="0">
                  <c:v>1</c:v>
                </c:pt>
                <c:pt idx="1">
                  <c:v>0.70711000000000002</c:v>
                </c:pt>
                <c:pt idx="2">
                  <c:v>0.57735000000000003</c:v>
                </c:pt>
                <c:pt idx="3">
                  <c:v>0.5</c:v>
                </c:pt>
                <c:pt idx="4">
                  <c:v>0.44721</c:v>
                </c:pt>
                <c:pt idx="5">
                  <c:v>0.40825</c:v>
                </c:pt>
                <c:pt idx="6">
                  <c:v>0.37796000000000002</c:v>
                </c:pt>
                <c:pt idx="7">
                  <c:v>0.35354999999999998</c:v>
                </c:pt>
                <c:pt idx="8">
                  <c:v>0.33333000000000002</c:v>
                </c:pt>
                <c:pt idx="9">
                  <c:v>0.31623000000000001</c:v>
                </c:pt>
                <c:pt idx="10">
                  <c:v>0.30151</c:v>
                </c:pt>
                <c:pt idx="11">
                  <c:v>0.28867999999999999</c:v>
                </c:pt>
                <c:pt idx="12">
                  <c:v>0.27734999999999999</c:v>
                </c:pt>
                <c:pt idx="13">
                  <c:v>0.26726</c:v>
                </c:pt>
                <c:pt idx="14">
                  <c:v>0.25819999999999999</c:v>
                </c:pt>
                <c:pt idx="15">
                  <c:v>0.25</c:v>
                </c:pt>
                <c:pt idx="16">
                  <c:v>0.24254000000000001</c:v>
                </c:pt>
                <c:pt idx="17">
                  <c:v>0.23569999999999999</c:v>
                </c:pt>
                <c:pt idx="18">
                  <c:v>0.22942000000000001</c:v>
                </c:pt>
                <c:pt idx="19">
                  <c:v>0.22361</c:v>
                </c:pt>
                <c:pt idx="20">
                  <c:v>0.21822</c:v>
                </c:pt>
                <c:pt idx="21">
                  <c:v>0.2132</c:v>
                </c:pt>
                <c:pt idx="22">
                  <c:v>0.20851</c:v>
                </c:pt>
                <c:pt idx="23">
                  <c:v>0.20412</c:v>
                </c:pt>
                <c:pt idx="24">
                  <c:v>0.2</c:v>
                </c:pt>
                <c:pt idx="25">
                  <c:v>0.19611999999999999</c:v>
                </c:pt>
                <c:pt idx="26">
                  <c:v>0.19245000000000001</c:v>
                </c:pt>
                <c:pt idx="27">
                  <c:v>0.18898000000000001</c:v>
                </c:pt>
                <c:pt idx="28">
                  <c:v>0.1857</c:v>
                </c:pt>
                <c:pt idx="29">
                  <c:v>0.18257000000000001</c:v>
                </c:pt>
                <c:pt idx="30">
                  <c:v>0.17960999999999999</c:v>
                </c:pt>
                <c:pt idx="31">
                  <c:v>0.17677999999999999</c:v>
                </c:pt>
                <c:pt idx="32">
                  <c:v>0.17408000000000001</c:v>
                </c:pt>
                <c:pt idx="33">
                  <c:v>0.17150000000000001</c:v>
                </c:pt>
                <c:pt idx="34">
                  <c:v>0.16903000000000001</c:v>
                </c:pt>
                <c:pt idx="35">
                  <c:v>0.16667000000000001</c:v>
                </c:pt>
                <c:pt idx="36">
                  <c:v>0.16439999999999999</c:v>
                </c:pt>
                <c:pt idx="37">
                  <c:v>0.16222</c:v>
                </c:pt>
                <c:pt idx="38">
                  <c:v>0.16012999999999999</c:v>
                </c:pt>
                <c:pt idx="39">
                  <c:v>0.15811</c:v>
                </c:pt>
                <c:pt idx="40">
                  <c:v>0.15617</c:v>
                </c:pt>
                <c:pt idx="41">
                  <c:v>0.15429999999999999</c:v>
                </c:pt>
                <c:pt idx="42">
                  <c:v>0.1525</c:v>
                </c:pt>
                <c:pt idx="43">
                  <c:v>0.15076000000000001</c:v>
                </c:pt>
                <c:pt idx="44">
                  <c:v>0.14907000000000001</c:v>
                </c:pt>
                <c:pt idx="45">
                  <c:v>0.14743999999999999</c:v>
                </c:pt>
                <c:pt idx="46">
                  <c:v>0.14585999999999999</c:v>
                </c:pt>
                <c:pt idx="47">
                  <c:v>0.14434</c:v>
                </c:pt>
                <c:pt idx="48">
                  <c:v>0.14285999999999999</c:v>
                </c:pt>
                <c:pt idx="49">
                  <c:v>0.14141999999999999</c:v>
                </c:pt>
                <c:pt idx="50">
                  <c:v>0.14002999999999999</c:v>
                </c:pt>
                <c:pt idx="51">
                  <c:v>0.13868</c:v>
                </c:pt>
                <c:pt idx="52">
                  <c:v>0.13736000000000001</c:v>
                </c:pt>
                <c:pt idx="53">
                  <c:v>0.13608000000000001</c:v>
                </c:pt>
                <c:pt idx="54">
                  <c:v>0.13483999999999999</c:v>
                </c:pt>
                <c:pt idx="55">
                  <c:v>0.13363</c:v>
                </c:pt>
                <c:pt idx="56">
                  <c:v>0.13245000000000001</c:v>
                </c:pt>
                <c:pt idx="57">
                  <c:v>0.13131000000000001</c:v>
                </c:pt>
                <c:pt idx="58">
                  <c:v>0.13019</c:v>
                </c:pt>
                <c:pt idx="59">
                  <c:v>0.12909999999999999</c:v>
                </c:pt>
                <c:pt idx="60">
                  <c:v>0.12803999999999999</c:v>
                </c:pt>
                <c:pt idx="61">
                  <c:v>0.127</c:v>
                </c:pt>
                <c:pt idx="62">
                  <c:v>0.12598999999999999</c:v>
                </c:pt>
                <c:pt idx="63">
                  <c:v>0.125</c:v>
                </c:pt>
                <c:pt idx="64">
                  <c:v>0.12403</c:v>
                </c:pt>
                <c:pt idx="65">
                  <c:v>0.12309</c:v>
                </c:pt>
                <c:pt idx="66">
                  <c:v>0.12217</c:v>
                </c:pt>
                <c:pt idx="67">
                  <c:v>0.12127</c:v>
                </c:pt>
                <c:pt idx="68">
                  <c:v>0.12039</c:v>
                </c:pt>
                <c:pt idx="69">
                  <c:v>0.11952</c:v>
                </c:pt>
                <c:pt idx="70">
                  <c:v>0.11867999999999999</c:v>
                </c:pt>
                <c:pt idx="71">
                  <c:v>0.11785</c:v>
                </c:pt>
                <c:pt idx="72">
                  <c:v>0.11704000000000001</c:v>
                </c:pt>
                <c:pt idx="73">
                  <c:v>0.11625000000000001</c:v>
                </c:pt>
                <c:pt idx="74">
                  <c:v>0.11547</c:v>
                </c:pt>
                <c:pt idx="75">
                  <c:v>0.11471000000000001</c:v>
                </c:pt>
                <c:pt idx="76">
                  <c:v>0.11396000000000001</c:v>
                </c:pt>
                <c:pt idx="77">
                  <c:v>0.11323</c:v>
                </c:pt>
                <c:pt idx="78">
                  <c:v>0.11251</c:v>
                </c:pt>
                <c:pt idx="79">
                  <c:v>0.1118</c:v>
                </c:pt>
                <c:pt idx="80">
                  <c:v>0.11111</c:v>
                </c:pt>
                <c:pt idx="81">
                  <c:v>0.11043</c:v>
                </c:pt>
                <c:pt idx="82">
                  <c:v>0.10976</c:v>
                </c:pt>
                <c:pt idx="83">
                  <c:v>0.10911</c:v>
                </c:pt>
                <c:pt idx="84">
                  <c:v>0.10847</c:v>
                </c:pt>
                <c:pt idx="85">
                  <c:v>0.10783</c:v>
                </c:pt>
                <c:pt idx="86">
                  <c:v>0.10721</c:v>
                </c:pt>
                <c:pt idx="87">
                  <c:v>0.1066</c:v>
                </c:pt>
                <c:pt idx="88">
                  <c:v>0.106</c:v>
                </c:pt>
                <c:pt idx="89">
                  <c:v>0.10541</c:v>
                </c:pt>
                <c:pt idx="90">
                  <c:v>0.10483000000000001</c:v>
                </c:pt>
                <c:pt idx="91">
                  <c:v>0.10426000000000001</c:v>
                </c:pt>
                <c:pt idx="92">
                  <c:v>0.1037</c:v>
                </c:pt>
                <c:pt idx="93">
                  <c:v>0.10314</c:v>
                </c:pt>
                <c:pt idx="94">
                  <c:v>0.1026</c:v>
                </c:pt>
                <c:pt idx="95">
                  <c:v>0.10206</c:v>
                </c:pt>
                <c:pt idx="96">
                  <c:v>0.10153</c:v>
                </c:pt>
                <c:pt idx="97">
                  <c:v>0.10102</c:v>
                </c:pt>
                <c:pt idx="98">
                  <c:v>0.10050000000000001</c:v>
                </c:pt>
                <c:pt idx="99">
                  <c:v>0.1</c:v>
                </c:pt>
                <c:pt idx="100">
                  <c:v>9.9500000000000005E-2</c:v>
                </c:pt>
                <c:pt idx="101">
                  <c:v>9.9010000000000001E-2</c:v>
                </c:pt>
                <c:pt idx="102">
                  <c:v>9.8530000000000006E-2</c:v>
                </c:pt>
                <c:pt idx="103">
                  <c:v>9.8059999999999994E-2</c:v>
                </c:pt>
                <c:pt idx="104">
                  <c:v>9.7589999999999996E-2</c:v>
                </c:pt>
                <c:pt idx="105">
                  <c:v>9.7129999999999994E-2</c:v>
                </c:pt>
                <c:pt idx="106">
                  <c:v>9.6670000000000006E-2</c:v>
                </c:pt>
                <c:pt idx="107">
                  <c:v>9.6229999999999996E-2</c:v>
                </c:pt>
                <c:pt idx="108">
                  <c:v>9.5780000000000004E-2</c:v>
                </c:pt>
                <c:pt idx="109">
                  <c:v>9.5350000000000004E-2</c:v>
                </c:pt>
                <c:pt idx="110">
                  <c:v>9.4920000000000004E-2</c:v>
                </c:pt>
                <c:pt idx="111">
                  <c:v>9.4490000000000005E-2</c:v>
                </c:pt>
                <c:pt idx="112">
                  <c:v>9.4070000000000001E-2</c:v>
                </c:pt>
                <c:pt idx="113">
                  <c:v>9.3659999999999993E-2</c:v>
                </c:pt>
                <c:pt idx="114">
                  <c:v>9.325E-2</c:v>
                </c:pt>
                <c:pt idx="115">
                  <c:v>9.2850000000000002E-2</c:v>
                </c:pt>
                <c:pt idx="116">
                  <c:v>9.2450000000000004E-2</c:v>
                </c:pt>
                <c:pt idx="117">
                  <c:v>9.2060000000000003E-2</c:v>
                </c:pt>
                <c:pt idx="118">
                  <c:v>9.1670000000000001E-2</c:v>
                </c:pt>
                <c:pt idx="119">
                  <c:v>9.1289999999999996E-2</c:v>
                </c:pt>
                <c:pt idx="120">
                  <c:v>9.0910000000000005E-2</c:v>
                </c:pt>
                <c:pt idx="121">
                  <c:v>9.0539999999999995E-2</c:v>
                </c:pt>
                <c:pt idx="122">
                  <c:v>9.017E-2</c:v>
                </c:pt>
                <c:pt idx="123">
                  <c:v>8.9800000000000005E-2</c:v>
                </c:pt>
                <c:pt idx="124">
                  <c:v>8.9440000000000006E-2</c:v>
                </c:pt>
                <c:pt idx="125">
                  <c:v>8.9090000000000003E-2</c:v>
                </c:pt>
                <c:pt idx="126">
                  <c:v>8.8739999999999999E-2</c:v>
                </c:pt>
                <c:pt idx="127">
                  <c:v>8.8389999999999996E-2</c:v>
                </c:pt>
                <c:pt idx="128">
                  <c:v>8.8050000000000003E-2</c:v>
                </c:pt>
                <c:pt idx="129">
                  <c:v>8.7709999999999996E-2</c:v>
                </c:pt>
                <c:pt idx="130">
                  <c:v>8.7370000000000003E-2</c:v>
                </c:pt>
                <c:pt idx="131">
                  <c:v>8.7040000000000006E-2</c:v>
                </c:pt>
                <c:pt idx="132">
                  <c:v>8.6709999999999995E-2</c:v>
                </c:pt>
                <c:pt idx="133">
                  <c:v>8.6389999999999995E-2</c:v>
                </c:pt>
                <c:pt idx="134">
                  <c:v>8.6069999999999994E-2</c:v>
                </c:pt>
                <c:pt idx="135">
                  <c:v>8.5750000000000007E-2</c:v>
                </c:pt>
                <c:pt idx="136">
                  <c:v>8.5440000000000002E-2</c:v>
                </c:pt>
                <c:pt idx="137">
                  <c:v>8.5129999999999997E-2</c:v>
                </c:pt>
                <c:pt idx="138">
                  <c:v>8.4820000000000007E-2</c:v>
                </c:pt>
                <c:pt idx="139">
                  <c:v>8.4519999999999998E-2</c:v>
                </c:pt>
                <c:pt idx="140">
                  <c:v>8.4220000000000003E-2</c:v>
                </c:pt>
                <c:pt idx="141">
                  <c:v>8.3919999999999995E-2</c:v>
                </c:pt>
                <c:pt idx="142">
                  <c:v>8.362E-2</c:v>
                </c:pt>
                <c:pt idx="143">
                  <c:v>8.3330000000000001E-2</c:v>
                </c:pt>
                <c:pt idx="144">
                  <c:v>8.3049999999999999E-2</c:v>
                </c:pt>
                <c:pt idx="145">
                  <c:v>8.276E-2</c:v>
                </c:pt>
                <c:pt idx="146">
                  <c:v>8.2479999999999998E-2</c:v>
                </c:pt>
                <c:pt idx="147">
                  <c:v>8.2199999999999995E-2</c:v>
                </c:pt>
                <c:pt idx="148">
                  <c:v>8.1920000000000007E-2</c:v>
                </c:pt>
                <c:pt idx="149">
                  <c:v>8.165E-2</c:v>
                </c:pt>
                <c:pt idx="150">
                  <c:v>8.1379999999999994E-2</c:v>
                </c:pt>
                <c:pt idx="151">
                  <c:v>8.1110000000000002E-2</c:v>
                </c:pt>
                <c:pt idx="152">
                  <c:v>8.0850000000000005E-2</c:v>
                </c:pt>
                <c:pt idx="153">
                  <c:v>8.0579999999999999E-2</c:v>
                </c:pt>
                <c:pt idx="154">
                  <c:v>8.0320000000000003E-2</c:v>
                </c:pt>
                <c:pt idx="155">
                  <c:v>8.0060000000000006E-2</c:v>
                </c:pt>
                <c:pt idx="156">
                  <c:v>7.9810000000000006E-2</c:v>
                </c:pt>
                <c:pt idx="157">
                  <c:v>7.9560000000000006E-2</c:v>
                </c:pt>
                <c:pt idx="158">
                  <c:v>7.9310000000000005E-2</c:v>
                </c:pt>
                <c:pt idx="159">
                  <c:v>7.9060000000000005E-2</c:v>
                </c:pt>
                <c:pt idx="160">
                  <c:v>7.8810000000000005E-2</c:v>
                </c:pt>
                <c:pt idx="161">
                  <c:v>7.8570000000000001E-2</c:v>
                </c:pt>
                <c:pt idx="162">
                  <c:v>7.8329999999999997E-2</c:v>
                </c:pt>
                <c:pt idx="163">
                  <c:v>7.8090000000000007E-2</c:v>
                </c:pt>
                <c:pt idx="164">
                  <c:v>7.7850000000000003E-2</c:v>
                </c:pt>
                <c:pt idx="165">
                  <c:v>7.7619999999999995E-2</c:v>
                </c:pt>
                <c:pt idx="166">
                  <c:v>7.7380000000000004E-2</c:v>
                </c:pt>
                <c:pt idx="167">
                  <c:v>7.7149999999999996E-2</c:v>
                </c:pt>
                <c:pt idx="168">
                  <c:v>7.6920000000000002E-2</c:v>
                </c:pt>
                <c:pt idx="169">
                  <c:v>7.6700000000000004E-2</c:v>
                </c:pt>
                <c:pt idx="170">
                  <c:v>7.6469999999999996E-2</c:v>
                </c:pt>
                <c:pt idx="171">
                  <c:v>7.6249999999999998E-2</c:v>
                </c:pt>
                <c:pt idx="172">
                  <c:v>7.603E-2</c:v>
                </c:pt>
                <c:pt idx="173">
                  <c:v>7.5810000000000002E-2</c:v>
                </c:pt>
                <c:pt idx="174">
                  <c:v>7.5590000000000004E-2</c:v>
                </c:pt>
                <c:pt idx="175">
                  <c:v>7.5380000000000003E-2</c:v>
                </c:pt>
                <c:pt idx="176">
                  <c:v>7.5160000000000005E-2</c:v>
                </c:pt>
                <c:pt idx="177">
                  <c:v>7.4950000000000003E-2</c:v>
                </c:pt>
                <c:pt idx="178">
                  <c:v>7.4740000000000001E-2</c:v>
                </c:pt>
                <c:pt idx="179">
                  <c:v>7.4539999999999995E-2</c:v>
                </c:pt>
                <c:pt idx="180">
                  <c:v>7.4329999999999993E-2</c:v>
                </c:pt>
                <c:pt idx="181">
                  <c:v>7.4120000000000005E-2</c:v>
                </c:pt>
                <c:pt idx="182">
                  <c:v>7.392E-2</c:v>
                </c:pt>
                <c:pt idx="183">
                  <c:v>7.3719999999999994E-2</c:v>
                </c:pt>
                <c:pt idx="184">
                  <c:v>7.3520000000000002E-2</c:v>
                </c:pt>
                <c:pt idx="185">
                  <c:v>7.3319999999999996E-2</c:v>
                </c:pt>
                <c:pt idx="186">
                  <c:v>7.3130000000000001E-2</c:v>
                </c:pt>
                <c:pt idx="187">
                  <c:v>7.2929999999999995E-2</c:v>
                </c:pt>
                <c:pt idx="188">
                  <c:v>7.2739999999999999E-2</c:v>
                </c:pt>
                <c:pt idx="189">
                  <c:v>7.2550000000000003E-2</c:v>
                </c:pt>
                <c:pt idx="190">
                  <c:v>7.2359999999999994E-2</c:v>
                </c:pt>
                <c:pt idx="191">
                  <c:v>7.2169999999999998E-2</c:v>
                </c:pt>
                <c:pt idx="192">
                  <c:v>7.1980000000000002E-2</c:v>
                </c:pt>
                <c:pt idx="193">
                  <c:v>7.1800000000000003E-2</c:v>
                </c:pt>
                <c:pt idx="194">
                  <c:v>7.1609999999999993E-2</c:v>
                </c:pt>
                <c:pt idx="195">
                  <c:v>7.1429999999999993E-2</c:v>
                </c:pt>
                <c:pt idx="196">
                  <c:v>7.1249999999999994E-2</c:v>
                </c:pt>
                <c:pt idx="197">
                  <c:v>7.1069999999999994E-2</c:v>
                </c:pt>
                <c:pt idx="198">
                  <c:v>7.0889999999999995E-2</c:v>
                </c:pt>
                <c:pt idx="199">
                  <c:v>7.0709999999999995E-2</c:v>
                </c:pt>
                <c:pt idx="200">
                  <c:v>7.0529999999999995E-2</c:v>
                </c:pt>
                <c:pt idx="201">
                  <c:v>7.0360000000000006E-2</c:v>
                </c:pt>
                <c:pt idx="202">
                  <c:v>7.0190000000000002E-2</c:v>
                </c:pt>
                <c:pt idx="203">
                  <c:v>7.0010000000000003E-2</c:v>
                </c:pt>
                <c:pt idx="204">
                  <c:v>6.9839999999999999E-2</c:v>
                </c:pt>
                <c:pt idx="205">
                  <c:v>6.9669999999999996E-2</c:v>
                </c:pt>
                <c:pt idx="206">
                  <c:v>6.9500000000000006E-2</c:v>
                </c:pt>
                <c:pt idx="207">
                  <c:v>6.9339999999999999E-2</c:v>
                </c:pt>
                <c:pt idx="208">
                  <c:v>6.9169999999999995E-2</c:v>
                </c:pt>
                <c:pt idx="209">
                  <c:v>6.9010000000000002E-2</c:v>
                </c:pt>
                <c:pt idx="210">
                  <c:v>6.8839999999999998E-2</c:v>
                </c:pt>
                <c:pt idx="211">
                  <c:v>6.8680000000000005E-2</c:v>
                </c:pt>
                <c:pt idx="212">
                  <c:v>6.8519999999999998E-2</c:v>
                </c:pt>
                <c:pt idx="213">
                  <c:v>6.8360000000000004E-2</c:v>
                </c:pt>
                <c:pt idx="214">
                  <c:v>6.8199999999999997E-2</c:v>
                </c:pt>
                <c:pt idx="215">
                  <c:v>6.8040000000000003E-2</c:v>
                </c:pt>
                <c:pt idx="216">
                  <c:v>6.7879999999999996E-2</c:v>
                </c:pt>
                <c:pt idx="217">
                  <c:v>6.7729999999999999E-2</c:v>
                </c:pt>
                <c:pt idx="218">
                  <c:v>6.7570000000000005E-2</c:v>
                </c:pt>
                <c:pt idx="219">
                  <c:v>6.7419999999999994E-2</c:v>
                </c:pt>
                <c:pt idx="220">
                  <c:v>6.7269999999999996E-2</c:v>
                </c:pt>
                <c:pt idx="221">
                  <c:v>6.7119999999999999E-2</c:v>
                </c:pt>
                <c:pt idx="222">
                  <c:v>6.6960000000000006E-2</c:v>
                </c:pt>
                <c:pt idx="223">
                  <c:v>6.6820000000000004E-2</c:v>
                </c:pt>
                <c:pt idx="224">
                  <c:v>6.6669999999999993E-2</c:v>
                </c:pt>
                <c:pt idx="225">
                  <c:v>6.6519999999999996E-2</c:v>
                </c:pt>
                <c:pt idx="226">
                  <c:v>6.6369999999999998E-2</c:v>
                </c:pt>
                <c:pt idx="227">
                  <c:v>6.6229999999999997E-2</c:v>
                </c:pt>
                <c:pt idx="228">
                  <c:v>6.608E-2</c:v>
                </c:pt>
                <c:pt idx="229">
                  <c:v>6.5939999999999999E-2</c:v>
                </c:pt>
                <c:pt idx="230">
                  <c:v>6.5799999999999997E-2</c:v>
                </c:pt>
                <c:pt idx="231">
                  <c:v>6.565E-2</c:v>
                </c:pt>
                <c:pt idx="232">
                  <c:v>6.5509999999999999E-2</c:v>
                </c:pt>
                <c:pt idx="233">
                  <c:v>6.5369999999999998E-2</c:v>
                </c:pt>
                <c:pt idx="234">
                  <c:v>6.5229999999999996E-2</c:v>
                </c:pt>
                <c:pt idx="235">
                  <c:v>6.5089999999999995E-2</c:v>
                </c:pt>
                <c:pt idx="236">
                  <c:v>6.4960000000000004E-2</c:v>
                </c:pt>
                <c:pt idx="237">
                  <c:v>6.4820000000000003E-2</c:v>
                </c:pt>
                <c:pt idx="238">
                  <c:v>6.4680000000000001E-2</c:v>
                </c:pt>
                <c:pt idx="239">
                  <c:v>6.4549999999999996E-2</c:v>
                </c:pt>
                <c:pt idx="240">
                  <c:v>6.4420000000000005E-2</c:v>
                </c:pt>
                <c:pt idx="241">
                  <c:v>6.4280000000000004E-2</c:v>
                </c:pt>
                <c:pt idx="242">
                  <c:v>6.4149999999999999E-2</c:v>
                </c:pt>
                <c:pt idx="243">
                  <c:v>6.4019999999999994E-2</c:v>
                </c:pt>
                <c:pt idx="244">
                  <c:v>6.3890000000000002E-2</c:v>
                </c:pt>
                <c:pt idx="245">
                  <c:v>6.3759999999999997E-2</c:v>
                </c:pt>
                <c:pt idx="246">
                  <c:v>6.3630000000000006E-2</c:v>
                </c:pt>
                <c:pt idx="247">
                  <c:v>6.3500000000000001E-2</c:v>
                </c:pt>
                <c:pt idx="248">
                  <c:v>6.3369999999999996E-2</c:v>
                </c:pt>
                <c:pt idx="249">
                  <c:v>6.3250000000000001E-2</c:v>
                </c:pt>
                <c:pt idx="250">
                  <c:v>6.3119999999999996E-2</c:v>
                </c:pt>
                <c:pt idx="251">
                  <c:v>6.2990000000000004E-2</c:v>
                </c:pt>
                <c:pt idx="252">
                  <c:v>6.2869999999999995E-2</c:v>
                </c:pt>
                <c:pt idx="253">
                  <c:v>6.275E-2</c:v>
                </c:pt>
                <c:pt idx="254">
                  <c:v>6.2619999999999995E-2</c:v>
                </c:pt>
                <c:pt idx="255">
                  <c:v>6.25E-2</c:v>
                </c:pt>
                <c:pt idx="256">
                  <c:v>6.2379999999999998E-2</c:v>
                </c:pt>
                <c:pt idx="257">
                  <c:v>6.2260000000000003E-2</c:v>
                </c:pt>
                <c:pt idx="258">
                  <c:v>6.2140000000000001E-2</c:v>
                </c:pt>
                <c:pt idx="259">
                  <c:v>6.2019999999999999E-2</c:v>
                </c:pt>
                <c:pt idx="260">
                  <c:v>6.1899999999999997E-2</c:v>
                </c:pt>
                <c:pt idx="261">
                  <c:v>6.1780000000000002E-2</c:v>
                </c:pt>
                <c:pt idx="262">
                  <c:v>6.166E-2</c:v>
                </c:pt>
                <c:pt idx="263">
                  <c:v>6.1550000000000001E-2</c:v>
                </c:pt>
                <c:pt idx="264">
                  <c:v>6.1429999999999998E-2</c:v>
                </c:pt>
                <c:pt idx="265">
                  <c:v>6.1310000000000003E-2</c:v>
                </c:pt>
                <c:pt idx="266">
                  <c:v>6.1199999999999997E-2</c:v>
                </c:pt>
                <c:pt idx="267">
                  <c:v>6.1080000000000002E-2</c:v>
                </c:pt>
                <c:pt idx="268">
                  <c:v>6.0970000000000003E-2</c:v>
                </c:pt>
                <c:pt idx="269">
                  <c:v>6.0859999999999997E-2</c:v>
                </c:pt>
                <c:pt idx="270">
                  <c:v>6.0749999999999998E-2</c:v>
                </c:pt>
                <c:pt idx="271">
                  <c:v>6.0630000000000003E-2</c:v>
                </c:pt>
                <c:pt idx="272">
                  <c:v>6.0519999999999997E-2</c:v>
                </c:pt>
                <c:pt idx="273">
                  <c:v>6.0409999999999998E-2</c:v>
                </c:pt>
                <c:pt idx="274">
                  <c:v>6.0299999999999999E-2</c:v>
                </c:pt>
                <c:pt idx="275">
                  <c:v>6.019E-2</c:v>
                </c:pt>
                <c:pt idx="276">
                  <c:v>6.0080000000000001E-2</c:v>
                </c:pt>
                <c:pt idx="277">
                  <c:v>5.9979999999999999E-2</c:v>
                </c:pt>
                <c:pt idx="278">
                  <c:v>5.987E-2</c:v>
                </c:pt>
                <c:pt idx="279">
                  <c:v>5.9760000000000001E-2</c:v>
                </c:pt>
                <c:pt idx="280">
                  <c:v>5.9650000000000002E-2</c:v>
                </c:pt>
                <c:pt idx="281">
                  <c:v>5.9549999999999999E-2</c:v>
                </c:pt>
                <c:pt idx="282">
                  <c:v>5.944E-2</c:v>
                </c:pt>
                <c:pt idx="283">
                  <c:v>5.9339999999999997E-2</c:v>
                </c:pt>
                <c:pt idx="284">
                  <c:v>5.9229999999999998E-2</c:v>
                </c:pt>
                <c:pt idx="285">
                  <c:v>5.9130000000000002E-2</c:v>
                </c:pt>
                <c:pt idx="286">
                  <c:v>5.9029999999999999E-2</c:v>
                </c:pt>
                <c:pt idx="287">
                  <c:v>5.8930000000000003E-2</c:v>
                </c:pt>
                <c:pt idx="288">
                  <c:v>5.8819999999999997E-2</c:v>
                </c:pt>
                <c:pt idx="289">
                  <c:v>5.8720000000000001E-2</c:v>
                </c:pt>
                <c:pt idx="290">
                  <c:v>5.8619999999999998E-2</c:v>
                </c:pt>
                <c:pt idx="291">
                  <c:v>5.8520000000000003E-2</c:v>
                </c:pt>
                <c:pt idx="292">
                  <c:v>5.842E-2</c:v>
                </c:pt>
                <c:pt idx="293">
                  <c:v>5.8319999999999997E-2</c:v>
                </c:pt>
                <c:pt idx="294">
                  <c:v>5.8220000000000001E-2</c:v>
                </c:pt>
                <c:pt idx="295">
                  <c:v>5.8119999999999998E-2</c:v>
                </c:pt>
                <c:pt idx="296">
                  <c:v>5.8029999999999998E-2</c:v>
                </c:pt>
                <c:pt idx="297">
                  <c:v>5.7930000000000002E-2</c:v>
                </c:pt>
                <c:pt idx="298">
                  <c:v>5.7829999999999999E-2</c:v>
                </c:pt>
                <c:pt idx="299">
                  <c:v>5.774E-2</c:v>
                </c:pt>
                <c:pt idx="300">
                  <c:v>5.7639999999999997E-2</c:v>
                </c:pt>
                <c:pt idx="301">
                  <c:v>5.7540000000000001E-2</c:v>
                </c:pt>
                <c:pt idx="302">
                  <c:v>5.7450000000000001E-2</c:v>
                </c:pt>
                <c:pt idx="303">
                  <c:v>5.7349999999999998E-2</c:v>
                </c:pt>
                <c:pt idx="304">
                  <c:v>5.7259999999999998E-2</c:v>
                </c:pt>
                <c:pt idx="305">
                  <c:v>5.7169999999999999E-2</c:v>
                </c:pt>
                <c:pt idx="306">
                  <c:v>5.7070000000000003E-2</c:v>
                </c:pt>
                <c:pt idx="307">
                  <c:v>5.6980000000000003E-2</c:v>
                </c:pt>
                <c:pt idx="308">
                  <c:v>5.6890000000000003E-2</c:v>
                </c:pt>
                <c:pt idx="309">
                  <c:v>5.6800000000000003E-2</c:v>
                </c:pt>
                <c:pt idx="310">
                  <c:v>5.67E-2</c:v>
                </c:pt>
                <c:pt idx="311">
                  <c:v>5.6610000000000001E-2</c:v>
                </c:pt>
                <c:pt idx="312">
                  <c:v>5.6520000000000001E-2</c:v>
                </c:pt>
                <c:pt idx="313">
                  <c:v>5.6430000000000001E-2</c:v>
                </c:pt>
                <c:pt idx="314">
                  <c:v>5.6340000000000001E-2</c:v>
                </c:pt>
                <c:pt idx="315">
                  <c:v>5.6250000000000001E-2</c:v>
                </c:pt>
                <c:pt idx="316">
                  <c:v>5.6169999999999998E-2</c:v>
                </c:pt>
                <c:pt idx="317">
                  <c:v>5.6079999999999998E-2</c:v>
                </c:pt>
                <c:pt idx="318">
                  <c:v>5.5989999999999998E-2</c:v>
                </c:pt>
                <c:pt idx="319">
                  <c:v>5.5899999999999998E-2</c:v>
                </c:pt>
                <c:pt idx="320">
                  <c:v>5.5809999999999998E-2</c:v>
                </c:pt>
                <c:pt idx="321">
                  <c:v>5.5730000000000002E-2</c:v>
                </c:pt>
                <c:pt idx="322">
                  <c:v>5.5640000000000002E-2</c:v>
                </c:pt>
                <c:pt idx="323">
                  <c:v>5.5559999999999998E-2</c:v>
                </c:pt>
                <c:pt idx="324">
                  <c:v>5.5469999999999998E-2</c:v>
                </c:pt>
                <c:pt idx="325">
                  <c:v>5.5379999999999999E-2</c:v>
                </c:pt>
                <c:pt idx="326">
                  <c:v>5.5300000000000002E-2</c:v>
                </c:pt>
                <c:pt idx="327">
                  <c:v>5.5219999999999998E-2</c:v>
                </c:pt>
                <c:pt idx="328">
                  <c:v>5.5129999999999998E-2</c:v>
                </c:pt>
                <c:pt idx="329">
                  <c:v>5.5050000000000002E-2</c:v>
                </c:pt>
                <c:pt idx="330">
                  <c:v>5.4960000000000002E-2</c:v>
                </c:pt>
                <c:pt idx="331">
                  <c:v>5.4879999999999998E-2</c:v>
                </c:pt>
                <c:pt idx="332">
                  <c:v>5.4800000000000001E-2</c:v>
                </c:pt>
                <c:pt idx="333">
                  <c:v>5.4719999999999998E-2</c:v>
                </c:pt>
                <c:pt idx="334">
                  <c:v>5.4640000000000001E-2</c:v>
                </c:pt>
                <c:pt idx="335">
                  <c:v>5.4550000000000001E-2</c:v>
                </c:pt>
                <c:pt idx="336">
                  <c:v>5.4469999999999998E-2</c:v>
                </c:pt>
                <c:pt idx="337">
                  <c:v>5.4390000000000001E-2</c:v>
                </c:pt>
                <c:pt idx="338">
                  <c:v>5.4309999999999997E-2</c:v>
                </c:pt>
                <c:pt idx="339">
                  <c:v>5.423E-2</c:v>
                </c:pt>
                <c:pt idx="340">
                  <c:v>5.4149999999999997E-2</c:v>
                </c:pt>
                <c:pt idx="341">
                  <c:v>5.407E-2</c:v>
                </c:pt>
                <c:pt idx="342">
                  <c:v>5.3990000000000003E-2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90-4C20-84A4-C55B9AB2FEFB}"/>
            </c:ext>
          </c:extLst>
        </c:ser>
        <c:ser>
          <c:idx val="2"/>
          <c:order val="1"/>
          <c:tx>
            <c:v>4-4.4</c:v>
          </c:tx>
          <c:spPr>
            <a:ln w="28575">
              <a:noFill/>
            </a:ln>
          </c:spPr>
          <c:xVal>
            <c:numRef>
              <c:f>'COMPLETENESS ANALYSIS'!$C$4:$C$346</c:f>
              <c:numCache>
                <c:formatCode>General</c:formatCode>
                <c:ptCount val="3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</c:numCache>
            </c:numRef>
          </c:xVal>
          <c:yVal>
            <c:numRef>
              <c:f>'COMPLETENESS ANALYSIS'!$J$6:$J$346</c:f>
              <c:numCache>
                <c:formatCode>0.000</c:formatCode>
                <c:ptCount val="341"/>
                <c:pt idx="0">
                  <c:v>0.33333000000000002</c:v>
                </c:pt>
                <c:pt idx="1">
                  <c:v>0.25</c:v>
                </c:pt>
                <c:pt idx="2">
                  <c:v>0.48988999999999999</c:v>
                </c:pt>
                <c:pt idx="3">
                  <c:v>0.44096000000000002</c:v>
                </c:pt>
                <c:pt idx="4">
                  <c:v>0.49486999999999998</c:v>
                </c:pt>
                <c:pt idx="5">
                  <c:v>0.4677</c:v>
                </c:pt>
                <c:pt idx="6">
                  <c:v>0.45812000000000003</c:v>
                </c:pt>
                <c:pt idx="7">
                  <c:v>0.42426999999999998</c:v>
                </c:pt>
                <c:pt idx="8">
                  <c:v>0.40655999999999998</c:v>
                </c:pt>
                <c:pt idx="9">
                  <c:v>0.38189000000000001</c:v>
                </c:pt>
                <c:pt idx="10">
                  <c:v>0.38462000000000002</c:v>
                </c:pt>
                <c:pt idx="11">
                  <c:v>0.36420999999999998</c:v>
                </c:pt>
                <c:pt idx="12">
                  <c:v>0.35901</c:v>
                </c:pt>
                <c:pt idx="13">
                  <c:v>0.36975000000000002</c:v>
                </c:pt>
                <c:pt idx="14">
                  <c:v>0.34800999999999999</c:v>
                </c:pt>
                <c:pt idx="15">
                  <c:v>0.33793000000000001</c:v>
                </c:pt>
                <c:pt idx="16">
                  <c:v>0.34110000000000001</c:v>
                </c:pt>
                <c:pt idx="17">
                  <c:v>0.34278999999999998</c:v>
                </c:pt>
                <c:pt idx="18">
                  <c:v>0.34006999999999998</c:v>
                </c:pt>
                <c:pt idx="19">
                  <c:v>0.33090999999999998</c:v>
                </c:pt>
                <c:pt idx="20">
                  <c:v>0.33395999999999998</c:v>
                </c:pt>
                <c:pt idx="21">
                  <c:v>0.32003999999999999</c:v>
                </c:pt>
                <c:pt idx="22">
                  <c:v>0.31241000000000002</c:v>
                </c:pt>
                <c:pt idx="23">
                  <c:v>0.30285000000000001</c:v>
                </c:pt>
                <c:pt idx="24">
                  <c:v>0.29163</c:v>
                </c:pt>
                <c:pt idx="25">
                  <c:v>0.28121000000000002</c:v>
                </c:pt>
                <c:pt idx="26">
                  <c:v>0.27151999999999998</c:v>
                </c:pt>
                <c:pt idx="27">
                  <c:v>0.26246000000000003</c:v>
                </c:pt>
                <c:pt idx="28">
                  <c:v>0.25401000000000001</c:v>
                </c:pt>
                <c:pt idx="29">
                  <c:v>0.24804000000000001</c:v>
                </c:pt>
                <c:pt idx="30">
                  <c:v>0.24052999999999999</c:v>
                </c:pt>
                <c:pt idx="31">
                  <c:v>0.23344999999999999</c:v>
                </c:pt>
                <c:pt idx="32">
                  <c:v>0.22678000000000001</c:v>
                </c:pt>
                <c:pt idx="33">
                  <c:v>0.22048000000000001</c:v>
                </c:pt>
                <c:pt idx="34">
                  <c:v>0.21622</c:v>
                </c:pt>
                <c:pt idx="35">
                  <c:v>0.21052000000000001</c:v>
                </c:pt>
                <c:pt idx="36">
                  <c:v>0.20513000000000001</c:v>
                </c:pt>
                <c:pt idx="37">
                  <c:v>0.2</c:v>
                </c:pt>
                <c:pt idx="38">
                  <c:v>0.19511999999999999</c:v>
                </c:pt>
                <c:pt idx="39">
                  <c:v>0.19047</c:v>
                </c:pt>
                <c:pt idx="40">
                  <c:v>0.18604999999999999</c:v>
                </c:pt>
                <c:pt idx="41">
                  <c:v>0.18182000000000001</c:v>
                </c:pt>
                <c:pt idx="42">
                  <c:v>0.17777999999999999</c:v>
                </c:pt>
                <c:pt idx="43">
                  <c:v>0.17391000000000001</c:v>
                </c:pt>
                <c:pt idx="44">
                  <c:v>0.17021</c:v>
                </c:pt>
                <c:pt idx="45">
                  <c:v>0.16667000000000001</c:v>
                </c:pt>
                <c:pt idx="46">
                  <c:v>0.16327</c:v>
                </c:pt>
                <c:pt idx="47">
                  <c:v>0.16</c:v>
                </c:pt>
                <c:pt idx="48">
                  <c:v>0.15686</c:v>
                </c:pt>
                <c:pt idx="49">
                  <c:v>0.15384999999999999</c:v>
                </c:pt>
                <c:pt idx="50">
                  <c:v>0.15093999999999999</c:v>
                </c:pt>
                <c:pt idx="51">
                  <c:v>0.14815</c:v>
                </c:pt>
                <c:pt idx="52">
                  <c:v>0.14545</c:v>
                </c:pt>
                <c:pt idx="53">
                  <c:v>0.14285999999999999</c:v>
                </c:pt>
                <c:pt idx="54">
                  <c:v>0.14035</c:v>
                </c:pt>
                <c:pt idx="55">
                  <c:v>0.13793</c:v>
                </c:pt>
                <c:pt idx="56">
                  <c:v>0.13558999999999999</c:v>
                </c:pt>
                <c:pt idx="57">
                  <c:v>0.13333</c:v>
                </c:pt>
                <c:pt idx="58">
                  <c:v>0.13114999999999999</c:v>
                </c:pt>
                <c:pt idx="59">
                  <c:v>0.12903000000000001</c:v>
                </c:pt>
                <c:pt idx="60">
                  <c:v>0.12698999999999999</c:v>
                </c:pt>
                <c:pt idx="61">
                  <c:v>0.125</c:v>
                </c:pt>
                <c:pt idx="62">
                  <c:v>0.12307</c:v>
                </c:pt>
                <c:pt idx="63">
                  <c:v>0.12121</c:v>
                </c:pt>
                <c:pt idx="64">
                  <c:v>0.11940000000000001</c:v>
                </c:pt>
                <c:pt idx="65">
                  <c:v>0.11765</c:v>
                </c:pt>
                <c:pt idx="66">
                  <c:v>0.11595</c:v>
                </c:pt>
                <c:pt idx="67">
                  <c:v>0.11428000000000001</c:v>
                </c:pt>
                <c:pt idx="68">
                  <c:v>0.11268</c:v>
                </c:pt>
                <c:pt idx="69">
                  <c:v>0.11111</c:v>
                </c:pt>
                <c:pt idx="70">
                  <c:v>0.10959000000000001</c:v>
                </c:pt>
                <c:pt idx="71">
                  <c:v>0.10811</c:v>
                </c:pt>
                <c:pt idx="72">
                  <c:v>0.10667</c:v>
                </c:pt>
                <c:pt idx="73">
                  <c:v>0.10527</c:v>
                </c:pt>
                <c:pt idx="74">
                  <c:v>0.10390000000000001</c:v>
                </c:pt>
                <c:pt idx="75">
                  <c:v>0.10256999999999999</c:v>
                </c:pt>
                <c:pt idx="76">
                  <c:v>0.10127</c:v>
                </c:pt>
                <c:pt idx="77">
                  <c:v>0.1</c:v>
                </c:pt>
                <c:pt idx="78">
                  <c:v>9.8760000000000001E-2</c:v>
                </c:pt>
                <c:pt idx="79">
                  <c:v>9.7559999999999994E-2</c:v>
                </c:pt>
                <c:pt idx="80">
                  <c:v>9.6379999999999993E-2</c:v>
                </c:pt>
                <c:pt idx="81">
                  <c:v>9.5240000000000005E-2</c:v>
                </c:pt>
                <c:pt idx="82">
                  <c:v>9.4119999999999995E-2</c:v>
                </c:pt>
                <c:pt idx="83">
                  <c:v>9.3020000000000005E-2</c:v>
                </c:pt>
                <c:pt idx="84">
                  <c:v>9.1950000000000004E-2</c:v>
                </c:pt>
                <c:pt idx="85">
                  <c:v>9.0910000000000005E-2</c:v>
                </c:pt>
                <c:pt idx="86">
                  <c:v>8.9889999999999998E-2</c:v>
                </c:pt>
                <c:pt idx="87">
                  <c:v>8.8889999999999997E-2</c:v>
                </c:pt>
                <c:pt idx="88">
                  <c:v>8.7910000000000002E-2</c:v>
                </c:pt>
                <c:pt idx="89">
                  <c:v>8.6959999999999996E-2</c:v>
                </c:pt>
                <c:pt idx="90">
                  <c:v>8.6029999999999995E-2</c:v>
                </c:pt>
                <c:pt idx="91">
                  <c:v>8.5099999999999995E-2</c:v>
                </c:pt>
                <c:pt idx="92">
                  <c:v>8.4209999999999993E-2</c:v>
                </c:pt>
                <c:pt idx="93">
                  <c:v>8.3330000000000001E-2</c:v>
                </c:pt>
                <c:pt idx="94">
                  <c:v>8.2470000000000002E-2</c:v>
                </c:pt>
                <c:pt idx="95">
                  <c:v>8.1640000000000004E-2</c:v>
                </c:pt>
                <c:pt idx="96">
                  <c:v>8.0799999999999997E-2</c:v>
                </c:pt>
                <c:pt idx="97">
                  <c:v>0.08</c:v>
                </c:pt>
                <c:pt idx="98">
                  <c:v>7.9200000000000007E-2</c:v>
                </c:pt>
                <c:pt idx="99">
                  <c:v>7.843E-2</c:v>
                </c:pt>
                <c:pt idx="100">
                  <c:v>7.7670000000000003E-2</c:v>
                </c:pt>
                <c:pt idx="101">
                  <c:v>7.6920000000000002E-2</c:v>
                </c:pt>
                <c:pt idx="102">
                  <c:v>7.6189999999999994E-2</c:v>
                </c:pt>
                <c:pt idx="103">
                  <c:v>7.5469999999999995E-2</c:v>
                </c:pt>
                <c:pt idx="104">
                  <c:v>7.4759999999999993E-2</c:v>
                </c:pt>
                <c:pt idx="105">
                  <c:v>7.4079999999999993E-2</c:v>
                </c:pt>
                <c:pt idx="106">
                  <c:v>7.3389999999999997E-2</c:v>
                </c:pt>
                <c:pt idx="107">
                  <c:v>7.2730000000000003E-2</c:v>
                </c:pt>
                <c:pt idx="108">
                  <c:v>7.2080000000000005E-2</c:v>
                </c:pt>
                <c:pt idx="109">
                  <c:v>7.1429999999999993E-2</c:v>
                </c:pt>
                <c:pt idx="110">
                  <c:v>7.0790000000000006E-2</c:v>
                </c:pt>
                <c:pt idx="111">
                  <c:v>7.0180000000000006E-2</c:v>
                </c:pt>
                <c:pt idx="112">
                  <c:v>6.9559999999999997E-2</c:v>
                </c:pt>
                <c:pt idx="113">
                  <c:v>6.8970000000000004E-2</c:v>
                </c:pt>
                <c:pt idx="114">
                  <c:v>6.8379999999999996E-2</c:v>
                </c:pt>
                <c:pt idx="115">
                  <c:v>6.7799999999999999E-2</c:v>
                </c:pt>
                <c:pt idx="116">
                  <c:v>6.7229999999999998E-2</c:v>
                </c:pt>
                <c:pt idx="117">
                  <c:v>6.6669999999999993E-2</c:v>
                </c:pt>
                <c:pt idx="118">
                  <c:v>6.6119999999999998E-2</c:v>
                </c:pt>
                <c:pt idx="119">
                  <c:v>6.5579999999999999E-2</c:v>
                </c:pt>
                <c:pt idx="120">
                  <c:v>6.5040000000000001E-2</c:v>
                </c:pt>
                <c:pt idx="121">
                  <c:v>6.4509999999999998E-2</c:v>
                </c:pt>
                <c:pt idx="122">
                  <c:v>6.4000000000000001E-2</c:v>
                </c:pt>
                <c:pt idx="123">
                  <c:v>6.3490000000000005E-2</c:v>
                </c:pt>
                <c:pt idx="124">
                  <c:v>6.3E-2</c:v>
                </c:pt>
                <c:pt idx="125">
                  <c:v>6.25E-2</c:v>
                </c:pt>
                <c:pt idx="126">
                  <c:v>6.2019999999999999E-2</c:v>
                </c:pt>
                <c:pt idx="127">
                  <c:v>6.1539999999999997E-2</c:v>
                </c:pt>
                <c:pt idx="128">
                  <c:v>6.1069999999999999E-2</c:v>
                </c:pt>
                <c:pt idx="129">
                  <c:v>6.0609999999999997E-2</c:v>
                </c:pt>
                <c:pt idx="130">
                  <c:v>6.0150000000000002E-2</c:v>
                </c:pt>
                <c:pt idx="131">
                  <c:v>5.9700000000000003E-2</c:v>
                </c:pt>
                <c:pt idx="132">
                  <c:v>5.926E-2</c:v>
                </c:pt>
                <c:pt idx="133">
                  <c:v>5.8819999999999997E-2</c:v>
                </c:pt>
                <c:pt idx="134">
                  <c:v>5.8400000000000001E-2</c:v>
                </c:pt>
                <c:pt idx="135">
                  <c:v>5.7970000000000001E-2</c:v>
                </c:pt>
                <c:pt idx="136">
                  <c:v>5.7549999999999997E-2</c:v>
                </c:pt>
                <c:pt idx="137">
                  <c:v>5.7149999999999999E-2</c:v>
                </c:pt>
                <c:pt idx="138">
                  <c:v>5.6739999999999999E-2</c:v>
                </c:pt>
                <c:pt idx="139">
                  <c:v>5.6340000000000001E-2</c:v>
                </c:pt>
                <c:pt idx="140">
                  <c:v>5.5939999999999997E-2</c:v>
                </c:pt>
                <c:pt idx="141">
                  <c:v>5.5550000000000002E-2</c:v>
                </c:pt>
                <c:pt idx="142">
                  <c:v>5.518E-2</c:v>
                </c:pt>
                <c:pt idx="143">
                  <c:v>5.4789999999999998E-2</c:v>
                </c:pt>
                <c:pt idx="144">
                  <c:v>5.4420000000000003E-2</c:v>
                </c:pt>
                <c:pt idx="145">
                  <c:v>5.4050000000000001E-2</c:v>
                </c:pt>
                <c:pt idx="146">
                  <c:v>5.3690000000000002E-2</c:v>
                </c:pt>
                <c:pt idx="147">
                  <c:v>5.3749999999999999E-2</c:v>
                </c:pt>
                <c:pt idx="148">
                  <c:v>5.339E-2</c:v>
                </c:pt>
                <c:pt idx="149">
                  <c:v>5.3449999999999998E-2</c:v>
                </c:pt>
                <c:pt idx="150">
                  <c:v>5.3100000000000001E-2</c:v>
                </c:pt>
                <c:pt idx="151">
                  <c:v>5.2749999999999998E-2</c:v>
                </c:pt>
                <c:pt idx="152">
                  <c:v>5.2409999999999998E-2</c:v>
                </c:pt>
                <c:pt idx="153">
                  <c:v>5.2069999999999998E-2</c:v>
                </c:pt>
                <c:pt idx="154">
                  <c:v>5.1749999999999997E-2</c:v>
                </c:pt>
                <c:pt idx="155">
                  <c:v>5.142E-2</c:v>
                </c:pt>
                <c:pt idx="156">
                  <c:v>5.11E-2</c:v>
                </c:pt>
                <c:pt idx="157">
                  <c:v>5.0779999999999999E-2</c:v>
                </c:pt>
                <c:pt idx="158">
                  <c:v>5.0459999999999998E-2</c:v>
                </c:pt>
                <c:pt idx="159">
                  <c:v>5.015E-2</c:v>
                </c:pt>
                <c:pt idx="160">
                  <c:v>4.9840000000000002E-2</c:v>
                </c:pt>
                <c:pt idx="161">
                  <c:v>4.9540000000000001E-2</c:v>
                </c:pt>
                <c:pt idx="162">
                  <c:v>4.9239999999999999E-2</c:v>
                </c:pt>
                <c:pt idx="163">
                  <c:v>4.8939999999999997E-2</c:v>
                </c:pt>
                <c:pt idx="164">
                  <c:v>4.8649999999999999E-2</c:v>
                </c:pt>
                <c:pt idx="165">
                  <c:v>4.836E-2</c:v>
                </c:pt>
                <c:pt idx="166">
                  <c:v>4.8070000000000002E-2</c:v>
                </c:pt>
                <c:pt idx="167">
                  <c:v>4.7789999999999999E-2</c:v>
                </c:pt>
                <c:pt idx="168">
                  <c:v>4.7509999999999997E-2</c:v>
                </c:pt>
                <c:pt idx="169">
                  <c:v>4.759E-2</c:v>
                </c:pt>
                <c:pt idx="170">
                  <c:v>4.7309999999999998E-2</c:v>
                </c:pt>
                <c:pt idx="171">
                  <c:v>4.7039999999999998E-2</c:v>
                </c:pt>
                <c:pt idx="172">
                  <c:v>4.6769999999999999E-2</c:v>
                </c:pt>
                <c:pt idx="173">
                  <c:v>4.6510000000000003E-2</c:v>
                </c:pt>
                <c:pt idx="174">
                  <c:v>4.6240000000000003E-2</c:v>
                </c:pt>
                <c:pt idx="175">
                  <c:v>4.632E-2</c:v>
                </c:pt>
                <c:pt idx="176">
                  <c:v>4.6399999999999997E-2</c:v>
                </c:pt>
                <c:pt idx="177">
                  <c:v>4.6149999999999997E-2</c:v>
                </c:pt>
                <c:pt idx="178">
                  <c:v>4.6219999999999997E-2</c:v>
                </c:pt>
                <c:pt idx="179">
                  <c:v>4.5969999999999997E-2</c:v>
                </c:pt>
                <c:pt idx="180">
                  <c:v>4.5719999999999997E-2</c:v>
                </c:pt>
                <c:pt idx="181">
                  <c:v>4.5469999999999997E-2</c:v>
                </c:pt>
                <c:pt idx="182">
                  <c:v>4.5220000000000003E-2</c:v>
                </c:pt>
                <c:pt idx="183">
                  <c:v>4.4979999999999999E-2</c:v>
                </c:pt>
                <c:pt idx="184">
                  <c:v>4.4740000000000002E-2</c:v>
                </c:pt>
                <c:pt idx="185">
                  <c:v>4.4499999999999998E-2</c:v>
                </c:pt>
                <c:pt idx="186">
                  <c:v>4.4269999999999997E-2</c:v>
                </c:pt>
                <c:pt idx="187">
                  <c:v>4.4040000000000003E-2</c:v>
                </c:pt>
                <c:pt idx="188">
                  <c:v>4.3810000000000002E-2</c:v>
                </c:pt>
                <c:pt idx="189">
                  <c:v>4.3580000000000001E-2</c:v>
                </c:pt>
                <c:pt idx="190">
                  <c:v>4.335E-2</c:v>
                </c:pt>
                <c:pt idx="191">
                  <c:v>4.3130000000000002E-2</c:v>
                </c:pt>
                <c:pt idx="192">
                  <c:v>4.2900000000000001E-2</c:v>
                </c:pt>
                <c:pt idx="193">
                  <c:v>4.2689999999999999E-2</c:v>
                </c:pt>
                <c:pt idx="194">
                  <c:v>4.2470000000000001E-2</c:v>
                </c:pt>
                <c:pt idx="195">
                  <c:v>4.2259999999999999E-2</c:v>
                </c:pt>
                <c:pt idx="196">
                  <c:v>4.2040000000000001E-2</c:v>
                </c:pt>
                <c:pt idx="197">
                  <c:v>4.1829999999999999E-2</c:v>
                </c:pt>
                <c:pt idx="198">
                  <c:v>4.1619999999999997E-2</c:v>
                </c:pt>
                <c:pt idx="199">
                  <c:v>4.1419999999999998E-2</c:v>
                </c:pt>
                <c:pt idx="200">
                  <c:v>4.122E-2</c:v>
                </c:pt>
                <c:pt idx="201">
                  <c:v>4.1009999999999998E-2</c:v>
                </c:pt>
                <c:pt idx="202">
                  <c:v>4.0809999999999999E-2</c:v>
                </c:pt>
                <c:pt idx="203">
                  <c:v>4.061E-2</c:v>
                </c:pt>
                <c:pt idx="204">
                  <c:v>4.0419999999999998E-2</c:v>
                </c:pt>
                <c:pt idx="205">
                  <c:v>4.0230000000000002E-2</c:v>
                </c:pt>
                <c:pt idx="206">
                  <c:v>4.0030000000000003E-2</c:v>
                </c:pt>
                <c:pt idx="207">
                  <c:v>3.984E-2</c:v>
                </c:pt>
                <c:pt idx="208">
                  <c:v>3.9649999999999998E-2</c:v>
                </c:pt>
                <c:pt idx="209">
                  <c:v>3.9469999999999998E-2</c:v>
                </c:pt>
                <c:pt idx="210">
                  <c:v>3.9559999999999998E-2</c:v>
                </c:pt>
                <c:pt idx="211">
                  <c:v>3.9379999999999998E-2</c:v>
                </c:pt>
                <c:pt idx="212">
                  <c:v>3.9190000000000003E-2</c:v>
                </c:pt>
                <c:pt idx="213">
                  <c:v>3.9010000000000003E-2</c:v>
                </c:pt>
                <c:pt idx="214">
                  <c:v>3.8830000000000003E-2</c:v>
                </c:pt>
                <c:pt idx="215">
                  <c:v>3.8649999999999997E-2</c:v>
                </c:pt>
                <c:pt idx="216">
                  <c:v>3.8469999999999997E-2</c:v>
                </c:pt>
                <c:pt idx="217">
                  <c:v>3.8300000000000001E-2</c:v>
                </c:pt>
                <c:pt idx="218">
                  <c:v>3.8129999999999997E-2</c:v>
                </c:pt>
                <c:pt idx="219">
                  <c:v>3.7960000000000001E-2</c:v>
                </c:pt>
                <c:pt idx="220">
                  <c:v>3.7780000000000001E-2</c:v>
                </c:pt>
                <c:pt idx="221">
                  <c:v>3.7620000000000001E-2</c:v>
                </c:pt>
                <c:pt idx="222">
                  <c:v>3.7449999999999997E-2</c:v>
                </c:pt>
                <c:pt idx="223">
                  <c:v>3.7280000000000001E-2</c:v>
                </c:pt>
                <c:pt idx="224">
                  <c:v>3.712E-2</c:v>
                </c:pt>
                <c:pt idx="225">
                  <c:v>3.696E-2</c:v>
                </c:pt>
                <c:pt idx="226">
                  <c:v>3.705E-2</c:v>
                </c:pt>
                <c:pt idx="227">
                  <c:v>3.6889999999999999E-2</c:v>
                </c:pt>
                <c:pt idx="228">
                  <c:v>3.6740000000000002E-2</c:v>
                </c:pt>
                <c:pt idx="229">
                  <c:v>3.6569999999999998E-2</c:v>
                </c:pt>
                <c:pt idx="230">
                  <c:v>3.6420000000000001E-2</c:v>
                </c:pt>
                <c:pt idx="231">
                  <c:v>3.6260000000000001E-2</c:v>
                </c:pt>
                <c:pt idx="232">
                  <c:v>3.6110000000000003E-2</c:v>
                </c:pt>
                <c:pt idx="233">
                  <c:v>3.5950000000000003E-2</c:v>
                </c:pt>
                <c:pt idx="234">
                  <c:v>3.5799999999999998E-2</c:v>
                </c:pt>
                <c:pt idx="235">
                  <c:v>3.5650000000000001E-2</c:v>
                </c:pt>
                <c:pt idx="236">
                  <c:v>3.5499999999999997E-2</c:v>
                </c:pt>
                <c:pt idx="237">
                  <c:v>3.5360000000000003E-2</c:v>
                </c:pt>
                <c:pt idx="238">
                  <c:v>3.5209999999999998E-2</c:v>
                </c:pt>
                <c:pt idx="239">
                  <c:v>3.5060000000000001E-2</c:v>
                </c:pt>
                <c:pt idx="240">
                  <c:v>3.492E-2</c:v>
                </c:pt>
                <c:pt idx="241">
                  <c:v>3.4779999999999998E-2</c:v>
                </c:pt>
                <c:pt idx="242">
                  <c:v>3.4639999999999997E-2</c:v>
                </c:pt>
                <c:pt idx="243">
                  <c:v>3.449E-2</c:v>
                </c:pt>
                <c:pt idx="244">
                  <c:v>3.4349999999999999E-2</c:v>
                </c:pt>
                <c:pt idx="245">
                  <c:v>3.4209999999999997E-2</c:v>
                </c:pt>
                <c:pt idx="246">
                  <c:v>3.4079999999999999E-2</c:v>
                </c:pt>
                <c:pt idx="247">
                  <c:v>3.3939999999999998E-2</c:v>
                </c:pt>
                <c:pt idx="248">
                  <c:v>3.381E-2</c:v>
                </c:pt>
                <c:pt idx="249">
                  <c:v>3.3669999999999999E-2</c:v>
                </c:pt>
                <c:pt idx="250">
                  <c:v>3.354E-2</c:v>
                </c:pt>
                <c:pt idx="251">
                  <c:v>3.3410000000000002E-2</c:v>
                </c:pt>
                <c:pt idx="252">
                  <c:v>3.3270000000000001E-2</c:v>
                </c:pt>
                <c:pt idx="253">
                  <c:v>3.3149999999999999E-2</c:v>
                </c:pt>
                <c:pt idx="254">
                  <c:v>3.3020000000000001E-2</c:v>
                </c:pt>
                <c:pt idx="255">
                  <c:v>3.2890000000000003E-2</c:v>
                </c:pt>
                <c:pt idx="256">
                  <c:v>3.2759999999999997E-2</c:v>
                </c:pt>
                <c:pt idx="257">
                  <c:v>3.2640000000000002E-2</c:v>
                </c:pt>
                <c:pt idx="258">
                  <c:v>3.2509999999999997E-2</c:v>
                </c:pt>
                <c:pt idx="259">
                  <c:v>3.2390000000000002E-2</c:v>
                </c:pt>
                <c:pt idx="260">
                  <c:v>3.2259999999999997E-2</c:v>
                </c:pt>
                <c:pt idx="261">
                  <c:v>3.2140000000000002E-2</c:v>
                </c:pt>
                <c:pt idx="262">
                  <c:v>3.202E-2</c:v>
                </c:pt>
                <c:pt idx="263">
                  <c:v>3.1899999999999998E-2</c:v>
                </c:pt>
                <c:pt idx="264">
                  <c:v>3.1780000000000003E-2</c:v>
                </c:pt>
                <c:pt idx="265">
                  <c:v>3.1660000000000001E-2</c:v>
                </c:pt>
                <c:pt idx="266">
                  <c:v>3.1980000000000001E-2</c:v>
                </c:pt>
                <c:pt idx="267">
                  <c:v>3.2079999999999997E-2</c:v>
                </c:pt>
                <c:pt idx="268">
                  <c:v>3.1960000000000002E-2</c:v>
                </c:pt>
                <c:pt idx="269">
                  <c:v>3.184E-2</c:v>
                </c:pt>
                <c:pt idx="270">
                  <c:v>3.1719999999999998E-2</c:v>
                </c:pt>
                <c:pt idx="271">
                  <c:v>3.1609999999999999E-2</c:v>
                </c:pt>
                <c:pt idx="272">
                  <c:v>3.1489999999999997E-2</c:v>
                </c:pt>
                <c:pt idx="273">
                  <c:v>3.1379999999999998E-2</c:v>
                </c:pt>
                <c:pt idx="274">
                  <c:v>3.1260000000000003E-2</c:v>
                </c:pt>
                <c:pt idx="275">
                  <c:v>3.1150000000000001E-2</c:v>
                </c:pt>
                <c:pt idx="276">
                  <c:v>3.1040000000000002E-2</c:v>
                </c:pt>
                <c:pt idx="277">
                  <c:v>3.0929999999999999E-2</c:v>
                </c:pt>
                <c:pt idx="278">
                  <c:v>3.082E-2</c:v>
                </c:pt>
                <c:pt idx="279">
                  <c:v>3.0710000000000001E-2</c:v>
                </c:pt>
                <c:pt idx="280">
                  <c:v>3.0599999999999999E-2</c:v>
                </c:pt>
                <c:pt idx="281">
                  <c:v>3.049E-2</c:v>
                </c:pt>
                <c:pt idx="282">
                  <c:v>3.0380000000000001E-2</c:v>
                </c:pt>
                <c:pt idx="283">
                  <c:v>3.0280000000000001E-2</c:v>
                </c:pt>
                <c:pt idx="284">
                  <c:v>3.0179999999999998E-2</c:v>
                </c:pt>
                <c:pt idx="285">
                  <c:v>3.007E-2</c:v>
                </c:pt>
                <c:pt idx="286">
                  <c:v>2.9960000000000001E-2</c:v>
                </c:pt>
                <c:pt idx="287">
                  <c:v>2.9860000000000001E-2</c:v>
                </c:pt>
                <c:pt idx="288">
                  <c:v>2.9760000000000002E-2</c:v>
                </c:pt>
                <c:pt idx="289">
                  <c:v>2.9659999999999999E-2</c:v>
                </c:pt>
                <c:pt idx="290">
                  <c:v>2.9559999999999999E-2</c:v>
                </c:pt>
                <c:pt idx="291">
                  <c:v>2.946E-2</c:v>
                </c:pt>
                <c:pt idx="292">
                  <c:v>2.9360000000000001E-2</c:v>
                </c:pt>
                <c:pt idx="293">
                  <c:v>2.9260000000000001E-2</c:v>
                </c:pt>
                <c:pt idx="294">
                  <c:v>2.9159999999999998E-2</c:v>
                </c:pt>
                <c:pt idx="295">
                  <c:v>2.9059999999999999E-2</c:v>
                </c:pt>
                <c:pt idx="296">
                  <c:v>2.896E-2</c:v>
                </c:pt>
                <c:pt idx="297">
                  <c:v>2.887E-2</c:v>
                </c:pt>
                <c:pt idx="298">
                  <c:v>2.877E-2</c:v>
                </c:pt>
                <c:pt idx="299">
                  <c:v>2.8670000000000001E-2</c:v>
                </c:pt>
                <c:pt idx="300">
                  <c:v>2.8580000000000001E-2</c:v>
                </c:pt>
                <c:pt idx="301">
                  <c:v>2.8490000000000001E-2</c:v>
                </c:pt>
                <c:pt idx="302">
                  <c:v>2.8389999999999999E-2</c:v>
                </c:pt>
                <c:pt idx="303">
                  <c:v>2.8299999999999999E-2</c:v>
                </c:pt>
                <c:pt idx="304">
                  <c:v>2.8209999999999999E-2</c:v>
                </c:pt>
                <c:pt idx="305">
                  <c:v>2.8119999999999999E-2</c:v>
                </c:pt>
                <c:pt idx="306">
                  <c:v>2.8029999999999999E-2</c:v>
                </c:pt>
                <c:pt idx="307">
                  <c:v>2.794E-2</c:v>
                </c:pt>
                <c:pt idx="308">
                  <c:v>2.784E-2</c:v>
                </c:pt>
                <c:pt idx="309">
                  <c:v>2.776E-2</c:v>
                </c:pt>
                <c:pt idx="310">
                  <c:v>2.767E-2</c:v>
                </c:pt>
                <c:pt idx="311">
                  <c:v>2.758E-2</c:v>
                </c:pt>
                <c:pt idx="312">
                  <c:v>2.7490000000000001E-2</c:v>
                </c:pt>
                <c:pt idx="313">
                  <c:v>2.7400000000000001E-2</c:v>
                </c:pt>
                <c:pt idx="314">
                  <c:v>2.7320000000000001E-2</c:v>
                </c:pt>
                <c:pt idx="315">
                  <c:v>2.7230000000000001E-2</c:v>
                </c:pt>
                <c:pt idx="316">
                  <c:v>2.7150000000000001E-2</c:v>
                </c:pt>
                <c:pt idx="317">
                  <c:v>2.7060000000000001E-2</c:v>
                </c:pt>
                <c:pt idx="318">
                  <c:v>2.6980000000000001E-2</c:v>
                </c:pt>
                <c:pt idx="319">
                  <c:v>2.69E-2</c:v>
                </c:pt>
                <c:pt idx="320">
                  <c:v>2.681E-2</c:v>
                </c:pt>
                <c:pt idx="321">
                  <c:v>2.673E-2</c:v>
                </c:pt>
                <c:pt idx="322">
                  <c:v>2.665E-2</c:v>
                </c:pt>
                <c:pt idx="323">
                  <c:v>2.656E-2</c:v>
                </c:pt>
                <c:pt idx="324">
                  <c:v>2.648E-2</c:v>
                </c:pt>
                <c:pt idx="325">
                  <c:v>2.6409999999999999E-2</c:v>
                </c:pt>
                <c:pt idx="326">
                  <c:v>2.632E-2</c:v>
                </c:pt>
                <c:pt idx="327">
                  <c:v>2.6239999999999999E-2</c:v>
                </c:pt>
                <c:pt idx="328">
                  <c:v>2.6159999999999999E-2</c:v>
                </c:pt>
                <c:pt idx="329">
                  <c:v>2.6079999999999999E-2</c:v>
                </c:pt>
                <c:pt idx="330">
                  <c:v>2.6009999999999998E-2</c:v>
                </c:pt>
                <c:pt idx="331">
                  <c:v>2.5930000000000002E-2</c:v>
                </c:pt>
                <c:pt idx="332">
                  <c:v>2.5850000000000001E-2</c:v>
                </c:pt>
                <c:pt idx="333">
                  <c:v>2.5770000000000001E-2</c:v>
                </c:pt>
                <c:pt idx="334">
                  <c:v>2.5700000000000001E-2</c:v>
                </c:pt>
                <c:pt idx="335">
                  <c:v>2.562E-2</c:v>
                </c:pt>
                <c:pt idx="336">
                  <c:v>2.555E-2</c:v>
                </c:pt>
                <c:pt idx="337">
                  <c:v>2.547E-2</c:v>
                </c:pt>
                <c:pt idx="338">
                  <c:v>2.5399999999999999E-2</c:v>
                </c:pt>
                <c:pt idx="339">
                  <c:v>2.5319999999999999E-2</c:v>
                </c:pt>
                <c:pt idx="340">
                  <c:v>2.5250000000000002E-2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90-4C20-84A4-C55B9AB2FEFB}"/>
            </c:ext>
          </c:extLst>
        </c:ser>
        <c:ser>
          <c:idx val="3"/>
          <c:order val="2"/>
          <c:tx>
            <c:v>4.5-4.9</c:v>
          </c:tx>
          <c:spPr>
            <a:ln w="28575">
              <a:noFill/>
            </a:ln>
          </c:spPr>
          <c:xVal>
            <c:numRef>
              <c:f>'COMPLETENESS ANALYSIS'!$C$4:$C$346</c:f>
              <c:numCache>
                <c:formatCode>General</c:formatCode>
                <c:ptCount val="3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</c:numCache>
            </c:numRef>
          </c:xVal>
          <c:yVal>
            <c:numRef>
              <c:f>'COMPLETENESS ANALYSIS'!$M$4:$M$346</c:f>
              <c:numCache>
                <c:formatCode>0.000</c:formatCode>
                <c:ptCount val="343"/>
                <c:pt idx="0">
                  <c:v>1.7320500000000001</c:v>
                </c:pt>
                <c:pt idx="1">
                  <c:v>1.3228800000000001</c:v>
                </c:pt>
                <c:pt idx="2">
                  <c:v>0.88192000000000004</c:v>
                </c:pt>
                <c:pt idx="3">
                  <c:v>0.75</c:v>
                </c:pt>
                <c:pt idx="4">
                  <c:v>0.63244999999999996</c:v>
                </c:pt>
                <c:pt idx="5">
                  <c:v>0.55276999999999998</c:v>
                </c:pt>
                <c:pt idx="6">
                  <c:v>0.4738</c:v>
                </c:pt>
                <c:pt idx="7">
                  <c:v>0.43301000000000001</c:v>
                </c:pt>
                <c:pt idx="8">
                  <c:v>0.38490000000000002</c:v>
                </c:pt>
                <c:pt idx="9">
                  <c:v>0.34641</c:v>
                </c:pt>
                <c:pt idx="10">
                  <c:v>0.34015000000000001</c:v>
                </c:pt>
                <c:pt idx="11">
                  <c:v>0.32274999999999998</c:v>
                </c:pt>
                <c:pt idx="12">
                  <c:v>0.29792000000000002</c:v>
                </c:pt>
                <c:pt idx="13">
                  <c:v>0.28571000000000002</c:v>
                </c:pt>
                <c:pt idx="14">
                  <c:v>0.28283999999999998</c:v>
                </c:pt>
                <c:pt idx="15">
                  <c:v>0.26517000000000002</c:v>
                </c:pt>
                <c:pt idx="16">
                  <c:v>0.26956999999999998</c:v>
                </c:pt>
                <c:pt idx="17">
                  <c:v>0.26643</c:v>
                </c:pt>
                <c:pt idx="18">
                  <c:v>0.25785000000000002</c:v>
                </c:pt>
                <c:pt idx="19">
                  <c:v>0.24495</c:v>
                </c:pt>
                <c:pt idx="20">
                  <c:v>0.24281</c:v>
                </c:pt>
                <c:pt idx="21">
                  <c:v>0.24052000000000001</c:v>
                </c:pt>
                <c:pt idx="22">
                  <c:v>0.23413</c:v>
                </c:pt>
                <c:pt idx="23">
                  <c:v>0.23569999999999999</c:v>
                </c:pt>
                <c:pt idx="24">
                  <c:v>0.23663999999999999</c:v>
                </c:pt>
                <c:pt idx="25">
                  <c:v>0.22755</c:v>
                </c:pt>
                <c:pt idx="26">
                  <c:v>0.21911</c:v>
                </c:pt>
                <c:pt idx="27">
                  <c:v>0.21723999999999999</c:v>
                </c:pt>
                <c:pt idx="28">
                  <c:v>0.21257000000000001</c:v>
                </c:pt>
                <c:pt idx="29">
                  <c:v>0.20548</c:v>
                </c:pt>
                <c:pt idx="30">
                  <c:v>0.19886000000000001</c:v>
                </c:pt>
                <c:pt idx="31">
                  <c:v>0.19264000000000001</c:v>
                </c:pt>
                <c:pt idx="32">
                  <c:v>0.18679999999999999</c:v>
                </c:pt>
                <c:pt idx="33">
                  <c:v>0.18131</c:v>
                </c:pt>
                <c:pt idx="34">
                  <c:v>0.1807</c:v>
                </c:pt>
                <c:pt idx="35">
                  <c:v>0.17569000000000001</c:v>
                </c:pt>
                <c:pt idx="36">
                  <c:v>0.17093</c:v>
                </c:pt>
                <c:pt idx="37">
                  <c:v>0.16642999999999999</c:v>
                </c:pt>
                <c:pt idx="38">
                  <c:v>0.16217000000000001</c:v>
                </c:pt>
                <c:pt idx="39">
                  <c:v>0.15811</c:v>
                </c:pt>
                <c:pt idx="40">
                  <c:v>0.15425</c:v>
                </c:pt>
                <c:pt idx="41">
                  <c:v>0.15057999999999999</c:v>
                </c:pt>
                <c:pt idx="42">
                  <c:v>0.14890999999999999</c:v>
                </c:pt>
                <c:pt idx="43">
                  <c:v>0.14552999999999999</c:v>
                </c:pt>
                <c:pt idx="44">
                  <c:v>0.14229</c:v>
                </c:pt>
                <c:pt idx="45">
                  <c:v>0.13919999999999999</c:v>
                </c:pt>
                <c:pt idx="46">
                  <c:v>0.13788</c:v>
                </c:pt>
                <c:pt idx="47">
                  <c:v>0.13502</c:v>
                </c:pt>
                <c:pt idx="48">
                  <c:v>0.13225999999999999</c:v>
                </c:pt>
                <c:pt idx="49">
                  <c:v>0.12961</c:v>
                </c:pt>
                <c:pt idx="50">
                  <c:v>0.12708</c:v>
                </c:pt>
                <c:pt idx="51">
                  <c:v>0.12463</c:v>
                </c:pt>
                <c:pt idx="52">
                  <c:v>0.12228</c:v>
                </c:pt>
                <c:pt idx="53">
                  <c:v>0.12001000000000001</c:v>
                </c:pt>
                <c:pt idx="54">
                  <c:v>0.11783</c:v>
                </c:pt>
                <c:pt idx="55">
                  <c:v>0.11573</c:v>
                </c:pt>
                <c:pt idx="56">
                  <c:v>0.11369</c:v>
                </c:pt>
                <c:pt idx="57">
                  <c:v>0.11174000000000001</c:v>
                </c:pt>
                <c:pt idx="58">
                  <c:v>0.10983999999999999</c:v>
                </c:pt>
                <c:pt idx="59">
                  <c:v>0.10800999999999999</c:v>
                </c:pt>
                <c:pt idx="60">
                  <c:v>0.10624</c:v>
                </c:pt>
                <c:pt idx="61">
                  <c:v>0.10453</c:v>
                </c:pt>
                <c:pt idx="62">
                  <c:v>0.10287</c:v>
                </c:pt>
                <c:pt idx="63">
                  <c:v>0.10126</c:v>
                </c:pt>
                <c:pt idx="64">
                  <c:v>9.9699999999999997E-2</c:v>
                </c:pt>
                <c:pt idx="65">
                  <c:v>9.819E-2</c:v>
                </c:pt>
                <c:pt idx="66">
                  <c:v>9.6729999999999997E-2</c:v>
                </c:pt>
                <c:pt idx="67">
                  <c:v>9.5310000000000006E-2</c:v>
                </c:pt>
                <c:pt idx="68">
                  <c:v>9.393E-2</c:v>
                </c:pt>
                <c:pt idx="69">
                  <c:v>9.2579999999999996E-2</c:v>
                </c:pt>
                <c:pt idx="70">
                  <c:v>9.128E-2</c:v>
                </c:pt>
                <c:pt idx="71">
                  <c:v>9.0010000000000007E-2</c:v>
                </c:pt>
                <c:pt idx="72">
                  <c:v>8.8779999999999998E-2</c:v>
                </c:pt>
                <c:pt idx="73">
                  <c:v>8.7580000000000005E-2</c:v>
                </c:pt>
                <c:pt idx="74">
                  <c:v>8.6410000000000001E-2</c:v>
                </c:pt>
                <c:pt idx="75">
                  <c:v>8.5269999999999999E-2</c:v>
                </c:pt>
                <c:pt idx="76">
                  <c:v>8.4159999999999999E-2</c:v>
                </c:pt>
                <c:pt idx="77">
                  <c:v>8.3089999999999997E-2</c:v>
                </c:pt>
                <c:pt idx="78">
                  <c:v>8.2040000000000002E-2</c:v>
                </c:pt>
                <c:pt idx="79">
                  <c:v>8.1009999999999999E-2</c:v>
                </c:pt>
                <c:pt idx="80">
                  <c:v>8.0009999999999998E-2</c:v>
                </c:pt>
                <c:pt idx="81">
                  <c:v>7.9030000000000003E-2</c:v>
                </c:pt>
                <c:pt idx="82">
                  <c:v>7.8079999999999997E-2</c:v>
                </c:pt>
                <c:pt idx="83">
                  <c:v>7.7149999999999996E-2</c:v>
                </c:pt>
                <c:pt idx="84">
                  <c:v>7.6249999999999998E-2</c:v>
                </c:pt>
                <c:pt idx="85">
                  <c:v>7.5359999999999996E-2</c:v>
                </c:pt>
                <c:pt idx="86">
                  <c:v>7.4490000000000001E-2</c:v>
                </c:pt>
                <c:pt idx="87">
                  <c:v>7.3639999999999997E-2</c:v>
                </c:pt>
                <c:pt idx="88">
                  <c:v>7.2819999999999996E-2</c:v>
                </c:pt>
                <c:pt idx="89">
                  <c:v>7.2010000000000005E-2</c:v>
                </c:pt>
                <c:pt idx="90">
                  <c:v>7.1220000000000006E-2</c:v>
                </c:pt>
                <c:pt idx="91">
                  <c:v>7.0440000000000003E-2</c:v>
                </c:pt>
                <c:pt idx="92">
                  <c:v>6.9690000000000002E-2</c:v>
                </c:pt>
                <c:pt idx="93">
                  <c:v>6.8940000000000001E-2</c:v>
                </c:pt>
                <c:pt idx="94">
                  <c:v>6.8220000000000003E-2</c:v>
                </c:pt>
                <c:pt idx="95">
                  <c:v>6.7510000000000001E-2</c:v>
                </c:pt>
                <c:pt idx="96">
                  <c:v>6.6809999999999994E-2</c:v>
                </c:pt>
                <c:pt idx="97">
                  <c:v>6.6129999999999994E-2</c:v>
                </c:pt>
                <c:pt idx="98">
                  <c:v>6.5460000000000004E-2</c:v>
                </c:pt>
                <c:pt idx="99">
                  <c:v>6.4810000000000006E-2</c:v>
                </c:pt>
                <c:pt idx="100">
                  <c:v>6.4159999999999995E-2</c:v>
                </c:pt>
                <c:pt idx="101">
                  <c:v>6.3530000000000003E-2</c:v>
                </c:pt>
                <c:pt idx="102">
                  <c:v>6.2920000000000004E-2</c:v>
                </c:pt>
                <c:pt idx="103">
                  <c:v>6.232E-2</c:v>
                </c:pt>
                <c:pt idx="104">
                  <c:v>6.1719999999999997E-2</c:v>
                </c:pt>
                <c:pt idx="105">
                  <c:v>6.114E-2</c:v>
                </c:pt>
                <c:pt idx="106">
                  <c:v>6.0569999999999999E-2</c:v>
                </c:pt>
                <c:pt idx="107">
                  <c:v>6.0010000000000001E-2</c:v>
                </c:pt>
                <c:pt idx="108">
                  <c:v>5.9450000000000003E-2</c:v>
                </c:pt>
                <c:pt idx="109">
                  <c:v>5.892E-2</c:v>
                </c:pt>
                <c:pt idx="110">
                  <c:v>5.8389999999999997E-2</c:v>
                </c:pt>
                <c:pt idx="111">
                  <c:v>5.7860000000000002E-2</c:v>
                </c:pt>
                <c:pt idx="112">
                  <c:v>5.7349999999999998E-2</c:v>
                </c:pt>
                <c:pt idx="113">
                  <c:v>5.6849999999999998E-2</c:v>
                </c:pt>
                <c:pt idx="114">
                  <c:v>5.6349999999999997E-2</c:v>
                </c:pt>
                <c:pt idx="115">
                  <c:v>5.5870000000000003E-2</c:v>
                </c:pt>
                <c:pt idx="116">
                  <c:v>5.5390000000000002E-2</c:v>
                </c:pt>
                <c:pt idx="117">
                  <c:v>5.4919999999999997E-2</c:v>
                </c:pt>
                <c:pt idx="118">
                  <c:v>5.4460000000000001E-2</c:v>
                </c:pt>
                <c:pt idx="119">
                  <c:v>5.4010000000000002E-2</c:v>
                </c:pt>
                <c:pt idx="120">
                  <c:v>5.3560000000000003E-2</c:v>
                </c:pt>
                <c:pt idx="121">
                  <c:v>5.3120000000000001E-2</c:v>
                </c:pt>
                <c:pt idx="122">
                  <c:v>5.2690000000000001E-2</c:v>
                </c:pt>
                <c:pt idx="123">
                  <c:v>5.2260000000000001E-2</c:v>
                </c:pt>
                <c:pt idx="124">
                  <c:v>5.1839999999999997E-2</c:v>
                </c:pt>
                <c:pt idx="125">
                  <c:v>5.144E-2</c:v>
                </c:pt>
                <c:pt idx="126">
                  <c:v>5.1029999999999999E-2</c:v>
                </c:pt>
                <c:pt idx="127">
                  <c:v>5.0630000000000001E-2</c:v>
                </c:pt>
                <c:pt idx="128">
                  <c:v>5.024E-2</c:v>
                </c:pt>
                <c:pt idx="129">
                  <c:v>4.9849999999999998E-2</c:v>
                </c:pt>
                <c:pt idx="130">
                  <c:v>4.947E-2</c:v>
                </c:pt>
                <c:pt idx="131">
                  <c:v>4.9099999999999998E-2</c:v>
                </c:pt>
                <c:pt idx="132">
                  <c:v>4.8730000000000002E-2</c:v>
                </c:pt>
                <c:pt idx="133">
                  <c:v>4.8370000000000003E-2</c:v>
                </c:pt>
                <c:pt idx="134">
                  <c:v>4.8009999999999997E-2</c:v>
                </c:pt>
                <c:pt idx="135">
                  <c:v>4.7649999999999998E-2</c:v>
                </c:pt>
                <c:pt idx="136">
                  <c:v>4.7309999999999998E-2</c:v>
                </c:pt>
                <c:pt idx="137">
                  <c:v>4.6960000000000002E-2</c:v>
                </c:pt>
                <c:pt idx="138">
                  <c:v>4.6620000000000002E-2</c:v>
                </c:pt>
                <c:pt idx="139">
                  <c:v>4.6289999999999998E-2</c:v>
                </c:pt>
                <c:pt idx="140">
                  <c:v>4.5969999999999997E-2</c:v>
                </c:pt>
                <c:pt idx="141">
                  <c:v>4.564E-2</c:v>
                </c:pt>
                <c:pt idx="142">
                  <c:v>4.5319999999999999E-2</c:v>
                </c:pt>
                <c:pt idx="143">
                  <c:v>4.4999999999999998E-2</c:v>
                </c:pt>
                <c:pt idx="144">
                  <c:v>4.4699999999999997E-2</c:v>
                </c:pt>
                <c:pt idx="145">
                  <c:v>4.4389999999999999E-2</c:v>
                </c:pt>
                <c:pt idx="146">
                  <c:v>4.4089999999999997E-2</c:v>
                </c:pt>
                <c:pt idx="147">
                  <c:v>4.3790000000000003E-2</c:v>
                </c:pt>
                <c:pt idx="148">
                  <c:v>4.4519999999999997E-2</c:v>
                </c:pt>
                <c:pt idx="149">
                  <c:v>4.4220000000000002E-2</c:v>
                </c:pt>
                <c:pt idx="150">
                  <c:v>4.3929999999999997E-2</c:v>
                </c:pt>
                <c:pt idx="151">
                  <c:v>4.3639999999999998E-2</c:v>
                </c:pt>
                <c:pt idx="152">
                  <c:v>4.3360000000000003E-2</c:v>
                </c:pt>
                <c:pt idx="153">
                  <c:v>4.3069999999999997E-2</c:v>
                </c:pt>
                <c:pt idx="154">
                  <c:v>4.2790000000000002E-2</c:v>
                </c:pt>
                <c:pt idx="155">
                  <c:v>4.2520000000000002E-2</c:v>
                </c:pt>
                <c:pt idx="156">
                  <c:v>4.2250000000000003E-2</c:v>
                </c:pt>
                <c:pt idx="157">
                  <c:v>4.1980000000000003E-2</c:v>
                </c:pt>
                <c:pt idx="158">
                  <c:v>4.172E-2</c:v>
                </c:pt>
                <c:pt idx="159">
                  <c:v>4.1459999999999997E-2</c:v>
                </c:pt>
                <c:pt idx="160">
                  <c:v>4.1200000000000001E-2</c:v>
                </c:pt>
                <c:pt idx="161">
                  <c:v>4.095E-2</c:v>
                </c:pt>
                <c:pt idx="162">
                  <c:v>4.07E-2</c:v>
                </c:pt>
                <c:pt idx="163">
                  <c:v>4.045E-2</c:v>
                </c:pt>
                <c:pt idx="164">
                  <c:v>4.02E-2</c:v>
                </c:pt>
                <c:pt idx="165">
                  <c:v>3.9960000000000002E-2</c:v>
                </c:pt>
                <c:pt idx="166">
                  <c:v>3.9719999999999998E-2</c:v>
                </c:pt>
                <c:pt idx="167">
                  <c:v>3.9480000000000001E-2</c:v>
                </c:pt>
                <c:pt idx="168">
                  <c:v>3.925E-2</c:v>
                </c:pt>
                <c:pt idx="169">
                  <c:v>3.9019999999999999E-2</c:v>
                </c:pt>
                <c:pt idx="170">
                  <c:v>3.8789999999999998E-2</c:v>
                </c:pt>
                <c:pt idx="171">
                  <c:v>3.9E-2</c:v>
                </c:pt>
                <c:pt idx="172">
                  <c:v>3.8780000000000002E-2</c:v>
                </c:pt>
                <c:pt idx="173">
                  <c:v>3.8550000000000001E-2</c:v>
                </c:pt>
                <c:pt idx="174">
                  <c:v>3.8330000000000003E-2</c:v>
                </c:pt>
                <c:pt idx="175">
                  <c:v>3.8120000000000001E-2</c:v>
                </c:pt>
                <c:pt idx="176">
                  <c:v>3.7900000000000003E-2</c:v>
                </c:pt>
                <c:pt idx="177">
                  <c:v>3.7690000000000001E-2</c:v>
                </c:pt>
                <c:pt idx="178">
                  <c:v>3.7470000000000003E-2</c:v>
                </c:pt>
                <c:pt idx="179">
                  <c:v>3.7269999999999998E-2</c:v>
                </c:pt>
                <c:pt idx="180">
                  <c:v>3.7060000000000003E-2</c:v>
                </c:pt>
                <c:pt idx="181">
                  <c:v>3.6859999999999997E-2</c:v>
                </c:pt>
                <c:pt idx="182">
                  <c:v>3.6659999999999998E-2</c:v>
                </c:pt>
                <c:pt idx="183">
                  <c:v>3.6459999999999999E-2</c:v>
                </c:pt>
                <c:pt idx="184">
                  <c:v>3.6260000000000001E-2</c:v>
                </c:pt>
                <c:pt idx="185">
                  <c:v>3.6060000000000002E-2</c:v>
                </c:pt>
                <c:pt idx="186">
                  <c:v>3.5869999999999999E-2</c:v>
                </c:pt>
                <c:pt idx="187">
                  <c:v>3.5680000000000003E-2</c:v>
                </c:pt>
                <c:pt idx="188">
                  <c:v>3.5490000000000001E-2</c:v>
                </c:pt>
                <c:pt idx="189">
                  <c:v>3.5310000000000001E-2</c:v>
                </c:pt>
                <c:pt idx="190">
                  <c:v>3.5119999999999998E-2</c:v>
                </c:pt>
                <c:pt idx="191">
                  <c:v>3.4939999999999999E-2</c:v>
                </c:pt>
                <c:pt idx="192">
                  <c:v>3.4759999999999999E-2</c:v>
                </c:pt>
                <c:pt idx="193">
                  <c:v>3.458E-2</c:v>
                </c:pt>
                <c:pt idx="194">
                  <c:v>3.44E-2</c:v>
                </c:pt>
                <c:pt idx="195">
                  <c:v>3.4229999999999997E-2</c:v>
                </c:pt>
                <c:pt idx="196">
                  <c:v>3.4049999999999997E-2</c:v>
                </c:pt>
                <c:pt idx="197">
                  <c:v>3.388E-2</c:v>
                </c:pt>
                <c:pt idx="198">
                  <c:v>3.3709999999999997E-2</c:v>
                </c:pt>
                <c:pt idx="199">
                  <c:v>3.354E-2</c:v>
                </c:pt>
                <c:pt idx="200">
                  <c:v>3.3369999999999997E-2</c:v>
                </c:pt>
                <c:pt idx="201">
                  <c:v>3.3210000000000003E-2</c:v>
                </c:pt>
                <c:pt idx="202">
                  <c:v>3.3050000000000003E-2</c:v>
                </c:pt>
                <c:pt idx="203">
                  <c:v>3.288E-2</c:v>
                </c:pt>
                <c:pt idx="204">
                  <c:v>3.2719999999999999E-2</c:v>
                </c:pt>
                <c:pt idx="205">
                  <c:v>3.2559999999999999E-2</c:v>
                </c:pt>
                <c:pt idx="206">
                  <c:v>3.2399999999999998E-2</c:v>
                </c:pt>
                <c:pt idx="207">
                  <c:v>3.2250000000000001E-2</c:v>
                </c:pt>
                <c:pt idx="208">
                  <c:v>3.2099999999999997E-2</c:v>
                </c:pt>
                <c:pt idx="209">
                  <c:v>3.1949999999999999E-2</c:v>
                </c:pt>
                <c:pt idx="210">
                  <c:v>3.1789999999999999E-2</c:v>
                </c:pt>
                <c:pt idx="211">
                  <c:v>3.1640000000000001E-2</c:v>
                </c:pt>
                <c:pt idx="212">
                  <c:v>3.1489999999999997E-2</c:v>
                </c:pt>
                <c:pt idx="213">
                  <c:v>3.1350000000000003E-2</c:v>
                </c:pt>
                <c:pt idx="214">
                  <c:v>3.1199999999999999E-2</c:v>
                </c:pt>
                <c:pt idx="215">
                  <c:v>3.1060000000000001E-2</c:v>
                </c:pt>
                <c:pt idx="216">
                  <c:v>3.091E-2</c:v>
                </c:pt>
                <c:pt idx="217">
                  <c:v>3.0769999999999999E-2</c:v>
                </c:pt>
                <c:pt idx="218">
                  <c:v>3.0630000000000001E-2</c:v>
                </c:pt>
                <c:pt idx="219">
                  <c:v>3.049E-2</c:v>
                </c:pt>
                <c:pt idx="220">
                  <c:v>3.0360000000000002E-2</c:v>
                </c:pt>
                <c:pt idx="221">
                  <c:v>3.022E-2</c:v>
                </c:pt>
                <c:pt idx="222">
                  <c:v>3.0079999999999999E-2</c:v>
                </c:pt>
                <c:pt idx="223">
                  <c:v>2.9950000000000001E-2</c:v>
                </c:pt>
                <c:pt idx="224">
                  <c:v>2.9819999999999999E-2</c:v>
                </c:pt>
                <c:pt idx="225">
                  <c:v>2.9680000000000002E-2</c:v>
                </c:pt>
                <c:pt idx="226">
                  <c:v>2.955E-2</c:v>
                </c:pt>
                <c:pt idx="227">
                  <c:v>2.9420000000000002E-2</c:v>
                </c:pt>
                <c:pt idx="228">
                  <c:v>2.929E-2</c:v>
                </c:pt>
                <c:pt idx="229">
                  <c:v>2.9170000000000001E-2</c:v>
                </c:pt>
                <c:pt idx="230">
                  <c:v>2.904E-2</c:v>
                </c:pt>
                <c:pt idx="231">
                  <c:v>2.8910000000000002E-2</c:v>
                </c:pt>
                <c:pt idx="232">
                  <c:v>2.879E-2</c:v>
                </c:pt>
                <c:pt idx="233">
                  <c:v>2.8670000000000001E-2</c:v>
                </c:pt>
                <c:pt idx="234">
                  <c:v>2.8539999999999999E-2</c:v>
                </c:pt>
                <c:pt idx="235">
                  <c:v>2.8420000000000001E-2</c:v>
                </c:pt>
                <c:pt idx="236">
                  <c:v>2.8309999999999998E-2</c:v>
                </c:pt>
                <c:pt idx="237">
                  <c:v>2.819E-2</c:v>
                </c:pt>
                <c:pt idx="238">
                  <c:v>2.8070000000000001E-2</c:v>
                </c:pt>
                <c:pt idx="239">
                  <c:v>2.7949999999999999E-2</c:v>
                </c:pt>
                <c:pt idx="240">
                  <c:v>2.784E-2</c:v>
                </c:pt>
                <c:pt idx="241">
                  <c:v>2.7720000000000002E-2</c:v>
                </c:pt>
                <c:pt idx="242">
                  <c:v>2.7609999999999999E-2</c:v>
                </c:pt>
                <c:pt idx="243">
                  <c:v>2.7490000000000001E-2</c:v>
                </c:pt>
                <c:pt idx="244">
                  <c:v>2.7380000000000002E-2</c:v>
                </c:pt>
                <c:pt idx="245">
                  <c:v>2.7269999999999999E-2</c:v>
                </c:pt>
                <c:pt idx="246">
                  <c:v>2.716E-2</c:v>
                </c:pt>
                <c:pt idx="247">
                  <c:v>2.7050000000000001E-2</c:v>
                </c:pt>
                <c:pt idx="248">
                  <c:v>2.6939999999999999E-2</c:v>
                </c:pt>
                <c:pt idx="249">
                  <c:v>2.683E-2</c:v>
                </c:pt>
                <c:pt idx="250">
                  <c:v>2.673E-2</c:v>
                </c:pt>
                <c:pt idx="251">
                  <c:v>2.6620000000000001E-2</c:v>
                </c:pt>
                <c:pt idx="252">
                  <c:v>2.6519999999999998E-2</c:v>
                </c:pt>
                <c:pt idx="253">
                  <c:v>2.6409999999999999E-2</c:v>
                </c:pt>
                <c:pt idx="254">
                  <c:v>2.631E-2</c:v>
                </c:pt>
                <c:pt idx="255">
                  <c:v>2.6200000000000001E-2</c:v>
                </c:pt>
                <c:pt idx="256">
                  <c:v>2.6100000000000002E-2</c:v>
                </c:pt>
                <c:pt idx="257">
                  <c:v>2.5999999999999999E-2</c:v>
                </c:pt>
                <c:pt idx="258">
                  <c:v>2.5899999999999999E-2</c:v>
                </c:pt>
                <c:pt idx="259">
                  <c:v>2.58E-2</c:v>
                </c:pt>
                <c:pt idx="260">
                  <c:v>2.5700000000000001E-2</c:v>
                </c:pt>
                <c:pt idx="261">
                  <c:v>2.5600000000000001E-2</c:v>
                </c:pt>
                <c:pt idx="262">
                  <c:v>2.5510000000000001E-2</c:v>
                </c:pt>
                <c:pt idx="263">
                  <c:v>2.5409999999999999E-2</c:v>
                </c:pt>
                <c:pt idx="264">
                  <c:v>2.5309999999999999E-2</c:v>
                </c:pt>
                <c:pt idx="265">
                  <c:v>2.5219999999999999E-2</c:v>
                </c:pt>
                <c:pt idx="266">
                  <c:v>2.512E-2</c:v>
                </c:pt>
                <c:pt idx="267">
                  <c:v>2.503E-2</c:v>
                </c:pt>
                <c:pt idx="268">
                  <c:v>2.494E-2</c:v>
                </c:pt>
                <c:pt idx="269">
                  <c:v>2.4850000000000001E-2</c:v>
                </c:pt>
                <c:pt idx="270">
                  <c:v>2.4760000000000001E-2</c:v>
                </c:pt>
                <c:pt idx="271">
                  <c:v>2.4660000000000001E-2</c:v>
                </c:pt>
                <c:pt idx="272">
                  <c:v>2.4570000000000002E-2</c:v>
                </c:pt>
                <c:pt idx="273">
                  <c:v>2.4479999999999998E-2</c:v>
                </c:pt>
                <c:pt idx="274">
                  <c:v>2.4389999999999998E-2</c:v>
                </c:pt>
                <c:pt idx="275">
                  <c:v>2.4299999999999999E-2</c:v>
                </c:pt>
                <c:pt idx="276">
                  <c:v>2.4219999999999998E-2</c:v>
                </c:pt>
                <c:pt idx="277">
                  <c:v>2.4129999999999999E-2</c:v>
                </c:pt>
                <c:pt idx="278">
                  <c:v>2.4039999999999999E-2</c:v>
                </c:pt>
                <c:pt idx="279">
                  <c:v>2.3959999999999999E-2</c:v>
                </c:pt>
                <c:pt idx="280">
                  <c:v>2.3869999999999999E-2</c:v>
                </c:pt>
                <c:pt idx="281">
                  <c:v>2.3789999999999999E-2</c:v>
                </c:pt>
                <c:pt idx="282">
                  <c:v>2.3699999999999999E-2</c:v>
                </c:pt>
                <c:pt idx="283">
                  <c:v>2.3619999999999999E-2</c:v>
                </c:pt>
                <c:pt idx="284">
                  <c:v>2.3539999999999998E-2</c:v>
                </c:pt>
                <c:pt idx="285">
                  <c:v>2.3449999999999999E-2</c:v>
                </c:pt>
                <c:pt idx="286">
                  <c:v>2.3369999999999998E-2</c:v>
                </c:pt>
                <c:pt idx="287">
                  <c:v>2.3290000000000002E-2</c:v>
                </c:pt>
                <c:pt idx="288">
                  <c:v>2.3210000000000001E-2</c:v>
                </c:pt>
                <c:pt idx="289">
                  <c:v>2.3130000000000001E-2</c:v>
                </c:pt>
                <c:pt idx="290">
                  <c:v>2.3050000000000001E-2</c:v>
                </c:pt>
                <c:pt idx="291">
                  <c:v>2.2970000000000001E-2</c:v>
                </c:pt>
                <c:pt idx="292">
                  <c:v>2.2890000000000001E-2</c:v>
                </c:pt>
                <c:pt idx="293">
                  <c:v>2.282E-2</c:v>
                </c:pt>
                <c:pt idx="294">
                  <c:v>2.274E-2</c:v>
                </c:pt>
                <c:pt idx="295">
                  <c:v>2.266E-2</c:v>
                </c:pt>
                <c:pt idx="296">
                  <c:v>2.2589999999999999E-2</c:v>
                </c:pt>
                <c:pt idx="297">
                  <c:v>2.2509999999999999E-2</c:v>
                </c:pt>
                <c:pt idx="298">
                  <c:v>2.2429999999999999E-2</c:v>
                </c:pt>
                <c:pt idx="299">
                  <c:v>2.2360000000000001E-2</c:v>
                </c:pt>
                <c:pt idx="300">
                  <c:v>2.2290000000000001E-2</c:v>
                </c:pt>
                <c:pt idx="301">
                  <c:v>2.2210000000000001E-2</c:v>
                </c:pt>
                <c:pt idx="302">
                  <c:v>2.214E-2</c:v>
                </c:pt>
                <c:pt idx="303">
                  <c:v>2.2069999999999999E-2</c:v>
                </c:pt>
                <c:pt idx="304">
                  <c:v>2.1989999999999999E-2</c:v>
                </c:pt>
                <c:pt idx="305">
                  <c:v>2.1919999999999999E-2</c:v>
                </c:pt>
                <c:pt idx="306">
                  <c:v>2.1850000000000001E-2</c:v>
                </c:pt>
                <c:pt idx="307">
                  <c:v>2.1780000000000001E-2</c:v>
                </c:pt>
                <c:pt idx="308">
                  <c:v>2.171E-2</c:v>
                </c:pt>
                <c:pt idx="309">
                  <c:v>2.164E-2</c:v>
                </c:pt>
                <c:pt idx="310">
                  <c:v>2.1569999999999999E-2</c:v>
                </c:pt>
                <c:pt idx="311">
                  <c:v>2.1499999999999998E-2</c:v>
                </c:pt>
                <c:pt idx="312">
                  <c:v>2.1430000000000001E-2</c:v>
                </c:pt>
                <c:pt idx="313">
                  <c:v>2.1360000000000001E-2</c:v>
                </c:pt>
                <c:pt idx="314">
                  <c:v>2.129E-2</c:v>
                </c:pt>
                <c:pt idx="315">
                  <c:v>2.1229999999999999E-2</c:v>
                </c:pt>
                <c:pt idx="316">
                  <c:v>2.1160000000000002E-2</c:v>
                </c:pt>
                <c:pt idx="317">
                  <c:v>2.1100000000000001E-2</c:v>
                </c:pt>
                <c:pt idx="318">
                  <c:v>2.103E-2</c:v>
                </c:pt>
                <c:pt idx="319">
                  <c:v>2.0959999999999999E-2</c:v>
                </c:pt>
                <c:pt idx="320">
                  <c:v>2.0899999999999998E-2</c:v>
                </c:pt>
                <c:pt idx="321">
                  <c:v>2.0830000000000001E-2</c:v>
                </c:pt>
                <c:pt idx="322">
                  <c:v>2.077E-2</c:v>
                </c:pt>
                <c:pt idx="323">
                  <c:v>2.0709999999999999E-2</c:v>
                </c:pt>
                <c:pt idx="324">
                  <c:v>2.0639999999999999E-2</c:v>
                </c:pt>
                <c:pt idx="325">
                  <c:v>2.0580000000000001E-2</c:v>
                </c:pt>
                <c:pt idx="326">
                  <c:v>2.051E-2</c:v>
                </c:pt>
                <c:pt idx="327">
                  <c:v>2.0449999999999999E-2</c:v>
                </c:pt>
                <c:pt idx="328">
                  <c:v>2.0389999999999998E-2</c:v>
                </c:pt>
                <c:pt idx="329">
                  <c:v>2.0330000000000001E-2</c:v>
                </c:pt>
                <c:pt idx="330">
                  <c:v>2.026E-2</c:v>
                </c:pt>
                <c:pt idx="331">
                  <c:v>2.0199999999999999E-2</c:v>
                </c:pt>
                <c:pt idx="332">
                  <c:v>2.0150000000000001E-2</c:v>
                </c:pt>
                <c:pt idx="333">
                  <c:v>2.009E-2</c:v>
                </c:pt>
                <c:pt idx="334">
                  <c:v>2.0029999999999999E-2</c:v>
                </c:pt>
                <c:pt idx="335">
                  <c:v>1.9959999999999999E-2</c:v>
                </c:pt>
                <c:pt idx="336">
                  <c:v>1.9900000000000001E-2</c:v>
                </c:pt>
                <c:pt idx="337">
                  <c:v>1.985E-2</c:v>
                </c:pt>
                <c:pt idx="338">
                  <c:v>1.9789999999999999E-2</c:v>
                </c:pt>
                <c:pt idx="339">
                  <c:v>1.9730000000000001E-2</c:v>
                </c:pt>
                <c:pt idx="340">
                  <c:v>1.967E-2</c:v>
                </c:pt>
                <c:pt idx="341">
                  <c:v>1.9609999999999999E-2</c:v>
                </c:pt>
                <c:pt idx="342">
                  <c:v>1.9560000000000001E-2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90-4C20-84A4-C55B9AB2FEFB}"/>
            </c:ext>
          </c:extLst>
        </c:ser>
        <c:ser>
          <c:idx val="4"/>
          <c:order val="3"/>
          <c:tx>
            <c:v>5-5.4</c:v>
          </c:tx>
          <c:spPr>
            <a:ln w="28575">
              <a:noFill/>
            </a:ln>
          </c:spPr>
          <c:xVal>
            <c:numRef>
              <c:f>'COMPLETENESS ANALYSIS'!$C$4:$C$346</c:f>
              <c:numCache>
                <c:formatCode>General</c:formatCode>
                <c:ptCount val="3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</c:numCache>
            </c:numRef>
          </c:xVal>
          <c:yVal>
            <c:numRef>
              <c:f>'COMPLETENESS ANALYSIS'!$P$14:$P$346</c:f>
              <c:numCache>
                <c:formatCode>0.000</c:formatCode>
                <c:ptCount val="333"/>
                <c:pt idx="0">
                  <c:v>9.0910000000000005E-2</c:v>
                </c:pt>
                <c:pt idx="1">
                  <c:v>8.3330000000000001E-2</c:v>
                </c:pt>
                <c:pt idx="2">
                  <c:v>7.6920000000000002E-2</c:v>
                </c:pt>
                <c:pt idx="3">
                  <c:v>7.1429999999999993E-2</c:v>
                </c:pt>
                <c:pt idx="4">
                  <c:v>6.6669999999999993E-2</c:v>
                </c:pt>
                <c:pt idx="5">
                  <c:v>6.25E-2</c:v>
                </c:pt>
                <c:pt idx="6">
                  <c:v>5.8819999999999997E-2</c:v>
                </c:pt>
                <c:pt idx="7">
                  <c:v>5.5559999999999998E-2</c:v>
                </c:pt>
                <c:pt idx="8">
                  <c:v>5.2630000000000003E-2</c:v>
                </c:pt>
                <c:pt idx="9">
                  <c:v>7.0709999999999995E-2</c:v>
                </c:pt>
                <c:pt idx="10">
                  <c:v>8.2479999999999998E-2</c:v>
                </c:pt>
                <c:pt idx="11">
                  <c:v>7.8729999999999994E-2</c:v>
                </c:pt>
                <c:pt idx="12">
                  <c:v>9.7220000000000001E-2</c:v>
                </c:pt>
                <c:pt idx="13">
                  <c:v>9.3170000000000003E-2</c:v>
                </c:pt>
                <c:pt idx="14">
                  <c:v>8.9440000000000006E-2</c:v>
                </c:pt>
                <c:pt idx="15">
                  <c:v>8.5999999999999993E-2</c:v>
                </c:pt>
                <c:pt idx="16">
                  <c:v>9.0719999999999995E-2</c:v>
                </c:pt>
                <c:pt idx="17">
                  <c:v>9.4490000000000005E-2</c:v>
                </c:pt>
                <c:pt idx="18">
                  <c:v>9.1240000000000002E-2</c:v>
                </c:pt>
                <c:pt idx="19">
                  <c:v>8.8190000000000004E-2</c:v>
                </c:pt>
                <c:pt idx="20">
                  <c:v>8.5349999999999995E-2</c:v>
                </c:pt>
                <c:pt idx="21">
                  <c:v>8.2680000000000003E-2</c:v>
                </c:pt>
                <c:pt idx="22">
                  <c:v>8.0180000000000001E-2</c:v>
                </c:pt>
                <c:pt idx="23">
                  <c:v>8.319E-2</c:v>
                </c:pt>
                <c:pt idx="24">
                  <c:v>8.5709999999999995E-2</c:v>
                </c:pt>
                <c:pt idx="25">
                  <c:v>8.3339999999999997E-2</c:v>
                </c:pt>
                <c:pt idx="26">
                  <c:v>8.1079999999999999E-2</c:v>
                </c:pt>
                <c:pt idx="27">
                  <c:v>8.3220000000000002E-2</c:v>
                </c:pt>
                <c:pt idx="28">
                  <c:v>8.5040000000000004E-2</c:v>
                </c:pt>
                <c:pt idx="29">
                  <c:v>8.2909999999999998E-2</c:v>
                </c:pt>
                <c:pt idx="30">
                  <c:v>8.0890000000000004E-2</c:v>
                </c:pt>
                <c:pt idx="31">
                  <c:v>7.8960000000000002E-2</c:v>
                </c:pt>
                <c:pt idx="32">
                  <c:v>7.7130000000000004E-2</c:v>
                </c:pt>
                <c:pt idx="33">
                  <c:v>7.5380000000000003E-2</c:v>
                </c:pt>
                <c:pt idx="34">
                  <c:v>7.3700000000000002E-2</c:v>
                </c:pt>
                <c:pt idx="35">
                  <c:v>7.2099999999999997E-2</c:v>
                </c:pt>
                <c:pt idx="36">
                  <c:v>7.0559999999999998E-2</c:v>
                </c:pt>
                <c:pt idx="37">
                  <c:v>6.9099999999999995E-2</c:v>
                </c:pt>
                <c:pt idx="38">
                  <c:v>6.769E-2</c:v>
                </c:pt>
                <c:pt idx="39">
                  <c:v>6.633E-2</c:v>
                </c:pt>
                <c:pt idx="40">
                  <c:v>6.5030000000000004E-2</c:v>
                </c:pt>
                <c:pt idx="41">
                  <c:v>6.6619999999999999E-2</c:v>
                </c:pt>
                <c:pt idx="42">
                  <c:v>6.5360000000000001E-2</c:v>
                </c:pt>
                <c:pt idx="43">
                  <c:v>6.4149999999999999E-2</c:v>
                </c:pt>
                <c:pt idx="44">
                  <c:v>6.2979999999999994E-2</c:v>
                </c:pt>
                <c:pt idx="45">
                  <c:v>6.1859999999999998E-2</c:v>
                </c:pt>
                <c:pt idx="46">
                  <c:v>6.0769999999999998E-2</c:v>
                </c:pt>
                <c:pt idx="47">
                  <c:v>5.9729999999999998E-2</c:v>
                </c:pt>
                <c:pt idx="48">
                  <c:v>6.1109999999999998E-2</c:v>
                </c:pt>
                <c:pt idx="49">
                  <c:v>6.0089999999999998E-2</c:v>
                </c:pt>
                <c:pt idx="50">
                  <c:v>5.9110000000000003E-2</c:v>
                </c:pt>
                <c:pt idx="51">
                  <c:v>5.815E-2</c:v>
                </c:pt>
                <c:pt idx="52">
                  <c:v>5.7230000000000003E-2</c:v>
                </c:pt>
                <c:pt idx="53">
                  <c:v>5.6340000000000001E-2</c:v>
                </c:pt>
                <c:pt idx="54">
                  <c:v>5.5469999999999998E-2</c:v>
                </c:pt>
                <c:pt idx="55">
                  <c:v>5.4629999999999998E-2</c:v>
                </c:pt>
                <c:pt idx="56">
                  <c:v>5.3809999999999997E-2</c:v>
                </c:pt>
                <c:pt idx="57">
                  <c:v>5.3019999999999998E-2</c:v>
                </c:pt>
                <c:pt idx="58">
                  <c:v>5.2260000000000001E-2</c:v>
                </c:pt>
                <c:pt idx="59">
                  <c:v>5.151E-2</c:v>
                </c:pt>
                <c:pt idx="60">
                  <c:v>5.0779999999999999E-2</c:v>
                </c:pt>
                <c:pt idx="61">
                  <c:v>5.008E-2</c:v>
                </c:pt>
                <c:pt idx="62">
                  <c:v>4.9390000000000003E-2</c:v>
                </c:pt>
                <c:pt idx="63">
                  <c:v>4.8730000000000002E-2</c:v>
                </c:pt>
                <c:pt idx="64">
                  <c:v>4.8070000000000002E-2</c:v>
                </c:pt>
                <c:pt idx="65">
                  <c:v>4.7440000000000003E-2</c:v>
                </c:pt>
                <c:pt idx="66">
                  <c:v>4.6820000000000001E-2</c:v>
                </c:pt>
                <c:pt idx="67">
                  <c:v>4.623E-2</c:v>
                </c:pt>
                <c:pt idx="68">
                  <c:v>4.564E-2</c:v>
                </c:pt>
                <c:pt idx="69">
                  <c:v>4.5069999999999999E-2</c:v>
                </c:pt>
                <c:pt idx="70">
                  <c:v>4.4510000000000001E-2</c:v>
                </c:pt>
                <c:pt idx="71">
                  <c:v>4.3970000000000002E-2</c:v>
                </c:pt>
                <c:pt idx="72">
                  <c:v>4.3439999999999999E-2</c:v>
                </c:pt>
                <c:pt idx="73">
                  <c:v>4.292E-2</c:v>
                </c:pt>
                <c:pt idx="74">
                  <c:v>4.2419999999999999E-2</c:v>
                </c:pt>
                <c:pt idx="75">
                  <c:v>4.1919999999999999E-2</c:v>
                </c:pt>
                <c:pt idx="76">
                  <c:v>4.1439999999999998E-2</c:v>
                </c:pt>
                <c:pt idx="77">
                  <c:v>4.0969999999999999E-2</c:v>
                </c:pt>
                <c:pt idx="78">
                  <c:v>4.0509999999999997E-2</c:v>
                </c:pt>
                <c:pt idx="79">
                  <c:v>4.0059999999999998E-2</c:v>
                </c:pt>
                <c:pt idx="80">
                  <c:v>3.9620000000000002E-2</c:v>
                </c:pt>
                <c:pt idx="81">
                  <c:v>3.9190000000000003E-2</c:v>
                </c:pt>
                <c:pt idx="82">
                  <c:v>3.8769999999999999E-2</c:v>
                </c:pt>
                <c:pt idx="83">
                  <c:v>3.8359999999999998E-2</c:v>
                </c:pt>
                <c:pt idx="84">
                  <c:v>3.7949999999999998E-2</c:v>
                </c:pt>
                <c:pt idx="85">
                  <c:v>3.7560000000000003E-2</c:v>
                </c:pt>
                <c:pt idx="86">
                  <c:v>3.7170000000000002E-2</c:v>
                </c:pt>
                <c:pt idx="87">
                  <c:v>3.6790000000000003E-2</c:v>
                </c:pt>
                <c:pt idx="88">
                  <c:v>3.6420000000000001E-2</c:v>
                </c:pt>
                <c:pt idx="89">
                  <c:v>3.6060000000000002E-2</c:v>
                </c:pt>
                <c:pt idx="90">
                  <c:v>3.5700000000000003E-2</c:v>
                </c:pt>
                <c:pt idx="91">
                  <c:v>3.5349999999999999E-2</c:v>
                </c:pt>
                <c:pt idx="92">
                  <c:v>3.5000000000000003E-2</c:v>
                </c:pt>
                <c:pt idx="93">
                  <c:v>3.4669999999999999E-2</c:v>
                </c:pt>
                <c:pt idx="94">
                  <c:v>3.4340000000000002E-2</c:v>
                </c:pt>
                <c:pt idx="95">
                  <c:v>3.4009999999999999E-2</c:v>
                </c:pt>
                <c:pt idx="96">
                  <c:v>3.3700000000000001E-2</c:v>
                </c:pt>
                <c:pt idx="97">
                  <c:v>3.3390000000000003E-2</c:v>
                </c:pt>
                <c:pt idx="98">
                  <c:v>3.3079999999999998E-2</c:v>
                </c:pt>
                <c:pt idx="99">
                  <c:v>3.2779999999999997E-2</c:v>
                </c:pt>
                <c:pt idx="100">
                  <c:v>3.2480000000000002E-2</c:v>
                </c:pt>
                <c:pt idx="101">
                  <c:v>3.2190000000000003E-2</c:v>
                </c:pt>
                <c:pt idx="102">
                  <c:v>3.1910000000000001E-2</c:v>
                </c:pt>
                <c:pt idx="103">
                  <c:v>3.1629999999999998E-2</c:v>
                </c:pt>
                <c:pt idx="104">
                  <c:v>3.2539999999999999E-2</c:v>
                </c:pt>
                <c:pt idx="105">
                  <c:v>3.2259999999999997E-2</c:v>
                </c:pt>
                <c:pt idx="106">
                  <c:v>3.1980000000000001E-2</c:v>
                </c:pt>
                <c:pt idx="107">
                  <c:v>3.1710000000000002E-2</c:v>
                </c:pt>
                <c:pt idx="108">
                  <c:v>3.1440000000000003E-2</c:v>
                </c:pt>
                <c:pt idx="109">
                  <c:v>3.1179999999999999E-2</c:v>
                </c:pt>
                <c:pt idx="110">
                  <c:v>3.092E-2</c:v>
                </c:pt>
                <c:pt idx="111">
                  <c:v>3.0669999999999999E-2</c:v>
                </c:pt>
                <c:pt idx="112">
                  <c:v>3.0419999999999999E-2</c:v>
                </c:pt>
                <c:pt idx="113">
                  <c:v>3.0169999999999999E-2</c:v>
                </c:pt>
                <c:pt idx="114">
                  <c:v>2.9929999999999998E-2</c:v>
                </c:pt>
                <c:pt idx="115">
                  <c:v>2.9700000000000001E-2</c:v>
                </c:pt>
                <c:pt idx="116">
                  <c:v>2.946E-2</c:v>
                </c:pt>
                <c:pt idx="117">
                  <c:v>2.9229999999999999E-2</c:v>
                </c:pt>
                <c:pt idx="118">
                  <c:v>2.9010000000000001E-2</c:v>
                </c:pt>
                <c:pt idx="119">
                  <c:v>2.878E-2</c:v>
                </c:pt>
                <c:pt idx="120">
                  <c:v>2.8559999999999999E-2</c:v>
                </c:pt>
                <c:pt idx="121">
                  <c:v>2.835E-2</c:v>
                </c:pt>
                <c:pt idx="122">
                  <c:v>2.8129999999999999E-2</c:v>
                </c:pt>
                <c:pt idx="123">
                  <c:v>2.792E-2</c:v>
                </c:pt>
                <c:pt idx="124">
                  <c:v>2.7720000000000002E-2</c:v>
                </c:pt>
                <c:pt idx="125">
                  <c:v>2.751E-2</c:v>
                </c:pt>
                <c:pt idx="126">
                  <c:v>2.7310000000000001E-2</c:v>
                </c:pt>
                <c:pt idx="127">
                  <c:v>2.7109999999999999E-2</c:v>
                </c:pt>
                <c:pt idx="128">
                  <c:v>2.6919999999999999E-2</c:v>
                </c:pt>
                <c:pt idx="129">
                  <c:v>2.673E-2</c:v>
                </c:pt>
                <c:pt idx="130">
                  <c:v>2.6540000000000001E-2</c:v>
                </c:pt>
                <c:pt idx="131">
                  <c:v>2.6349999999999998E-2</c:v>
                </c:pt>
                <c:pt idx="132">
                  <c:v>2.6159999999999999E-2</c:v>
                </c:pt>
                <c:pt idx="133">
                  <c:v>2.598E-2</c:v>
                </c:pt>
                <c:pt idx="134">
                  <c:v>2.581E-2</c:v>
                </c:pt>
                <c:pt idx="135">
                  <c:v>2.563E-2</c:v>
                </c:pt>
                <c:pt idx="136">
                  <c:v>2.545E-2</c:v>
                </c:pt>
                <c:pt idx="137">
                  <c:v>2.528E-2</c:v>
                </c:pt>
                <c:pt idx="138">
                  <c:v>2.511E-2</c:v>
                </c:pt>
                <c:pt idx="139">
                  <c:v>2.494E-2</c:v>
                </c:pt>
                <c:pt idx="140">
                  <c:v>2.478E-2</c:v>
                </c:pt>
                <c:pt idx="141">
                  <c:v>2.462E-2</c:v>
                </c:pt>
                <c:pt idx="142">
                  <c:v>2.4459999999999999E-2</c:v>
                </c:pt>
                <c:pt idx="143">
                  <c:v>2.4299999999999999E-2</c:v>
                </c:pt>
                <c:pt idx="144">
                  <c:v>2.4140000000000002E-2</c:v>
                </c:pt>
                <c:pt idx="145">
                  <c:v>2.3980000000000001E-2</c:v>
                </c:pt>
                <c:pt idx="146">
                  <c:v>2.383E-2</c:v>
                </c:pt>
                <c:pt idx="147">
                  <c:v>2.4510000000000001E-2</c:v>
                </c:pt>
                <c:pt idx="148">
                  <c:v>2.436E-2</c:v>
                </c:pt>
                <c:pt idx="149">
                  <c:v>2.4209999999999999E-2</c:v>
                </c:pt>
                <c:pt idx="150">
                  <c:v>2.4060000000000002E-2</c:v>
                </c:pt>
                <c:pt idx="151">
                  <c:v>2.3910000000000001E-2</c:v>
                </c:pt>
                <c:pt idx="152">
                  <c:v>2.376E-2</c:v>
                </c:pt>
                <c:pt idx="153">
                  <c:v>2.3619999999999999E-2</c:v>
                </c:pt>
                <c:pt idx="154">
                  <c:v>2.4240000000000001E-2</c:v>
                </c:pt>
                <c:pt idx="155">
                  <c:v>2.41E-2</c:v>
                </c:pt>
                <c:pt idx="156">
                  <c:v>2.3949999999999999E-2</c:v>
                </c:pt>
                <c:pt idx="157">
                  <c:v>2.3810000000000001E-2</c:v>
                </c:pt>
                <c:pt idx="158">
                  <c:v>2.367E-2</c:v>
                </c:pt>
                <c:pt idx="159">
                  <c:v>2.3529999999999999E-2</c:v>
                </c:pt>
                <c:pt idx="160">
                  <c:v>2.3390000000000001E-2</c:v>
                </c:pt>
                <c:pt idx="161">
                  <c:v>2.3259999999999999E-2</c:v>
                </c:pt>
                <c:pt idx="162">
                  <c:v>2.3120000000000002E-2</c:v>
                </c:pt>
                <c:pt idx="163">
                  <c:v>2.299E-2</c:v>
                </c:pt>
                <c:pt idx="164">
                  <c:v>2.2859999999999998E-2</c:v>
                </c:pt>
                <c:pt idx="165">
                  <c:v>2.273E-2</c:v>
                </c:pt>
                <c:pt idx="166">
                  <c:v>2.2599999999999999E-2</c:v>
                </c:pt>
                <c:pt idx="167">
                  <c:v>2.247E-2</c:v>
                </c:pt>
                <c:pt idx="168">
                  <c:v>2.2349999999999998E-2</c:v>
                </c:pt>
                <c:pt idx="169">
                  <c:v>2.222E-2</c:v>
                </c:pt>
                <c:pt idx="170">
                  <c:v>2.2100000000000002E-2</c:v>
                </c:pt>
                <c:pt idx="171">
                  <c:v>2.198E-2</c:v>
                </c:pt>
                <c:pt idx="172">
                  <c:v>2.1860000000000001E-2</c:v>
                </c:pt>
                <c:pt idx="173">
                  <c:v>2.1739999999999999E-2</c:v>
                </c:pt>
                <c:pt idx="174">
                  <c:v>2.162E-2</c:v>
                </c:pt>
                <c:pt idx="175">
                  <c:v>2.1499999999999998E-2</c:v>
                </c:pt>
                <c:pt idx="176">
                  <c:v>2.1389999999999999E-2</c:v>
                </c:pt>
                <c:pt idx="177">
                  <c:v>2.128E-2</c:v>
                </c:pt>
                <c:pt idx="178">
                  <c:v>2.1160000000000002E-2</c:v>
                </c:pt>
                <c:pt idx="179">
                  <c:v>2.1049999999999999E-2</c:v>
                </c:pt>
                <c:pt idx="180">
                  <c:v>2.094E-2</c:v>
                </c:pt>
                <c:pt idx="181">
                  <c:v>2.0830000000000001E-2</c:v>
                </c:pt>
                <c:pt idx="182">
                  <c:v>2.0719999999999999E-2</c:v>
                </c:pt>
                <c:pt idx="183">
                  <c:v>2.0619999999999999E-2</c:v>
                </c:pt>
                <c:pt idx="184">
                  <c:v>2.051E-2</c:v>
                </c:pt>
                <c:pt idx="185">
                  <c:v>2.0410000000000001E-2</c:v>
                </c:pt>
                <c:pt idx="186">
                  <c:v>2.0310000000000002E-2</c:v>
                </c:pt>
                <c:pt idx="187">
                  <c:v>2.0199999999999999E-2</c:v>
                </c:pt>
                <c:pt idx="188">
                  <c:v>2.01E-2</c:v>
                </c:pt>
                <c:pt idx="189">
                  <c:v>0.02</c:v>
                </c:pt>
                <c:pt idx="190">
                  <c:v>1.9900000000000001E-2</c:v>
                </c:pt>
                <c:pt idx="191">
                  <c:v>1.9800000000000002E-2</c:v>
                </c:pt>
                <c:pt idx="192">
                  <c:v>1.9709999999999998E-2</c:v>
                </c:pt>
                <c:pt idx="193">
                  <c:v>1.9609999999999999E-2</c:v>
                </c:pt>
                <c:pt idx="194">
                  <c:v>1.951E-2</c:v>
                </c:pt>
                <c:pt idx="195">
                  <c:v>1.942E-2</c:v>
                </c:pt>
                <c:pt idx="196">
                  <c:v>1.932E-2</c:v>
                </c:pt>
                <c:pt idx="197">
                  <c:v>1.9230000000000001E-2</c:v>
                </c:pt>
                <c:pt idx="198">
                  <c:v>1.9140000000000001E-2</c:v>
                </c:pt>
                <c:pt idx="199">
                  <c:v>1.9050000000000001E-2</c:v>
                </c:pt>
                <c:pt idx="200">
                  <c:v>1.8960000000000001E-2</c:v>
                </c:pt>
                <c:pt idx="201">
                  <c:v>1.8870000000000001E-2</c:v>
                </c:pt>
                <c:pt idx="202">
                  <c:v>1.8780000000000002E-2</c:v>
                </c:pt>
                <c:pt idx="203">
                  <c:v>1.8689999999999998E-2</c:v>
                </c:pt>
                <c:pt idx="204">
                  <c:v>1.8599999999999998E-2</c:v>
                </c:pt>
                <c:pt idx="205">
                  <c:v>1.8519999999999998E-2</c:v>
                </c:pt>
                <c:pt idx="206">
                  <c:v>1.8429999999999998E-2</c:v>
                </c:pt>
                <c:pt idx="207">
                  <c:v>1.8350000000000002E-2</c:v>
                </c:pt>
                <c:pt idx="208">
                  <c:v>1.8259999999999998E-2</c:v>
                </c:pt>
                <c:pt idx="209">
                  <c:v>1.8180000000000002E-2</c:v>
                </c:pt>
                <c:pt idx="210">
                  <c:v>1.8100000000000002E-2</c:v>
                </c:pt>
                <c:pt idx="211">
                  <c:v>1.8020000000000001E-2</c:v>
                </c:pt>
                <c:pt idx="212">
                  <c:v>1.7940000000000001E-2</c:v>
                </c:pt>
                <c:pt idx="213">
                  <c:v>1.7860000000000001E-2</c:v>
                </c:pt>
                <c:pt idx="214">
                  <c:v>1.7780000000000001E-2</c:v>
                </c:pt>
                <c:pt idx="215">
                  <c:v>1.77E-2</c:v>
                </c:pt>
                <c:pt idx="216">
                  <c:v>1.762E-2</c:v>
                </c:pt>
                <c:pt idx="217">
                  <c:v>1.755E-2</c:v>
                </c:pt>
                <c:pt idx="218">
                  <c:v>1.7469999999999999E-2</c:v>
                </c:pt>
                <c:pt idx="219">
                  <c:v>1.7389999999999999E-2</c:v>
                </c:pt>
                <c:pt idx="220">
                  <c:v>1.7319999999999999E-2</c:v>
                </c:pt>
                <c:pt idx="221">
                  <c:v>1.7239999999999998E-2</c:v>
                </c:pt>
                <c:pt idx="222">
                  <c:v>1.7170000000000001E-2</c:v>
                </c:pt>
                <c:pt idx="223">
                  <c:v>1.7090000000000001E-2</c:v>
                </c:pt>
                <c:pt idx="224">
                  <c:v>1.702E-2</c:v>
                </c:pt>
                <c:pt idx="225">
                  <c:v>1.695E-2</c:v>
                </c:pt>
                <c:pt idx="226">
                  <c:v>1.6879999999999999E-2</c:v>
                </c:pt>
                <c:pt idx="227">
                  <c:v>1.6809999999999999E-2</c:v>
                </c:pt>
                <c:pt idx="228">
                  <c:v>1.6740000000000001E-2</c:v>
                </c:pt>
                <c:pt idx="229">
                  <c:v>1.6670000000000001E-2</c:v>
                </c:pt>
                <c:pt idx="230">
                  <c:v>1.66E-2</c:v>
                </c:pt>
                <c:pt idx="231">
                  <c:v>1.653E-2</c:v>
                </c:pt>
                <c:pt idx="232">
                  <c:v>1.6459999999999999E-2</c:v>
                </c:pt>
                <c:pt idx="233">
                  <c:v>1.6389999999999998E-2</c:v>
                </c:pt>
                <c:pt idx="234">
                  <c:v>1.6330000000000001E-2</c:v>
                </c:pt>
                <c:pt idx="235">
                  <c:v>1.626E-2</c:v>
                </c:pt>
                <c:pt idx="236">
                  <c:v>1.6199999999999999E-2</c:v>
                </c:pt>
                <c:pt idx="237">
                  <c:v>1.6129999999999999E-2</c:v>
                </c:pt>
                <c:pt idx="238">
                  <c:v>1.6060000000000001E-2</c:v>
                </c:pt>
                <c:pt idx="239">
                  <c:v>1.6E-2</c:v>
                </c:pt>
                <c:pt idx="240">
                  <c:v>1.5939999999999999E-2</c:v>
                </c:pt>
                <c:pt idx="241">
                  <c:v>1.5869999999999999E-2</c:v>
                </c:pt>
                <c:pt idx="242">
                  <c:v>1.5810000000000001E-2</c:v>
                </c:pt>
                <c:pt idx="243">
                  <c:v>1.575E-2</c:v>
                </c:pt>
                <c:pt idx="244">
                  <c:v>1.5689999999999999E-2</c:v>
                </c:pt>
                <c:pt idx="245">
                  <c:v>1.5630000000000002E-2</c:v>
                </c:pt>
                <c:pt idx="246">
                  <c:v>1.5570000000000001E-2</c:v>
                </c:pt>
                <c:pt idx="247">
                  <c:v>1.5509999999999999E-2</c:v>
                </c:pt>
                <c:pt idx="248">
                  <c:v>1.545E-2</c:v>
                </c:pt>
                <c:pt idx="249">
                  <c:v>1.5389999999999999E-2</c:v>
                </c:pt>
                <c:pt idx="250">
                  <c:v>1.533E-2</c:v>
                </c:pt>
                <c:pt idx="251">
                  <c:v>1.5270000000000001E-2</c:v>
                </c:pt>
                <c:pt idx="252">
                  <c:v>1.521E-2</c:v>
                </c:pt>
                <c:pt idx="253">
                  <c:v>1.515E-2</c:v>
                </c:pt>
                <c:pt idx="254">
                  <c:v>1.5089999999999999E-2</c:v>
                </c:pt>
                <c:pt idx="255">
                  <c:v>1.504E-2</c:v>
                </c:pt>
                <c:pt idx="256">
                  <c:v>1.498E-2</c:v>
                </c:pt>
                <c:pt idx="257">
                  <c:v>1.4919999999999999E-2</c:v>
                </c:pt>
                <c:pt idx="258">
                  <c:v>1.487E-2</c:v>
                </c:pt>
                <c:pt idx="259">
                  <c:v>1.482E-2</c:v>
                </c:pt>
                <c:pt idx="260">
                  <c:v>1.4760000000000001E-2</c:v>
                </c:pt>
                <c:pt idx="261">
                  <c:v>1.47E-2</c:v>
                </c:pt>
                <c:pt idx="262">
                  <c:v>1.465E-2</c:v>
                </c:pt>
                <c:pt idx="263">
                  <c:v>1.46E-2</c:v>
                </c:pt>
                <c:pt idx="264">
                  <c:v>1.4540000000000001E-2</c:v>
                </c:pt>
                <c:pt idx="265">
                  <c:v>1.4489999999999999E-2</c:v>
                </c:pt>
                <c:pt idx="266">
                  <c:v>1.444E-2</c:v>
                </c:pt>
                <c:pt idx="267">
                  <c:v>1.439E-2</c:v>
                </c:pt>
                <c:pt idx="268">
                  <c:v>1.434E-2</c:v>
                </c:pt>
                <c:pt idx="269">
                  <c:v>1.4290000000000001E-2</c:v>
                </c:pt>
                <c:pt idx="270">
                  <c:v>1.423E-2</c:v>
                </c:pt>
                <c:pt idx="271">
                  <c:v>1.418E-2</c:v>
                </c:pt>
                <c:pt idx="272">
                  <c:v>1.413E-2</c:v>
                </c:pt>
                <c:pt idx="273">
                  <c:v>1.4080000000000001E-2</c:v>
                </c:pt>
                <c:pt idx="274">
                  <c:v>1.4030000000000001E-2</c:v>
                </c:pt>
                <c:pt idx="275">
                  <c:v>1.3990000000000001E-2</c:v>
                </c:pt>
                <c:pt idx="276">
                  <c:v>1.3939999999999999E-2</c:v>
                </c:pt>
                <c:pt idx="277">
                  <c:v>1.389E-2</c:v>
                </c:pt>
                <c:pt idx="278">
                  <c:v>1.384E-2</c:v>
                </c:pt>
                <c:pt idx="279">
                  <c:v>1.379E-2</c:v>
                </c:pt>
                <c:pt idx="280">
                  <c:v>1.375E-2</c:v>
                </c:pt>
                <c:pt idx="281">
                  <c:v>1.37E-2</c:v>
                </c:pt>
                <c:pt idx="282">
                  <c:v>1.3650000000000001E-2</c:v>
                </c:pt>
                <c:pt idx="283">
                  <c:v>1.3599999999999999E-2</c:v>
                </c:pt>
                <c:pt idx="284">
                  <c:v>1.3559999999999999E-2</c:v>
                </c:pt>
                <c:pt idx="285">
                  <c:v>1.3509999999999999E-2</c:v>
                </c:pt>
                <c:pt idx="286">
                  <c:v>1.3469999999999999E-2</c:v>
                </c:pt>
                <c:pt idx="287">
                  <c:v>1.342E-2</c:v>
                </c:pt>
                <c:pt idx="288">
                  <c:v>1.338E-2</c:v>
                </c:pt>
                <c:pt idx="289">
                  <c:v>1.333E-2</c:v>
                </c:pt>
                <c:pt idx="290">
                  <c:v>1.329E-2</c:v>
                </c:pt>
                <c:pt idx="291">
                  <c:v>1.324E-2</c:v>
                </c:pt>
                <c:pt idx="292">
                  <c:v>1.32E-2</c:v>
                </c:pt>
                <c:pt idx="293">
                  <c:v>1.316E-2</c:v>
                </c:pt>
                <c:pt idx="294">
                  <c:v>1.311E-2</c:v>
                </c:pt>
                <c:pt idx="295">
                  <c:v>1.307E-2</c:v>
                </c:pt>
                <c:pt idx="296">
                  <c:v>1.303E-2</c:v>
                </c:pt>
                <c:pt idx="297">
                  <c:v>1.299E-2</c:v>
                </c:pt>
                <c:pt idx="298">
                  <c:v>1.295E-2</c:v>
                </c:pt>
                <c:pt idx="299">
                  <c:v>1.29E-2</c:v>
                </c:pt>
                <c:pt idx="300">
                  <c:v>1.286E-2</c:v>
                </c:pt>
                <c:pt idx="301">
                  <c:v>1.282E-2</c:v>
                </c:pt>
                <c:pt idx="302">
                  <c:v>1.278E-2</c:v>
                </c:pt>
                <c:pt idx="303">
                  <c:v>1.274E-2</c:v>
                </c:pt>
                <c:pt idx="304">
                  <c:v>1.2699999999999999E-2</c:v>
                </c:pt>
                <c:pt idx="305">
                  <c:v>1.2659999999999999E-2</c:v>
                </c:pt>
                <c:pt idx="306">
                  <c:v>1.2619999999999999E-2</c:v>
                </c:pt>
                <c:pt idx="307">
                  <c:v>1.2579999999999999E-2</c:v>
                </c:pt>
                <c:pt idx="308">
                  <c:v>1.2540000000000001E-2</c:v>
                </c:pt>
                <c:pt idx="309">
                  <c:v>1.2500000000000001E-2</c:v>
                </c:pt>
                <c:pt idx="310">
                  <c:v>1.2460000000000001E-2</c:v>
                </c:pt>
                <c:pt idx="311">
                  <c:v>1.242E-2</c:v>
                </c:pt>
                <c:pt idx="312">
                  <c:v>1.238E-2</c:v>
                </c:pt>
                <c:pt idx="313">
                  <c:v>1.235E-2</c:v>
                </c:pt>
                <c:pt idx="314">
                  <c:v>1.231E-2</c:v>
                </c:pt>
                <c:pt idx="315">
                  <c:v>1.227E-2</c:v>
                </c:pt>
                <c:pt idx="316">
                  <c:v>1.223E-2</c:v>
                </c:pt>
                <c:pt idx="317">
                  <c:v>1.2200000000000001E-2</c:v>
                </c:pt>
                <c:pt idx="318">
                  <c:v>1.2160000000000001E-2</c:v>
                </c:pt>
                <c:pt idx="319">
                  <c:v>1.2120000000000001E-2</c:v>
                </c:pt>
                <c:pt idx="320">
                  <c:v>1.208E-2</c:v>
                </c:pt>
                <c:pt idx="321">
                  <c:v>1.205E-2</c:v>
                </c:pt>
                <c:pt idx="322">
                  <c:v>1.201E-2</c:v>
                </c:pt>
                <c:pt idx="323">
                  <c:v>1.1979999999999999E-2</c:v>
                </c:pt>
                <c:pt idx="324">
                  <c:v>1.1939999999999999E-2</c:v>
                </c:pt>
                <c:pt idx="325">
                  <c:v>1.1900000000000001E-2</c:v>
                </c:pt>
                <c:pt idx="326">
                  <c:v>1.187E-2</c:v>
                </c:pt>
                <c:pt idx="327">
                  <c:v>1.183E-2</c:v>
                </c:pt>
                <c:pt idx="328">
                  <c:v>1.18E-2</c:v>
                </c:pt>
                <c:pt idx="329">
                  <c:v>1.176E-2</c:v>
                </c:pt>
                <c:pt idx="330">
                  <c:v>1.1730000000000001E-2</c:v>
                </c:pt>
                <c:pt idx="331">
                  <c:v>1.1690000000000001E-2</c:v>
                </c:pt>
                <c:pt idx="332">
                  <c:v>1.2019999999999999E-2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90-4C20-84A4-C55B9AB2FEFB}"/>
            </c:ext>
          </c:extLst>
        </c:ser>
        <c:ser>
          <c:idx val="5"/>
          <c:order val="4"/>
          <c:tx>
            <c:v>5.5-5.9</c:v>
          </c:tx>
          <c:spPr>
            <a:ln w="28575">
              <a:noFill/>
            </a:ln>
          </c:spPr>
          <c:xVal>
            <c:numRef>
              <c:f>'COMPLETENESS ANALYSIS'!$C$4:$C$346</c:f>
              <c:numCache>
                <c:formatCode>General</c:formatCode>
                <c:ptCount val="3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</c:numCache>
            </c:numRef>
          </c:xVal>
          <c:yVal>
            <c:numRef>
              <c:f>'COMPLETENESS ANALYSIS'!$S$54:$S$346</c:f>
              <c:numCache>
                <c:formatCode>0.000</c:formatCode>
                <c:ptCount val="293"/>
                <c:pt idx="0">
                  <c:v>1.9609999999999999E-2</c:v>
                </c:pt>
                <c:pt idx="1">
                  <c:v>1.9230000000000001E-2</c:v>
                </c:pt>
                <c:pt idx="2">
                  <c:v>1.8870000000000001E-2</c:v>
                </c:pt>
                <c:pt idx="3">
                  <c:v>1.8519999999999998E-2</c:v>
                </c:pt>
                <c:pt idx="4">
                  <c:v>1.8180000000000002E-2</c:v>
                </c:pt>
                <c:pt idx="5">
                  <c:v>1.7860000000000001E-2</c:v>
                </c:pt>
                <c:pt idx="6">
                  <c:v>1.754E-2</c:v>
                </c:pt>
                <c:pt idx="7">
                  <c:v>1.7239999999999998E-2</c:v>
                </c:pt>
                <c:pt idx="8">
                  <c:v>1.695E-2</c:v>
                </c:pt>
                <c:pt idx="9">
                  <c:v>1.6670000000000001E-2</c:v>
                </c:pt>
                <c:pt idx="10">
                  <c:v>1.6389999999999998E-2</c:v>
                </c:pt>
                <c:pt idx="11">
                  <c:v>1.6129999999999999E-2</c:v>
                </c:pt>
                <c:pt idx="12">
                  <c:v>1.5869999999999999E-2</c:v>
                </c:pt>
                <c:pt idx="13">
                  <c:v>2.2100000000000002E-2</c:v>
                </c:pt>
                <c:pt idx="14">
                  <c:v>2.1760000000000002E-2</c:v>
                </c:pt>
                <c:pt idx="15">
                  <c:v>2.1430000000000001E-2</c:v>
                </c:pt>
                <c:pt idx="16">
                  <c:v>2.111E-2</c:v>
                </c:pt>
                <c:pt idx="17">
                  <c:v>2.0799999999999999E-2</c:v>
                </c:pt>
                <c:pt idx="18">
                  <c:v>2.0500000000000001E-2</c:v>
                </c:pt>
                <c:pt idx="19">
                  <c:v>2.0199999999999999E-2</c:v>
                </c:pt>
                <c:pt idx="20">
                  <c:v>1.992E-2</c:v>
                </c:pt>
                <c:pt idx="21">
                  <c:v>1.9640000000000001E-2</c:v>
                </c:pt>
                <c:pt idx="22">
                  <c:v>1.9369999999999998E-2</c:v>
                </c:pt>
                <c:pt idx="23">
                  <c:v>1.9109999999999999E-2</c:v>
                </c:pt>
                <c:pt idx="24">
                  <c:v>1.8859999999999998E-2</c:v>
                </c:pt>
                <c:pt idx="25">
                  <c:v>1.8610000000000002E-2</c:v>
                </c:pt>
                <c:pt idx="26">
                  <c:v>1.8360000000000001E-2</c:v>
                </c:pt>
                <c:pt idx="27">
                  <c:v>1.813E-2</c:v>
                </c:pt>
                <c:pt idx="28">
                  <c:v>1.7899999999999999E-2</c:v>
                </c:pt>
                <c:pt idx="29">
                  <c:v>1.7680000000000001E-2</c:v>
                </c:pt>
                <c:pt idx="30">
                  <c:v>1.746E-2</c:v>
                </c:pt>
                <c:pt idx="31">
                  <c:v>1.7250000000000001E-2</c:v>
                </c:pt>
                <c:pt idx="32">
                  <c:v>1.704E-2</c:v>
                </c:pt>
                <c:pt idx="33">
                  <c:v>1.6840000000000001E-2</c:v>
                </c:pt>
                <c:pt idx="34">
                  <c:v>1.6639999999999999E-2</c:v>
                </c:pt>
                <c:pt idx="35">
                  <c:v>1.6449999999999999E-2</c:v>
                </c:pt>
                <c:pt idx="36">
                  <c:v>1.626E-2</c:v>
                </c:pt>
                <c:pt idx="37">
                  <c:v>1.6070000000000001E-2</c:v>
                </c:pt>
                <c:pt idx="38">
                  <c:v>1.5890000000000001E-2</c:v>
                </c:pt>
                <c:pt idx="39">
                  <c:v>1.5709999999999998E-2</c:v>
                </c:pt>
                <c:pt idx="40">
                  <c:v>1.9029999999999998E-2</c:v>
                </c:pt>
                <c:pt idx="41">
                  <c:v>2.1739999999999999E-2</c:v>
                </c:pt>
                <c:pt idx="42">
                  <c:v>2.1510000000000001E-2</c:v>
                </c:pt>
                <c:pt idx="43">
                  <c:v>2.128E-2</c:v>
                </c:pt>
                <c:pt idx="44">
                  <c:v>2.3539999999999998E-2</c:v>
                </c:pt>
                <c:pt idx="45">
                  <c:v>2.3290000000000002E-2</c:v>
                </c:pt>
                <c:pt idx="46">
                  <c:v>2.3050000000000001E-2</c:v>
                </c:pt>
                <c:pt idx="47">
                  <c:v>2.282E-2</c:v>
                </c:pt>
                <c:pt idx="48">
                  <c:v>2.2589999999999999E-2</c:v>
                </c:pt>
                <c:pt idx="49">
                  <c:v>2.2360000000000001E-2</c:v>
                </c:pt>
                <c:pt idx="50">
                  <c:v>2.214E-2</c:v>
                </c:pt>
                <c:pt idx="51">
                  <c:v>2.1919999999999999E-2</c:v>
                </c:pt>
                <c:pt idx="52">
                  <c:v>2.171E-2</c:v>
                </c:pt>
                <c:pt idx="53">
                  <c:v>2.1499999999999998E-2</c:v>
                </c:pt>
                <c:pt idx="54">
                  <c:v>2.1299999999999999E-2</c:v>
                </c:pt>
                <c:pt idx="55">
                  <c:v>2.1100000000000001E-2</c:v>
                </c:pt>
                <c:pt idx="56">
                  <c:v>2.0899999999999998E-2</c:v>
                </c:pt>
                <c:pt idx="57">
                  <c:v>2.0709999999999999E-2</c:v>
                </c:pt>
                <c:pt idx="58">
                  <c:v>2.051E-2</c:v>
                </c:pt>
                <c:pt idx="59">
                  <c:v>2.0330000000000001E-2</c:v>
                </c:pt>
                <c:pt idx="60">
                  <c:v>2.0150000000000001E-2</c:v>
                </c:pt>
                <c:pt idx="61">
                  <c:v>1.9959999999999999E-2</c:v>
                </c:pt>
                <c:pt idx="62">
                  <c:v>1.9789999999999999E-2</c:v>
                </c:pt>
                <c:pt idx="63">
                  <c:v>1.9619999999999999E-2</c:v>
                </c:pt>
                <c:pt idx="64">
                  <c:v>1.9439999999999999E-2</c:v>
                </c:pt>
                <c:pt idx="65">
                  <c:v>1.9279999999999999E-2</c:v>
                </c:pt>
                <c:pt idx="66">
                  <c:v>1.9109999999999999E-2</c:v>
                </c:pt>
                <c:pt idx="67">
                  <c:v>1.8950000000000002E-2</c:v>
                </c:pt>
                <c:pt idx="68">
                  <c:v>1.8790000000000001E-2</c:v>
                </c:pt>
                <c:pt idx="69">
                  <c:v>1.864E-2</c:v>
                </c:pt>
                <c:pt idx="70">
                  <c:v>1.848E-2</c:v>
                </c:pt>
                <c:pt idx="71">
                  <c:v>1.8329999999999999E-2</c:v>
                </c:pt>
                <c:pt idx="72">
                  <c:v>1.8180000000000002E-2</c:v>
                </c:pt>
                <c:pt idx="73">
                  <c:v>1.8030000000000001E-2</c:v>
                </c:pt>
                <c:pt idx="74">
                  <c:v>1.789E-2</c:v>
                </c:pt>
                <c:pt idx="75">
                  <c:v>1.7749999999999998E-2</c:v>
                </c:pt>
                <c:pt idx="76">
                  <c:v>1.7610000000000001E-2</c:v>
                </c:pt>
                <c:pt idx="77">
                  <c:v>1.7469999999999999E-2</c:v>
                </c:pt>
                <c:pt idx="78">
                  <c:v>1.7330000000000002E-2</c:v>
                </c:pt>
                <c:pt idx="79">
                  <c:v>1.72E-2</c:v>
                </c:pt>
                <c:pt idx="80">
                  <c:v>1.7069999999999998E-2</c:v>
                </c:pt>
                <c:pt idx="81">
                  <c:v>1.694E-2</c:v>
                </c:pt>
                <c:pt idx="82">
                  <c:v>1.6809999999999999E-2</c:v>
                </c:pt>
                <c:pt idx="83">
                  <c:v>1.669E-2</c:v>
                </c:pt>
                <c:pt idx="84">
                  <c:v>1.6559999999999998E-2</c:v>
                </c:pt>
                <c:pt idx="85">
                  <c:v>1.644E-2</c:v>
                </c:pt>
                <c:pt idx="86">
                  <c:v>1.6320000000000001E-2</c:v>
                </c:pt>
                <c:pt idx="87">
                  <c:v>1.6199999999999999E-2</c:v>
                </c:pt>
                <c:pt idx="88">
                  <c:v>1.609E-2</c:v>
                </c:pt>
                <c:pt idx="89">
                  <c:v>1.5970000000000002E-2</c:v>
                </c:pt>
                <c:pt idx="90">
                  <c:v>1.5859999999999999E-2</c:v>
                </c:pt>
                <c:pt idx="91">
                  <c:v>1.575E-2</c:v>
                </c:pt>
                <c:pt idx="92">
                  <c:v>1.5640000000000001E-2</c:v>
                </c:pt>
                <c:pt idx="93">
                  <c:v>1.553E-2</c:v>
                </c:pt>
                <c:pt idx="94">
                  <c:v>1.542E-2</c:v>
                </c:pt>
                <c:pt idx="95">
                  <c:v>1.532E-2</c:v>
                </c:pt>
                <c:pt idx="96">
                  <c:v>1.521E-2</c:v>
                </c:pt>
                <c:pt idx="97">
                  <c:v>1.511E-2</c:v>
                </c:pt>
                <c:pt idx="98">
                  <c:v>1.5010000000000001E-2</c:v>
                </c:pt>
                <c:pt idx="99">
                  <c:v>1.491E-2</c:v>
                </c:pt>
                <c:pt idx="100">
                  <c:v>1.481E-2</c:v>
                </c:pt>
                <c:pt idx="101">
                  <c:v>1.4710000000000001E-2</c:v>
                </c:pt>
                <c:pt idx="102">
                  <c:v>1.4619999999999999E-2</c:v>
                </c:pt>
                <c:pt idx="103">
                  <c:v>1.452E-2</c:v>
                </c:pt>
                <c:pt idx="104">
                  <c:v>1.443E-2</c:v>
                </c:pt>
                <c:pt idx="105">
                  <c:v>1.4330000000000001E-2</c:v>
                </c:pt>
                <c:pt idx="106">
                  <c:v>1.4239999999999999E-2</c:v>
                </c:pt>
                <c:pt idx="107">
                  <c:v>1.55E-2</c:v>
                </c:pt>
                <c:pt idx="108">
                  <c:v>1.541E-2</c:v>
                </c:pt>
                <c:pt idx="109">
                  <c:v>1.5310000000000001E-2</c:v>
                </c:pt>
                <c:pt idx="110">
                  <c:v>1.521E-2</c:v>
                </c:pt>
                <c:pt idx="111">
                  <c:v>1.512E-2</c:v>
                </c:pt>
                <c:pt idx="112">
                  <c:v>1.503E-2</c:v>
                </c:pt>
                <c:pt idx="113">
                  <c:v>1.494E-2</c:v>
                </c:pt>
                <c:pt idx="114">
                  <c:v>1.4840000000000001E-2</c:v>
                </c:pt>
                <c:pt idx="115">
                  <c:v>1.4760000000000001E-2</c:v>
                </c:pt>
                <c:pt idx="116">
                  <c:v>1.4670000000000001E-2</c:v>
                </c:pt>
                <c:pt idx="117">
                  <c:v>1.4579999999999999E-2</c:v>
                </c:pt>
                <c:pt idx="118">
                  <c:v>1.4489999999999999E-2</c:v>
                </c:pt>
                <c:pt idx="119">
                  <c:v>1.4409999999999999E-2</c:v>
                </c:pt>
                <c:pt idx="120">
                  <c:v>1.4319999999999999E-2</c:v>
                </c:pt>
                <c:pt idx="121">
                  <c:v>1.4239999999999999E-2</c:v>
                </c:pt>
                <c:pt idx="122">
                  <c:v>1.4160000000000001E-2</c:v>
                </c:pt>
                <c:pt idx="123">
                  <c:v>1.4080000000000001E-2</c:v>
                </c:pt>
                <c:pt idx="124">
                  <c:v>1.4E-2</c:v>
                </c:pt>
                <c:pt idx="125">
                  <c:v>1.392E-2</c:v>
                </c:pt>
                <c:pt idx="126">
                  <c:v>1.384E-2</c:v>
                </c:pt>
                <c:pt idx="127">
                  <c:v>1.376E-2</c:v>
                </c:pt>
                <c:pt idx="128">
                  <c:v>1.478E-2</c:v>
                </c:pt>
                <c:pt idx="129">
                  <c:v>1.47E-2</c:v>
                </c:pt>
                <c:pt idx="130">
                  <c:v>1.4619999999999999E-2</c:v>
                </c:pt>
                <c:pt idx="131">
                  <c:v>1.4540000000000001E-2</c:v>
                </c:pt>
                <c:pt idx="132">
                  <c:v>1.4460000000000001E-2</c:v>
                </c:pt>
                <c:pt idx="133">
                  <c:v>1.438E-2</c:v>
                </c:pt>
                <c:pt idx="134">
                  <c:v>1.43E-2</c:v>
                </c:pt>
                <c:pt idx="135">
                  <c:v>1.422E-2</c:v>
                </c:pt>
                <c:pt idx="136">
                  <c:v>1.4149999999999999E-2</c:v>
                </c:pt>
                <c:pt idx="137">
                  <c:v>1.4069999999999999E-2</c:v>
                </c:pt>
                <c:pt idx="138">
                  <c:v>1.4E-2</c:v>
                </c:pt>
                <c:pt idx="139">
                  <c:v>1.393E-2</c:v>
                </c:pt>
                <c:pt idx="140">
                  <c:v>1.3849999999999999E-2</c:v>
                </c:pt>
                <c:pt idx="141">
                  <c:v>1.3780000000000001E-2</c:v>
                </c:pt>
                <c:pt idx="142">
                  <c:v>1.371E-2</c:v>
                </c:pt>
                <c:pt idx="143">
                  <c:v>1.3639999999999999E-2</c:v>
                </c:pt>
                <c:pt idx="144">
                  <c:v>1.357E-2</c:v>
                </c:pt>
                <c:pt idx="145">
                  <c:v>1.35E-2</c:v>
                </c:pt>
                <c:pt idx="146">
                  <c:v>1.3429999999999999E-2</c:v>
                </c:pt>
                <c:pt idx="147">
                  <c:v>1.336E-2</c:v>
                </c:pt>
                <c:pt idx="148">
                  <c:v>1.3299999999999999E-2</c:v>
                </c:pt>
                <c:pt idx="149">
                  <c:v>1.323E-2</c:v>
                </c:pt>
                <c:pt idx="150">
                  <c:v>1.316E-2</c:v>
                </c:pt>
                <c:pt idx="151">
                  <c:v>1.3100000000000001E-2</c:v>
                </c:pt>
                <c:pt idx="152">
                  <c:v>1.303E-2</c:v>
                </c:pt>
                <c:pt idx="153">
                  <c:v>1.2970000000000001E-2</c:v>
                </c:pt>
                <c:pt idx="154">
                  <c:v>1.291E-2</c:v>
                </c:pt>
                <c:pt idx="155">
                  <c:v>1.2840000000000001E-2</c:v>
                </c:pt>
                <c:pt idx="156">
                  <c:v>1.278E-2</c:v>
                </c:pt>
                <c:pt idx="157">
                  <c:v>1.272E-2</c:v>
                </c:pt>
                <c:pt idx="158">
                  <c:v>1.2659999999999999E-2</c:v>
                </c:pt>
                <c:pt idx="159">
                  <c:v>1.26E-2</c:v>
                </c:pt>
                <c:pt idx="160">
                  <c:v>1.2540000000000001E-2</c:v>
                </c:pt>
                <c:pt idx="161">
                  <c:v>1.248E-2</c:v>
                </c:pt>
                <c:pt idx="162">
                  <c:v>1.242E-2</c:v>
                </c:pt>
                <c:pt idx="163">
                  <c:v>1.2359999999999999E-2</c:v>
                </c:pt>
                <c:pt idx="164">
                  <c:v>1.231E-2</c:v>
                </c:pt>
                <c:pt idx="165">
                  <c:v>1.225E-2</c:v>
                </c:pt>
                <c:pt idx="166">
                  <c:v>1.2189999999999999E-2</c:v>
                </c:pt>
                <c:pt idx="167">
                  <c:v>1.214E-2</c:v>
                </c:pt>
                <c:pt idx="168">
                  <c:v>1.208E-2</c:v>
                </c:pt>
                <c:pt idx="169">
                  <c:v>1.2030000000000001E-2</c:v>
                </c:pt>
                <c:pt idx="170">
                  <c:v>1.197E-2</c:v>
                </c:pt>
                <c:pt idx="171">
                  <c:v>1.192E-2</c:v>
                </c:pt>
                <c:pt idx="172">
                  <c:v>1.1860000000000001E-2</c:v>
                </c:pt>
                <c:pt idx="173">
                  <c:v>1.1809999999999999E-2</c:v>
                </c:pt>
                <c:pt idx="174">
                  <c:v>1.176E-2</c:v>
                </c:pt>
                <c:pt idx="175">
                  <c:v>1.171E-2</c:v>
                </c:pt>
                <c:pt idx="176">
                  <c:v>1.166E-2</c:v>
                </c:pt>
                <c:pt idx="177">
                  <c:v>1.1599999999999999E-2</c:v>
                </c:pt>
                <c:pt idx="178">
                  <c:v>1.155E-2</c:v>
                </c:pt>
                <c:pt idx="179">
                  <c:v>1.15E-2</c:v>
                </c:pt>
                <c:pt idx="180">
                  <c:v>1.145E-2</c:v>
                </c:pt>
                <c:pt idx="181">
                  <c:v>1.14E-2</c:v>
                </c:pt>
                <c:pt idx="182">
                  <c:v>1.1350000000000001E-2</c:v>
                </c:pt>
                <c:pt idx="183">
                  <c:v>1.1310000000000001E-2</c:v>
                </c:pt>
                <c:pt idx="184">
                  <c:v>1.1259999999999999E-2</c:v>
                </c:pt>
                <c:pt idx="185">
                  <c:v>1.1209999999999999E-2</c:v>
                </c:pt>
                <c:pt idx="186">
                  <c:v>1.116E-2</c:v>
                </c:pt>
                <c:pt idx="187">
                  <c:v>1.112E-2</c:v>
                </c:pt>
                <c:pt idx="188">
                  <c:v>1.107E-2</c:v>
                </c:pt>
                <c:pt idx="189">
                  <c:v>1.102E-2</c:v>
                </c:pt>
                <c:pt idx="190">
                  <c:v>1.098E-2</c:v>
                </c:pt>
                <c:pt idx="191">
                  <c:v>1.093E-2</c:v>
                </c:pt>
                <c:pt idx="192">
                  <c:v>1.089E-2</c:v>
                </c:pt>
                <c:pt idx="193">
                  <c:v>1.0840000000000001E-2</c:v>
                </c:pt>
                <c:pt idx="194">
                  <c:v>1.0800000000000001E-2</c:v>
                </c:pt>
                <c:pt idx="195">
                  <c:v>1.076E-2</c:v>
                </c:pt>
                <c:pt idx="196">
                  <c:v>1.0710000000000001E-2</c:v>
                </c:pt>
                <c:pt idx="197">
                  <c:v>1.0670000000000001E-2</c:v>
                </c:pt>
                <c:pt idx="198">
                  <c:v>1.0619999999999999E-2</c:v>
                </c:pt>
                <c:pt idx="199">
                  <c:v>1.0580000000000001E-2</c:v>
                </c:pt>
                <c:pt idx="200">
                  <c:v>1.0540000000000001E-2</c:v>
                </c:pt>
                <c:pt idx="201">
                  <c:v>1.0500000000000001E-2</c:v>
                </c:pt>
                <c:pt idx="202">
                  <c:v>1.0460000000000001E-2</c:v>
                </c:pt>
                <c:pt idx="203">
                  <c:v>1.042E-2</c:v>
                </c:pt>
                <c:pt idx="204">
                  <c:v>1.0370000000000001E-2</c:v>
                </c:pt>
                <c:pt idx="205">
                  <c:v>1.0330000000000001E-2</c:v>
                </c:pt>
                <c:pt idx="206">
                  <c:v>1.03E-2</c:v>
                </c:pt>
                <c:pt idx="207">
                  <c:v>1.025E-2</c:v>
                </c:pt>
                <c:pt idx="208">
                  <c:v>1.022E-2</c:v>
                </c:pt>
                <c:pt idx="209">
                  <c:v>1.018E-2</c:v>
                </c:pt>
                <c:pt idx="210">
                  <c:v>1.014E-2</c:v>
                </c:pt>
                <c:pt idx="211">
                  <c:v>1.01E-2</c:v>
                </c:pt>
                <c:pt idx="212">
                  <c:v>1.0059999999999999E-2</c:v>
                </c:pt>
                <c:pt idx="213">
                  <c:v>1.0019999999999999E-2</c:v>
                </c:pt>
                <c:pt idx="214">
                  <c:v>9.9799999999999993E-3</c:v>
                </c:pt>
                <c:pt idx="215">
                  <c:v>9.9500000000000005E-3</c:v>
                </c:pt>
                <c:pt idx="216">
                  <c:v>9.9100000000000004E-3</c:v>
                </c:pt>
                <c:pt idx="217">
                  <c:v>9.8700000000000003E-3</c:v>
                </c:pt>
                <c:pt idx="218">
                  <c:v>9.8300000000000002E-3</c:v>
                </c:pt>
                <c:pt idx="219">
                  <c:v>9.7999999999999997E-3</c:v>
                </c:pt>
                <c:pt idx="220">
                  <c:v>9.7599999999999996E-3</c:v>
                </c:pt>
                <c:pt idx="221">
                  <c:v>9.7300000000000008E-3</c:v>
                </c:pt>
                <c:pt idx="222">
                  <c:v>9.6900000000000007E-3</c:v>
                </c:pt>
                <c:pt idx="223">
                  <c:v>9.6600000000000002E-3</c:v>
                </c:pt>
                <c:pt idx="224">
                  <c:v>9.6200000000000001E-3</c:v>
                </c:pt>
                <c:pt idx="225">
                  <c:v>9.5899999999999996E-3</c:v>
                </c:pt>
                <c:pt idx="226">
                  <c:v>9.5499999999999995E-3</c:v>
                </c:pt>
                <c:pt idx="227">
                  <c:v>9.5200000000000007E-3</c:v>
                </c:pt>
                <c:pt idx="228">
                  <c:v>9.4800000000000006E-3</c:v>
                </c:pt>
                <c:pt idx="229">
                  <c:v>9.4500000000000001E-3</c:v>
                </c:pt>
                <c:pt idx="230">
                  <c:v>9.41E-3</c:v>
                </c:pt>
                <c:pt idx="231">
                  <c:v>9.3799999999999994E-3</c:v>
                </c:pt>
                <c:pt idx="232">
                  <c:v>9.3500000000000007E-3</c:v>
                </c:pt>
                <c:pt idx="233">
                  <c:v>9.3200000000000002E-3</c:v>
                </c:pt>
                <c:pt idx="234">
                  <c:v>9.2800000000000001E-3</c:v>
                </c:pt>
                <c:pt idx="235">
                  <c:v>9.2499999999999995E-3</c:v>
                </c:pt>
                <c:pt idx="236">
                  <c:v>9.2200000000000008E-3</c:v>
                </c:pt>
                <c:pt idx="237">
                  <c:v>9.1900000000000003E-3</c:v>
                </c:pt>
                <c:pt idx="238">
                  <c:v>9.1500000000000001E-3</c:v>
                </c:pt>
                <c:pt idx="239">
                  <c:v>9.1199999999999996E-3</c:v>
                </c:pt>
                <c:pt idx="240">
                  <c:v>9.0900000000000009E-3</c:v>
                </c:pt>
                <c:pt idx="241">
                  <c:v>9.0600000000000003E-3</c:v>
                </c:pt>
                <c:pt idx="242">
                  <c:v>9.0299999999999998E-3</c:v>
                </c:pt>
                <c:pt idx="243">
                  <c:v>8.9999999999999993E-3</c:v>
                </c:pt>
                <c:pt idx="244">
                  <c:v>8.9700000000000005E-3</c:v>
                </c:pt>
                <c:pt idx="245">
                  <c:v>8.94E-3</c:v>
                </c:pt>
                <c:pt idx="246">
                  <c:v>8.9099999999999995E-3</c:v>
                </c:pt>
                <c:pt idx="247">
                  <c:v>8.8800000000000007E-3</c:v>
                </c:pt>
                <c:pt idx="248">
                  <c:v>8.8500000000000002E-3</c:v>
                </c:pt>
                <c:pt idx="249">
                  <c:v>8.8199999999999997E-3</c:v>
                </c:pt>
                <c:pt idx="250">
                  <c:v>8.7899999999999992E-3</c:v>
                </c:pt>
                <c:pt idx="251">
                  <c:v>8.7600000000000004E-3</c:v>
                </c:pt>
                <c:pt idx="252">
                  <c:v>8.7299999999999999E-3</c:v>
                </c:pt>
                <c:pt idx="253">
                  <c:v>8.6999999999999994E-3</c:v>
                </c:pt>
                <c:pt idx="254">
                  <c:v>8.6700000000000006E-3</c:v>
                </c:pt>
                <c:pt idx="255">
                  <c:v>8.6499999999999997E-3</c:v>
                </c:pt>
                <c:pt idx="256">
                  <c:v>8.6199999999999992E-3</c:v>
                </c:pt>
                <c:pt idx="257">
                  <c:v>8.5900000000000004E-3</c:v>
                </c:pt>
                <c:pt idx="258">
                  <c:v>8.5599999999999999E-3</c:v>
                </c:pt>
                <c:pt idx="259">
                  <c:v>8.5400000000000007E-3</c:v>
                </c:pt>
                <c:pt idx="260">
                  <c:v>8.5100000000000002E-3</c:v>
                </c:pt>
                <c:pt idx="261">
                  <c:v>8.4799999999999997E-3</c:v>
                </c:pt>
                <c:pt idx="262">
                  <c:v>8.4499999999999992E-3</c:v>
                </c:pt>
                <c:pt idx="263">
                  <c:v>8.4200000000000004E-3</c:v>
                </c:pt>
                <c:pt idx="264">
                  <c:v>8.3999999999999995E-3</c:v>
                </c:pt>
                <c:pt idx="265">
                  <c:v>8.3700000000000007E-3</c:v>
                </c:pt>
                <c:pt idx="266">
                  <c:v>8.3499999999999998E-3</c:v>
                </c:pt>
                <c:pt idx="267">
                  <c:v>8.3199999999999993E-3</c:v>
                </c:pt>
                <c:pt idx="268">
                  <c:v>8.2900000000000005E-3</c:v>
                </c:pt>
                <c:pt idx="269">
                  <c:v>8.2699999999999996E-3</c:v>
                </c:pt>
                <c:pt idx="270">
                  <c:v>8.2400000000000008E-3</c:v>
                </c:pt>
                <c:pt idx="271">
                  <c:v>8.2199999999999999E-3</c:v>
                </c:pt>
                <c:pt idx="272">
                  <c:v>8.1899999999999994E-3</c:v>
                </c:pt>
                <c:pt idx="273">
                  <c:v>8.1700000000000002E-3</c:v>
                </c:pt>
                <c:pt idx="274">
                  <c:v>8.1399999999999997E-3</c:v>
                </c:pt>
                <c:pt idx="275">
                  <c:v>8.1099999999999992E-3</c:v>
                </c:pt>
                <c:pt idx="276">
                  <c:v>8.09E-3</c:v>
                </c:pt>
                <c:pt idx="277">
                  <c:v>8.0700000000000008E-3</c:v>
                </c:pt>
                <c:pt idx="278">
                  <c:v>8.0400000000000003E-3</c:v>
                </c:pt>
                <c:pt idx="279">
                  <c:v>8.0199999999999994E-3</c:v>
                </c:pt>
                <c:pt idx="280">
                  <c:v>7.9900000000000006E-3</c:v>
                </c:pt>
                <c:pt idx="281">
                  <c:v>7.9699999999999997E-3</c:v>
                </c:pt>
                <c:pt idx="282">
                  <c:v>7.9500000000000005E-3</c:v>
                </c:pt>
                <c:pt idx="283">
                  <c:v>7.92E-3</c:v>
                </c:pt>
                <c:pt idx="284">
                  <c:v>7.9000000000000008E-3</c:v>
                </c:pt>
                <c:pt idx="285">
                  <c:v>7.8700000000000003E-3</c:v>
                </c:pt>
                <c:pt idx="286">
                  <c:v>7.8499999999999993E-3</c:v>
                </c:pt>
                <c:pt idx="287">
                  <c:v>7.8300000000000002E-3</c:v>
                </c:pt>
                <c:pt idx="288">
                  <c:v>7.7999999999999996E-3</c:v>
                </c:pt>
                <c:pt idx="289">
                  <c:v>7.7799999999999996E-3</c:v>
                </c:pt>
                <c:pt idx="290">
                  <c:v>7.7600000000000004E-3</c:v>
                </c:pt>
                <c:pt idx="291">
                  <c:v>7.7400000000000004E-3</c:v>
                </c:pt>
                <c:pt idx="292">
                  <c:v>7.7099999999999998E-3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90-4C20-84A4-C55B9AB2FEFB}"/>
            </c:ext>
          </c:extLst>
        </c:ser>
        <c:ser>
          <c:idx val="6"/>
          <c:order val="5"/>
          <c:tx>
            <c:v>&gt;6</c:v>
          </c:tx>
          <c:spPr>
            <a:ln w="28575">
              <a:noFill/>
            </a:ln>
          </c:spPr>
          <c:xVal>
            <c:numRef>
              <c:f>'COMPLETENESS ANALYSIS'!$C$4:$C$346</c:f>
              <c:numCache>
                <c:formatCode>General</c:formatCode>
                <c:ptCount val="34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</c:numCache>
            </c:numRef>
          </c:xVal>
          <c:yVal>
            <c:numRef>
              <c:f>'COMPLETENESS ANALYSIS'!$V$16:$V$346</c:f>
              <c:numCache>
                <c:formatCode>0.000</c:formatCode>
                <c:ptCount val="331"/>
                <c:pt idx="0">
                  <c:v>7.6920000000000002E-2</c:v>
                </c:pt>
                <c:pt idx="1">
                  <c:v>7.1429999999999993E-2</c:v>
                </c:pt>
                <c:pt idx="2">
                  <c:v>6.6669999999999993E-2</c:v>
                </c:pt>
                <c:pt idx="3">
                  <c:v>6.25E-2</c:v>
                </c:pt>
                <c:pt idx="4">
                  <c:v>5.8819999999999997E-2</c:v>
                </c:pt>
                <c:pt idx="5">
                  <c:v>5.5559999999999998E-2</c:v>
                </c:pt>
                <c:pt idx="6">
                  <c:v>5.2630000000000003E-2</c:v>
                </c:pt>
                <c:pt idx="7">
                  <c:v>0.05</c:v>
                </c:pt>
                <c:pt idx="8">
                  <c:v>4.7620000000000003E-2</c:v>
                </c:pt>
                <c:pt idx="9">
                  <c:v>4.5449999999999997E-2</c:v>
                </c:pt>
                <c:pt idx="10">
                  <c:v>4.3479999999999998E-2</c:v>
                </c:pt>
                <c:pt idx="11">
                  <c:v>5.892E-2</c:v>
                </c:pt>
                <c:pt idx="12">
                  <c:v>5.6570000000000002E-2</c:v>
                </c:pt>
                <c:pt idx="13">
                  <c:v>5.4390000000000001E-2</c:v>
                </c:pt>
                <c:pt idx="14">
                  <c:v>5.2380000000000003E-2</c:v>
                </c:pt>
                <c:pt idx="15">
                  <c:v>6.1859999999999998E-2</c:v>
                </c:pt>
                <c:pt idx="16">
                  <c:v>5.9729999999999998E-2</c:v>
                </c:pt>
                <c:pt idx="17">
                  <c:v>5.7729999999999997E-2</c:v>
                </c:pt>
                <c:pt idx="18">
                  <c:v>5.5870000000000003E-2</c:v>
                </c:pt>
                <c:pt idx="19">
                  <c:v>5.4129999999999998E-2</c:v>
                </c:pt>
                <c:pt idx="20">
                  <c:v>5.2490000000000002E-2</c:v>
                </c:pt>
                <c:pt idx="21">
                  <c:v>5.0939999999999999E-2</c:v>
                </c:pt>
                <c:pt idx="22">
                  <c:v>4.9489999999999999E-2</c:v>
                </c:pt>
                <c:pt idx="23">
                  <c:v>4.811E-2</c:v>
                </c:pt>
                <c:pt idx="24">
                  <c:v>4.6809999999999997E-2</c:v>
                </c:pt>
                <c:pt idx="25">
                  <c:v>4.5580000000000002E-2</c:v>
                </c:pt>
                <c:pt idx="26">
                  <c:v>4.4409999999999998E-2</c:v>
                </c:pt>
                <c:pt idx="27">
                  <c:v>4.3299999999999998E-2</c:v>
                </c:pt>
                <c:pt idx="28">
                  <c:v>4.224E-2</c:v>
                </c:pt>
                <c:pt idx="29">
                  <c:v>4.1239999999999999E-2</c:v>
                </c:pt>
                <c:pt idx="30">
                  <c:v>4.0280000000000003E-2</c:v>
                </c:pt>
                <c:pt idx="31">
                  <c:v>3.9370000000000002E-2</c:v>
                </c:pt>
                <c:pt idx="32">
                  <c:v>3.8490000000000003E-2</c:v>
                </c:pt>
                <c:pt idx="33">
                  <c:v>3.7650000000000003E-2</c:v>
                </c:pt>
                <c:pt idx="34">
                  <c:v>3.6850000000000001E-2</c:v>
                </c:pt>
                <c:pt idx="35">
                  <c:v>3.6089999999999997E-2</c:v>
                </c:pt>
                <c:pt idx="36">
                  <c:v>3.5349999999999999E-2</c:v>
                </c:pt>
                <c:pt idx="37">
                  <c:v>3.4639999999999997E-2</c:v>
                </c:pt>
                <c:pt idx="38">
                  <c:v>3.3959999999999997E-2</c:v>
                </c:pt>
                <c:pt idx="39">
                  <c:v>3.3309999999999999E-2</c:v>
                </c:pt>
                <c:pt idx="40">
                  <c:v>3.2680000000000001E-2</c:v>
                </c:pt>
                <c:pt idx="41">
                  <c:v>3.2079999999999997E-2</c:v>
                </c:pt>
                <c:pt idx="42">
                  <c:v>3.1489999999999997E-2</c:v>
                </c:pt>
                <c:pt idx="43">
                  <c:v>3.0929999999999999E-2</c:v>
                </c:pt>
                <c:pt idx="44">
                  <c:v>3.039E-2</c:v>
                </c:pt>
                <c:pt idx="45">
                  <c:v>2.9860000000000001E-2</c:v>
                </c:pt>
                <c:pt idx="46">
                  <c:v>2.9360000000000001E-2</c:v>
                </c:pt>
                <c:pt idx="47">
                  <c:v>2.887E-2</c:v>
                </c:pt>
                <c:pt idx="48">
                  <c:v>2.8389999999999999E-2</c:v>
                </c:pt>
                <c:pt idx="49">
                  <c:v>2.794E-2</c:v>
                </c:pt>
                <c:pt idx="50">
                  <c:v>2.7490000000000001E-2</c:v>
                </c:pt>
                <c:pt idx="51">
                  <c:v>2.7060000000000001E-2</c:v>
                </c:pt>
                <c:pt idx="52">
                  <c:v>2.664E-2</c:v>
                </c:pt>
                <c:pt idx="53">
                  <c:v>2.6239999999999999E-2</c:v>
                </c:pt>
                <c:pt idx="54">
                  <c:v>2.5850000000000001E-2</c:v>
                </c:pt>
                <c:pt idx="55">
                  <c:v>2.547E-2</c:v>
                </c:pt>
                <c:pt idx="56">
                  <c:v>2.5100000000000001E-2</c:v>
                </c:pt>
                <c:pt idx="57">
                  <c:v>2.4740000000000002E-2</c:v>
                </c:pt>
                <c:pt idx="58">
                  <c:v>2.4389999999999998E-2</c:v>
                </c:pt>
                <c:pt idx="59">
                  <c:v>2.4060000000000002E-2</c:v>
                </c:pt>
                <c:pt idx="60">
                  <c:v>2.3730000000000001E-2</c:v>
                </c:pt>
                <c:pt idx="61">
                  <c:v>2.341E-2</c:v>
                </c:pt>
                <c:pt idx="62">
                  <c:v>2.3089999999999999E-2</c:v>
                </c:pt>
                <c:pt idx="63">
                  <c:v>2.2790000000000001E-2</c:v>
                </c:pt>
                <c:pt idx="64">
                  <c:v>2.249E-2</c:v>
                </c:pt>
                <c:pt idx="65">
                  <c:v>2.2210000000000001E-2</c:v>
                </c:pt>
                <c:pt idx="66">
                  <c:v>2.1919999999999999E-2</c:v>
                </c:pt>
                <c:pt idx="67">
                  <c:v>2.1649999999999999E-2</c:v>
                </c:pt>
                <c:pt idx="68">
                  <c:v>2.138E-2</c:v>
                </c:pt>
                <c:pt idx="69">
                  <c:v>2.112E-2</c:v>
                </c:pt>
                <c:pt idx="70">
                  <c:v>2.409E-2</c:v>
                </c:pt>
                <c:pt idx="71">
                  <c:v>2.3810000000000001E-2</c:v>
                </c:pt>
                <c:pt idx="72">
                  <c:v>2.3529999999999999E-2</c:v>
                </c:pt>
                <c:pt idx="73">
                  <c:v>2.325E-2</c:v>
                </c:pt>
                <c:pt idx="74">
                  <c:v>2.299E-2</c:v>
                </c:pt>
                <c:pt idx="75">
                  <c:v>2.273E-2</c:v>
                </c:pt>
                <c:pt idx="76">
                  <c:v>2.247E-2</c:v>
                </c:pt>
                <c:pt idx="77">
                  <c:v>2.222E-2</c:v>
                </c:pt>
                <c:pt idx="78">
                  <c:v>2.198E-2</c:v>
                </c:pt>
                <c:pt idx="79">
                  <c:v>2.1739999999999999E-2</c:v>
                </c:pt>
                <c:pt idx="80">
                  <c:v>2.1510000000000001E-2</c:v>
                </c:pt>
                <c:pt idx="81">
                  <c:v>2.128E-2</c:v>
                </c:pt>
                <c:pt idx="82">
                  <c:v>2.1049999999999999E-2</c:v>
                </c:pt>
                <c:pt idx="83">
                  <c:v>2.0830000000000001E-2</c:v>
                </c:pt>
                <c:pt idx="84">
                  <c:v>2.0619999999999999E-2</c:v>
                </c:pt>
                <c:pt idx="85">
                  <c:v>2.0410000000000001E-2</c:v>
                </c:pt>
                <c:pt idx="86">
                  <c:v>2.0199999999999999E-2</c:v>
                </c:pt>
                <c:pt idx="87">
                  <c:v>0.02</c:v>
                </c:pt>
                <c:pt idx="88">
                  <c:v>1.9800000000000002E-2</c:v>
                </c:pt>
                <c:pt idx="89">
                  <c:v>2.1919999999999999E-2</c:v>
                </c:pt>
                <c:pt idx="90">
                  <c:v>2.171E-2</c:v>
                </c:pt>
                <c:pt idx="91">
                  <c:v>2.1499999999999998E-2</c:v>
                </c:pt>
                <c:pt idx="92">
                  <c:v>2.1299999999999999E-2</c:v>
                </c:pt>
                <c:pt idx="93">
                  <c:v>2.1100000000000001E-2</c:v>
                </c:pt>
                <c:pt idx="94">
                  <c:v>2.0899999999999998E-2</c:v>
                </c:pt>
                <c:pt idx="95">
                  <c:v>2.0709999999999999E-2</c:v>
                </c:pt>
                <c:pt idx="96">
                  <c:v>2.051E-2</c:v>
                </c:pt>
                <c:pt idx="97">
                  <c:v>2.0330000000000001E-2</c:v>
                </c:pt>
                <c:pt idx="98">
                  <c:v>2.0150000000000001E-2</c:v>
                </c:pt>
                <c:pt idx="99">
                  <c:v>1.9959999999999999E-2</c:v>
                </c:pt>
                <c:pt idx="100">
                  <c:v>1.9789999999999999E-2</c:v>
                </c:pt>
                <c:pt idx="101">
                  <c:v>1.9619999999999999E-2</c:v>
                </c:pt>
                <c:pt idx="102">
                  <c:v>1.9439999999999999E-2</c:v>
                </c:pt>
                <c:pt idx="103">
                  <c:v>1.9279999999999999E-2</c:v>
                </c:pt>
                <c:pt idx="104">
                  <c:v>1.9109999999999999E-2</c:v>
                </c:pt>
                <c:pt idx="105">
                  <c:v>1.8950000000000002E-2</c:v>
                </c:pt>
                <c:pt idx="106">
                  <c:v>1.8790000000000001E-2</c:v>
                </c:pt>
                <c:pt idx="107">
                  <c:v>1.864E-2</c:v>
                </c:pt>
                <c:pt idx="108">
                  <c:v>1.848E-2</c:v>
                </c:pt>
                <c:pt idx="109">
                  <c:v>1.8329999999999999E-2</c:v>
                </c:pt>
                <c:pt idx="110">
                  <c:v>1.8180000000000002E-2</c:v>
                </c:pt>
                <c:pt idx="111">
                  <c:v>1.8030000000000001E-2</c:v>
                </c:pt>
                <c:pt idx="112">
                  <c:v>1.789E-2</c:v>
                </c:pt>
                <c:pt idx="113">
                  <c:v>1.7749999999999998E-2</c:v>
                </c:pt>
                <c:pt idx="114">
                  <c:v>1.7610000000000001E-2</c:v>
                </c:pt>
                <c:pt idx="115">
                  <c:v>1.7469999999999999E-2</c:v>
                </c:pt>
                <c:pt idx="116">
                  <c:v>1.7330000000000002E-2</c:v>
                </c:pt>
                <c:pt idx="117">
                  <c:v>1.72E-2</c:v>
                </c:pt>
                <c:pt idx="118">
                  <c:v>1.7069999999999998E-2</c:v>
                </c:pt>
                <c:pt idx="119">
                  <c:v>1.694E-2</c:v>
                </c:pt>
                <c:pt idx="120">
                  <c:v>1.6809999999999999E-2</c:v>
                </c:pt>
                <c:pt idx="121">
                  <c:v>1.669E-2</c:v>
                </c:pt>
                <c:pt idx="122">
                  <c:v>1.6559999999999998E-2</c:v>
                </c:pt>
                <c:pt idx="123">
                  <c:v>1.644E-2</c:v>
                </c:pt>
                <c:pt idx="124">
                  <c:v>1.6320000000000001E-2</c:v>
                </c:pt>
                <c:pt idx="125">
                  <c:v>1.6199999999999999E-2</c:v>
                </c:pt>
                <c:pt idx="126">
                  <c:v>1.609E-2</c:v>
                </c:pt>
                <c:pt idx="127">
                  <c:v>1.5970000000000002E-2</c:v>
                </c:pt>
                <c:pt idx="128">
                  <c:v>1.5859999999999999E-2</c:v>
                </c:pt>
                <c:pt idx="129">
                  <c:v>1.575E-2</c:v>
                </c:pt>
                <c:pt idx="130">
                  <c:v>1.5640000000000001E-2</c:v>
                </c:pt>
                <c:pt idx="131">
                  <c:v>1.553E-2</c:v>
                </c:pt>
                <c:pt idx="132">
                  <c:v>1.542E-2</c:v>
                </c:pt>
                <c:pt idx="133">
                  <c:v>1.532E-2</c:v>
                </c:pt>
                <c:pt idx="134">
                  <c:v>1.521E-2</c:v>
                </c:pt>
                <c:pt idx="135">
                  <c:v>1.511E-2</c:v>
                </c:pt>
                <c:pt idx="136">
                  <c:v>1.5010000000000001E-2</c:v>
                </c:pt>
                <c:pt idx="137">
                  <c:v>1.491E-2</c:v>
                </c:pt>
                <c:pt idx="138">
                  <c:v>1.481E-2</c:v>
                </c:pt>
                <c:pt idx="139">
                  <c:v>1.4710000000000001E-2</c:v>
                </c:pt>
                <c:pt idx="140">
                  <c:v>1.4619999999999999E-2</c:v>
                </c:pt>
                <c:pt idx="141">
                  <c:v>1.452E-2</c:v>
                </c:pt>
                <c:pt idx="142">
                  <c:v>1.443E-2</c:v>
                </c:pt>
                <c:pt idx="143">
                  <c:v>1.4330000000000001E-2</c:v>
                </c:pt>
                <c:pt idx="144">
                  <c:v>1.4239999999999999E-2</c:v>
                </c:pt>
                <c:pt idx="145">
                  <c:v>1.4149999999999999E-2</c:v>
                </c:pt>
                <c:pt idx="146">
                  <c:v>1.406E-2</c:v>
                </c:pt>
                <c:pt idx="147">
                  <c:v>1.3979999999999999E-2</c:v>
                </c:pt>
                <c:pt idx="148">
                  <c:v>1.389E-2</c:v>
                </c:pt>
                <c:pt idx="149">
                  <c:v>1.38E-2</c:v>
                </c:pt>
                <c:pt idx="150">
                  <c:v>1.372E-2</c:v>
                </c:pt>
                <c:pt idx="151">
                  <c:v>1.3639999999999999E-2</c:v>
                </c:pt>
                <c:pt idx="152">
                  <c:v>1.355E-2</c:v>
                </c:pt>
                <c:pt idx="153">
                  <c:v>1.3469999999999999E-2</c:v>
                </c:pt>
                <c:pt idx="154">
                  <c:v>1.3390000000000001E-2</c:v>
                </c:pt>
                <c:pt idx="155">
                  <c:v>1.3310000000000001E-2</c:v>
                </c:pt>
                <c:pt idx="156">
                  <c:v>1.323E-2</c:v>
                </c:pt>
                <c:pt idx="157">
                  <c:v>1.315E-2</c:v>
                </c:pt>
                <c:pt idx="158">
                  <c:v>1.308E-2</c:v>
                </c:pt>
                <c:pt idx="159">
                  <c:v>1.2999999999999999E-2</c:v>
                </c:pt>
                <c:pt idx="160">
                  <c:v>1.4160000000000001E-2</c:v>
                </c:pt>
                <c:pt idx="161">
                  <c:v>1.521E-2</c:v>
                </c:pt>
                <c:pt idx="162">
                  <c:v>1.6160000000000001E-2</c:v>
                </c:pt>
                <c:pt idx="163">
                  <c:v>1.6070000000000001E-2</c:v>
                </c:pt>
                <c:pt idx="164">
                  <c:v>1.5980000000000001E-2</c:v>
                </c:pt>
                <c:pt idx="165">
                  <c:v>1.5890000000000001E-2</c:v>
                </c:pt>
                <c:pt idx="166">
                  <c:v>1.5800000000000002E-2</c:v>
                </c:pt>
                <c:pt idx="167">
                  <c:v>1.5709999999999998E-2</c:v>
                </c:pt>
                <c:pt idx="168">
                  <c:v>1.5630000000000002E-2</c:v>
                </c:pt>
                <c:pt idx="169">
                  <c:v>1.554E-2</c:v>
                </c:pt>
                <c:pt idx="170">
                  <c:v>1.546E-2</c:v>
                </c:pt>
                <c:pt idx="171">
                  <c:v>1.537E-2</c:v>
                </c:pt>
                <c:pt idx="172">
                  <c:v>1.529E-2</c:v>
                </c:pt>
                <c:pt idx="173">
                  <c:v>1.521E-2</c:v>
                </c:pt>
                <c:pt idx="174">
                  <c:v>1.5129999999999999E-2</c:v>
                </c:pt>
                <c:pt idx="175">
                  <c:v>1.504E-2</c:v>
                </c:pt>
                <c:pt idx="176">
                  <c:v>1.4970000000000001E-2</c:v>
                </c:pt>
                <c:pt idx="177">
                  <c:v>1.489E-2</c:v>
                </c:pt>
                <c:pt idx="178">
                  <c:v>1.481E-2</c:v>
                </c:pt>
                <c:pt idx="179">
                  <c:v>1.473E-2</c:v>
                </c:pt>
                <c:pt idx="180">
                  <c:v>1.465E-2</c:v>
                </c:pt>
                <c:pt idx="181">
                  <c:v>1.4579999999999999E-2</c:v>
                </c:pt>
                <c:pt idx="182">
                  <c:v>1.451E-2</c:v>
                </c:pt>
                <c:pt idx="183">
                  <c:v>1.443E-2</c:v>
                </c:pt>
                <c:pt idx="184">
                  <c:v>1.436E-2</c:v>
                </c:pt>
                <c:pt idx="185">
                  <c:v>1.4279999999999999E-2</c:v>
                </c:pt>
                <c:pt idx="186">
                  <c:v>1.421E-2</c:v>
                </c:pt>
                <c:pt idx="187">
                  <c:v>1.414E-2</c:v>
                </c:pt>
                <c:pt idx="188">
                  <c:v>1.4069999999999999E-2</c:v>
                </c:pt>
                <c:pt idx="189">
                  <c:v>1.4E-2</c:v>
                </c:pt>
                <c:pt idx="190">
                  <c:v>1.393E-2</c:v>
                </c:pt>
                <c:pt idx="191">
                  <c:v>1.3860000000000001E-2</c:v>
                </c:pt>
                <c:pt idx="192">
                  <c:v>1.38E-2</c:v>
                </c:pt>
                <c:pt idx="193">
                  <c:v>1.3729999999999999E-2</c:v>
                </c:pt>
                <c:pt idx="194">
                  <c:v>1.366E-2</c:v>
                </c:pt>
                <c:pt idx="195">
                  <c:v>1.3599999999999999E-2</c:v>
                </c:pt>
                <c:pt idx="196">
                  <c:v>1.353E-2</c:v>
                </c:pt>
                <c:pt idx="197">
                  <c:v>1.3469999999999999E-2</c:v>
                </c:pt>
                <c:pt idx="198">
                  <c:v>1.34E-2</c:v>
                </c:pt>
                <c:pt idx="199">
                  <c:v>1.3339999999999999E-2</c:v>
                </c:pt>
                <c:pt idx="200">
                  <c:v>1.328E-2</c:v>
                </c:pt>
                <c:pt idx="201">
                  <c:v>1.3220000000000001E-2</c:v>
                </c:pt>
                <c:pt idx="202">
                  <c:v>1.316E-2</c:v>
                </c:pt>
                <c:pt idx="203">
                  <c:v>1.3089999999999999E-2</c:v>
                </c:pt>
                <c:pt idx="204">
                  <c:v>1.303E-2</c:v>
                </c:pt>
                <c:pt idx="205">
                  <c:v>1.298E-2</c:v>
                </c:pt>
                <c:pt idx="206">
                  <c:v>1.291E-2</c:v>
                </c:pt>
                <c:pt idx="207">
                  <c:v>1.286E-2</c:v>
                </c:pt>
                <c:pt idx="208">
                  <c:v>1.2800000000000001E-2</c:v>
                </c:pt>
                <c:pt idx="209">
                  <c:v>1.274E-2</c:v>
                </c:pt>
                <c:pt idx="210">
                  <c:v>1.268E-2</c:v>
                </c:pt>
                <c:pt idx="211">
                  <c:v>1.2630000000000001E-2</c:v>
                </c:pt>
                <c:pt idx="212">
                  <c:v>1.257E-2</c:v>
                </c:pt>
                <c:pt idx="213">
                  <c:v>1.252E-2</c:v>
                </c:pt>
                <c:pt idx="214">
                  <c:v>1.2460000000000001E-2</c:v>
                </c:pt>
                <c:pt idx="215">
                  <c:v>1.2409999999999999E-2</c:v>
                </c:pt>
                <c:pt idx="216">
                  <c:v>1.235E-2</c:v>
                </c:pt>
                <c:pt idx="217">
                  <c:v>1.23E-2</c:v>
                </c:pt>
                <c:pt idx="218">
                  <c:v>1.2239999999999999E-2</c:v>
                </c:pt>
                <c:pt idx="219">
                  <c:v>1.2189999999999999E-2</c:v>
                </c:pt>
                <c:pt idx="220">
                  <c:v>1.214E-2</c:v>
                </c:pt>
                <c:pt idx="221">
                  <c:v>1.209E-2</c:v>
                </c:pt>
                <c:pt idx="222">
                  <c:v>1.2030000000000001E-2</c:v>
                </c:pt>
                <c:pt idx="223">
                  <c:v>1.1979999999999999E-2</c:v>
                </c:pt>
                <c:pt idx="224">
                  <c:v>1.1939999999999999E-2</c:v>
                </c:pt>
                <c:pt idx="225">
                  <c:v>1.188E-2</c:v>
                </c:pt>
                <c:pt idx="226">
                  <c:v>1.183E-2</c:v>
                </c:pt>
                <c:pt idx="227">
                  <c:v>1.1780000000000001E-2</c:v>
                </c:pt>
                <c:pt idx="228">
                  <c:v>1.174E-2</c:v>
                </c:pt>
                <c:pt idx="229">
                  <c:v>1.1690000000000001E-2</c:v>
                </c:pt>
                <c:pt idx="230">
                  <c:v>1.1639999999999999E-2</c:v>
                </c:pt>
                <c:pt idx="231">
                  <c:v>1.159E-2</c:v>
                </c:pt>
                <c:pt idx="232">
                  <c:v>1.154E-2</c:v>
                </c:pt>
                <c:pt idx="233">
                  <c:v>1.15E-2</c:v>
                </c:pt>
                <c:pt idx="234">
                  <c:v>1.145E-2</c:v>
                </c:pt>
                <c:pt idx="235">
                  <c:v>1.141E-2</c:v>
                </c:pt>
                <c:pt idx="236">
                  <c:v>1.136E-2</c:v>
                </c:pt>
                <c:pt idx="237">
                  <c:v>1.1310000000000001E-2</c:v>
                </c:pt>
                <c:pt idx="238">
                  <c:v>1.1270000000000001E-2</c:v>
                </c:pt>
                <c:pt idx="239">
                  <c:v>1.1220000000000001E-2</c:v>
                </c:pt>
                <c:pt idx="240">
                  <c:v>1.1180000000000001E-2</c:v>
                </c:pt>
                <c:pt idx="241">
                  <c:v>1.1140000000000001E-2</c:v>
                </c:pt>
                <c:pt idx="242">
                  <c:v>1.1089999999999999E-2</c:v>
                </c:pt>
                <c:pt idx="243">
                  <c:v>1.1050000000000001E-2</c:v>
                </c:pt>
                <c:pt idx="244">
                  <c:v>1.1010000000000001E-2</c:v>
                </c:pt>
                <c:pt idx="245">
                  <c:v>1.0959999999999999E-2</c:v>
                </c:pt>
                <c:pt idx="246">
                  <c:v>1.0919999999999999E-2</c:v>
                </c:pt>
                <c:pt idx="247">
                  <c:v>1.0880000000000001E-2</c:v>
                </c:pt>
                <c:pt idx="248">
                  <c:v>1.0840000000000001E-2</c:v>
                </c:pt>
                <c:pt idx="249">
                  <c:v>1.0789999999999999E-2</c:v>
                </c:pt>
                <c:pt idx="250">
                  <c:v>1.0749999999999999E-2</c:v>
                </c:pt>
                <c:pt idx="251">
                  <c:v>1.0710000000000001E-2</c:v>
                </c:pt>
                <c:pt idx="252">
                  <c:v>1.0670000000000001E-2</c:v>
                </c:pt>
                <c:pt idx="253">
                  <c:v>1.0630000000000001E-2</c:v>
                </c:pt>
                <c:pt idx="254">
                  <c:v>1.059E-2</c:v>
                </c:pt>
                <c:pt idx="255">
                  <c:v>1.055E-2</c:v>
                </c:pt>
                <c:pt idx="256">
                  <c:v>1.051E-2</c:v>
                </c:pt>
                <c:pt idx="257">
                  <c:v>1.048E-2</c:v>
                </c:pt>
                <c:pt idx="258">
                  <c:v>1.044E-2</c:v>
                </c:pt>
                <c:pt idx="259">
                  <c:v>1.04E-2</c:v>
                </c:pt>
                <c:pt idx="260">
                  <c:v>1.0359999999999999E-2</c:v>
                </c:pt>
                <c:pt idx="261">
                  <c:v>1.0319999999999999E-2</c:v>
                </c:pt>
                <c:pt idx="262">
                  <c:v>1.0279999999999999E-2</c:v>
                </c:pt>
                <c:pt idx="263">
                  <c:v>1.025E-2</c:v>
                </c:pt>
                <c:pt idx="264">
                  <c:v>1.021E-2</c:v>
                </c:pt>
                <c:pt idx="265">
                  <c:v>1.018E-2</c:v>
                </c:pt>
                <c:pt idx="266">
                  <c:v>1.014E-2</c:v>
                </c:pt>
                <c:pt idx="267">
                  <c:v>1.01E-2</c:v>
                </c:pt>
                <c:pt idx="268">
                  <c:v>1.0059999999999999E-2</c:v>
                </c:pt>
                <c:pt idx="269">
                  <c:v>1.0030000000000001E-2</c:v>
                </c:pt>
                <c:pt idx="270">
                  <c:v>9.9900000000000006E-3</c:v>
                </c:pt>
                <c:pt idx="271">
                  <c:v>9.9600000000000001E-3</c:v>
                </c:pt>
                <c:pt idx="272">
                  <c:v>9.92E-3</c:v>
                </c:pt>
                <c:pt idx="273">
                  <c:v>9.8899999999999995E-3</c:v>
                </c:pt>
                <c:pt idx="274">
                  <c:v>9.8499999999999994E-3</c:v>
                </c:pt>
                <c:pt idx="275">
                  <c:v>9.8200000000000006E-3</c:v>
                </c:pt>
                <c:pt idx="276">
                  <c:v>9.7900000000000001E-3</c:v>
                </c:pt>
                <c:pt idx="277">
                  <c:v>9.75E-3</c:v>
                </c:pt>
                <c:pt idx="278">
                  <c:v>9.7199999999999995E-3</c:v>
                </c:pt>
                <c:pt idx="279">
                  <c:v>9.6900000000000007E-3</c:v>
                </c:pt>
                <c:pt idx="280">
                  <c:v>9.6500000000000006E-3</c:v>
                </c:pt>
                <c:pt idx="281">
                  <c:v>9.6200000000000001E-3</c:v>
                </c:pt>
                <c:pt idx="282">
                  <c:v>9.5899999999999996E-3</c:v>
                </c:pt>
                <c:pt idx="283">
                  <c:v>9.5600000000000008E-3</c:v>
                </c:pt>
                <c:pt idx="284">
                  <c:v>9.5200000000000007E-3</c:v>
                </c:pt>
                <c:pt idx="285">
                  <c:v>9.4900000000000002E-3</c:v>
                </c:pt>
                <c:pt idx="286">
                  <c:v>9.4599999999999997E-3</c:v>
                </c:pt>
                <c:pt idx="287">
                  <c:v>9.4299999999999991E-3</c:v>
                </c:pt>
                <c:pt idx="288">
                  <c:v>9.4000000000000004E-3</c:v>
                </c:pt>
                <c:pt idx="289">
                  <c:v>9.3699999999999999E-3</c:v>
                </c:pt>
                <c:pt idx="290">
                  <c:v>9.3299999999999998E-3</c:v>
                </c:pt>
                <c:pt idx="291">
                  <c:v>9.2999999999999992E-3</c:v>
                </c:pt>
                <c:pt idx="292">
                  <c:v>9.2700000000000005E-3</c:v>
                </c:pt>
                <c:pt idx="293">
                  <c:v>9.2399999999999999E-3</c:v>
                </c:pt>
                <c:pt idx="294">
                  <c:v>9.2099999999999994E-3</c:v>
                </c:pt>
                <c:pt idx="295">
                  <c:v>9.1800000000000007E-3</c:v>
                </c:pt>
                <c:pt idx="296">
                  <c:v>9.1500000000000001E-3</c:v>
                </c:pt>
                <c:pt idx="297">
                  <c:v>9.1299999999999992E-3</c:v>
                </c:pt>
                <c:pt idx="298">
                  <c:v>9.0900000000000009E-3</c:v>
                </c:pt>
                <c:pt idx="299">
                  <c:v>9.0600000000000003E-3</c:v>
                </c:pt>
                <c:pt idx="300">
                  <c:v>9.0399999999999994E-3</c:v>
                </c:pt>
                <c:pt idx="301">
                  <c:v>9.0100000000000006E-3</c:v>
                </c:pt>
                <c:pt idx="302">
                  <c:v>8.9800000000000001E-3</c:v>
                </c:pt>
                <c:pt idx="303">
                  <c:v>9.4900000000000002E-3</c:v>
                </c:pt>
                <c:pt idx="304">
                  <c:v>9.4599999999999997E-3</c:v>
                </c:pt>
                <c:pt idx="305">
                  <c:v>9.4299999999999991E-3</c:v>
                </c:pt>
                <c:pt idx="306">
                  <c:v>9.4000000000000004E-3</c:v>
                </c:pt>
                <c:pt idx="307">
                  <c:v>9.3799999999999994E-3</c:v>
                </c:pt>
                <c:pt idx="308">
                  <c:v>9.3500000000000007E-3</c:v>
                </c:pt>
                <c:pt idx="309">
                  <c:v>9.3200000000000002E-3</c:v>
                </c:pt>
                <c:pt idx="310">
                  <c:v>9.2899999999999996E-3</c:v>
                </c:pt>
                <c:pt idx="311">
                  <c:v>9.2599999999999991E-3</c:v>
                </c:pt>
                <c:pt idx="312">
                  <c:v>9.2300000000000004E-3</c:v>
                </c:pt>
                <c:pt idx="313">
                  <c:v>9.1999999999999998E-3</c:v>
                </c:pt>
                <c:pt idx="314">
                  <c:v>9.1699999999999993E-3</c:v>
                </c:pt>
                <c:pt idx="315">
                  <c:v>9.1500000000000001E-3</c:v>
                </c:pt>
                <c:pt idx="316">
                  <c:v>9.1199999999999996E-3</c:v>
                </c:pt>
                <c:pt idx="317">
                  <c:v>9.0900000000000009E-3</c:v>
                </c:pt>
                <c:pt idx="318">
                  <c:v>9.0600000000000003E-3</c:v>
                </c:pt>
                <c:pt idx="319">
                  <c:v>9.0399999999999994E-3</c:v>
                </c:pt>
                <c:pt idx="320">
                  <c:v>9.0100000000000006E-3</c:v>
                </c:pt>
                <c:pt idx="321">
                  <c:v>8.9800000000000001E-3</c:v>
                </c:pt>
                <c:pt idx="322">
                  <c:v>8.9599999999999992E-3</c:v>
                </c:pt>
                <c:pt idx="323">
                  <c:v>8.9300000000000004E-3</c:v>
                </c:pt>
                <c:pt idx="324">
                  <c:v>8.8999999999999999E-3</c:v>
                </c:pt>
                <c:pt idx="325">
                  <c:v>8.8800000000000007E-3</c:v>
                </c:pt>
                <c:pt idx="326">
                  <c:v>8.8500000000000002E-3</c:v>
                </c:pt>
                <c:pt idx="327">
                  <c:v>8.8199999999999997E-3</c:v>
                </c:pt>
                <c:pt idx="328">
                  <c:v>8.8000000000000005E-3</c:v>
                </c:pt>
                <c:pt idx="329">
                  <c:v>8.77E-3</c:v>
                </c:pt>
                <c:pt idx="330">
                  <c:v>8.7500000000000008E-3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490-4C20-84A4-C55B9AB2F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27808"/>
        <c:axId val="98729984"/>
      </c:scatterChart>
      <c:valAx>
        <c:axId val="98727808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(Years)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729984"/>
        <c:crosses val="autoZero"/>
        <c:crossBetween val="midCat"/>
      </c:valAx>
      <c:valAx>
        <c:axId val="98729984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l-GR"/>
                  <a:t>α</a:t>
                </a:r>
                <a:r>
                  <a:rPr lang="en-US"/>
                  <a:t>s</a:t>
                </a:r>
              </a:p>
            </c:rich>
          </c:tx>
          <c:layout>
            <c:manualLayout>
              <c:xMode val="edge"/>
              <c:yMode val="edge"/>
              <c:x val="8.4388185654008432E-3"/>
              <c:y val="0.46371325521150525"/>
            </c:manualLayout>
          </c:layout>
          <c:overlay val="0"/>
        </c:title>
        <c:numFmt formatCode="0.000" sourceLinked="1"/>
        <c:majorTickMark val="out"/>
        <c:minorTickMark val="none"/>
        <c:tickLblPos val="nextTo"/>
        <c:crossAx val="98727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2284720458329804"/>
          <c:y val="4.436958041692781E-2"/>
          <c:w val="0.4822411953986358"/>
          <c:h val="0.1280436726042607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335278</xdr:colOff>
      <xdr:row>347</xdr:row>
      <xdr:rowOff>9525</xdr:rowOff>
    </xdr:from>
    <xdr:to>
      <xdr:col>18</xdr:col>
      <xdr:colOff>480059</xdr:colOff>
      <xdr:row>363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594360</xdr:colOff>
      <xdr:row>3</xdr:row>
      <xdr:rowOff>66677</xdr:rowOff>
    </xdr:from>
    <xdr:to>
      <xdr:col>29</xdr:col>
      <xdr:colOff>563880</xdr:colOff>
      <xdr:row>25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L556" totalsRowShown="0" headerRowDxfId="80" dataDxfId="79">
  <autoFilter ref="A1:L556" xr:uid="{00000000-0009-0000-0100-000002000000}"/>
  <sortState xmlns:xlrd2="http://schemas.microsoft.com/office/spreadsheetml/2017/richdata2" ref="A2:L556">
    <sortCondition ref="A1:A556"/>
  </sortState>
  <tableColumns count="12">
    <tableColumn id="1" xr3:uid="{00000000-0010-0000-0000-000001000000}" name="Event No" dataDxfId="78" dataCellStyle="Normal 2"/>
    <tableColumn id="2" xr3:uid="{00000000-0010-0000-0000-000002000000}" name="Longitude" dataDxfId="77"/>
    <tableColumn id="3" xr3:uid="{00000000-0010-0000-0000-000003000000}" name="Latitude" dataDxfId="76"/>
    <tableColumn id="4" xr3:uid="{00000000-0010-0000-0000-000004000000}" name="Year" dataDxfId="75"/>
    <tableColumn id="5" xr3:uid="{00000000-0010-0000-0000-000005000000}" name="Month" dataDxfId="74"/>
    <tableColumn id="6" xr3:uid="{00000000-0010-0000-0000-000006000000}" name="Date" dataDxfId="73"/>
    <tableColumn id="7" xr3:uid="{00000000-0010-0000-0000-000007000000}" name="Mw" dataDxfId="72"/>
    <tableColumn id="8" xr3:uid="{00000000-0010-0000-0000-000008000000}" name="Mag Type" dataDxfId="71"/>
    <tableColumn id="9" xr3:uid="{00000000-0010-0000-0000-000009000000}" name="Depth" dataDxfId="70"/>
    <tableColumn id="10" xr3:uid="{00000000-0010-0000-0000-00000A000000}" name="Hours" dataDxfId="69"/>
    <tableColumn id="11" xr3:uid="{00000000-0010-0000-0000-00000B000000}" name="Minutes" dataDxfId="68"/>
    <tableColumn id="12" xr3:uid="{00000000-0010-0000-0000-00000C000000}" name="Reference" dataDxfId="6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24" displayName="Table24" ref="A1:L215" totalsRowShown="0" headerRowDxfId="66" dataDxfId="64" headerRowBorderDxfId="65" tableBorderDxfId="63" totalsRowBorderDxfId="62">
  <autoFilter ref="A1:L215" xr:uid="{00000000-0009-0000-0100-000003000000}"/>
  <sortState xmlns:xlrd2="http://schemas.microsoft.com/office/spreadsheetml/2017/richdata2" ref="A2:L215">
    <sortCondition ref="A1:A215"/>
  </sortState>
  <tableColumns count="12">
    <tableColumn id="1" xr3:uid="{00000000-0010-0000-0100-000001000000}" name="Event No" dataDxfId="61" dataCellStyle="Normal 2"/>
    <tableColumn id="2" xr3:uid="{00000000-0010-0000-0100-000002000000}" name="Longitude" dataDxfId="60"/>
    <tableColumn id="3" xr3:uid="{00000000-0010-0000-0100-000003000000}" name="Latitude" dataDxfId="59"/>
    <tableColumn id="4" xr3:uid="{00000000-0010-0000-0100-000004000000}" name="Year" dataDxfId="58"/>
    <tableColumn id="5" xr3:uid="{00000000-0010-0000-0100-000005000000}" name="Month" dataDxfId="57"/>
    <tableColumn id="6" xr3:uid="{00000000-0010-0000-0100-000006000000}" name="Date" dataDxfId="56"/>
    <tableColumn id="7" xr3:uid="{00000000-0010-0000-0100-000007000000}" name="Magnitude" dataDxfId="55"/>
    <tableColumn id="8" xr3:uid="{00000000-0010-0000-0100-000008000000}" name="Mag Type" dataDxfId="54"/>
    <tableColumn id="9" xr3:uid="{00000000-0010-0000-0100-000009000000}" name="Depth" dataDxfId="53"/>
    <tableColumn id="10" xr3:uid="{00000000-0010-0000-0100-00000A000000}" name="Hours" dataDxfId="52"/>
    <tableColumn id="11" xr3:uid="{00000000-0010-0000-0100-00000B000000}" name="Minute" dataDxfId="51"/>
    <tableColumn id="12" xr3:uid="{00000000-0010-0000-0100-00000C000000}" name="Reference" dataDxfId="5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245" displayName="Table245" ref="A1:M215" totalsRowShown="0" headerRowDxfId="49" dataDxfId="48">
  <autoFilter ref="A1:M215" xr:uid="{00000000-0009-0000-0100-000004000000}"/>
  <sortState xmlns:xlrd2="http://schemas.microsoft.com/office/spreadsheetml/2017/richdata2" ref="A2:M215">
    <sortCondition ref="M1:M215"/>
  </sortState>
  <tableColumns count="13">
    <tableColumn id="1" xr3:uid="{00000000-0010-0000-0200-000001000000}" name="Event No" dataDxfId="47" dataCellStyle="Normal 2"/>
    <tableColumn id="2" xr3:uid="{00000000-0010-0000-0200-000002000000}" name="Longitude" dataDxfId="46"/>
    <tableColumn id="3" xr3:uid="{00000000-0010-0000-0200-000003000000}" name="Latitude" dataDxfId="45"/>
    <tableColumn id="4" xr3:uid="{00000000-0010-0000-0200-000004000000}" name="Year" dataDxfId="44"/>
    <tableColumn id="5" xr3:uid="{00000000-0010-0000-0200-000005000000}" name="Month" dataDxfId="43"/>
    <tableColumn id="6" xr3:uid="{00000000-0010-0000-0200-000006000000}" name="Date" dataDxfId="42"/>
    <tableColumn id="7" xr3:uid="{00000000-0010-0000-0200-000007000000}" name="Magnitude" dataDxfId="41"/>
    <tableColumn id="8" xr3:uid="{00000000-0010-0000-0200-000008000000}" name="Mag Type" dataDxfId="40"/>
    <tableColumn id="9" xr3:uid="{00000000-0010-0000-0200-000009000000}" name="Depth" dataDxfId="39"/>
    <tableColumn id="10" xr3:uid="{00000000-0010-0000-0200-00000A000000}" name="Hours" dataDxfId="38"/>
    <tableColumn id="11" xr3:uid="{00000000-0010-0000-0200-00000B000000}" name="Minutes" dataDxfId="37"/>
    <tableColumn id="12" xr3:uid="{00000000-0010-0000-0200-00000C000000}" name="Reference" dataDxfId="36"/>
    <tableColumn id="13" xr3:uid="{00000000-0010-0000-0200-00000D000000}" name="SEISAT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1" displayName="Table1" ref="A2:R134" totalsRowCount="1" headerRowDxfId="34" dataDxfId="33" totalsRowDxfId="32">
  <autoFilter ref="A2:R133" xr:uid="{00000000-0009-0000-0100-000001000000}">
    <filterColumn colId="1">
      <filters>
        <filter val="FIBC"/>
      </filters>
    </filterColumn>
  </autoFilter>
  <sortState xmlns:xlrd2="http://schemas.microsoft.com/office/spreadsheetml/2017/richdata2" ref="A2:R132">
    <sortCondition ref="A1:A132"/>
  </sortState>
  <tableColumns count="18">
    <tableColumn id="1" xr3:uid="{00000000-0010-0000-0300-000001000000}" name="S no." dataDxfId="31" totalsRowDxfId="30"/>
    <tableColumn id="11" xr3:uid="{00000000-0010-0000-0300-00000B000000}" name="Type of Fault" dataDxfId="29" totalsRowDxfId="28"/>
    <tableColumn id="2" xr3:uid="{00000000-0010-0000-0300-000002000000}" name="NAME OF FAULT (IF ANY)" dataDxfId="27" totalsRowDxfId="26"/>
    <tableColumn id="4" xr3:uid="{00000000-0010-0000-0300-000004000000}" name="Abbreviation" dataDxfId="25" totalsRowDxfId="24"/>
    <tableColumn id="5" xr3:uid="{00000000-0010-0000-0300-000005000000}" name="LONG 1" totalsRowDxfId="23"/>
    <tableColumn id="6" xr3:uid="{00000000-0010-0000-0300-000006000000}" name="LAT 1" totalsRowDxfId="22"/>
    <tableColumn id="7" xr3:uid="{00000000-0010-0000-0300-000007000000}" name="LONG 2" totalsRowDxfId="21"/>
    <tableColumn id="8" xr3:uid="{00000000-0010-0000-0300-000008000000}" name="LAT 2" totalsRowDxfId="20"/>
    <tableColumn id="14" xr3:uid="{00000000-0010-0000-0300-00000E000000}" name="Total Length" totalsRowFunction="sum" dataDxfId="19" totalsRowDxfId="18">
      <calculatedColumnFormula>6378.8*ACOS(SIN(E3*3.14/180)*SIN(G3*3.14/180)+COS(E3*3.14/180)*COS(G3*3.14/180)*COS(H3*3.14/180-F3*3.14/180))</calculatedColumnFormula>
    </tableColumn>
    <tableColumn id="13" xr3:uid="{00000000-0010-0000-0300-00000D000000}" name="Max Mw" dataDxfId="17" totalsRowDxfId="16">
      <calculatedColumnFormula>5.06+LOG10(I3)*1.16</calculatedColumnFormula>
    </tableColumn>
    <tableColumn id="9" xr3:uid="{00000000-0010-0000-0300-000009000000}" name="SEISAT" dataDxfId="15" totalsRowDxfId="14"/>
    <tableColumn id="10" xr3:uid="{00000000-0010-0000-0300-00000A000000}" name="No of Eq2" dataDxfId="13" totalsRowDxfId="12"/>
    <tableColumn id="12" xr3:uid="{00000000-0010-0000-0300-00000C000000}" name="No of EQ" dataDxfId="11" totalsRowDxfId="10"/>
    <tableColumn id="15" xr3:uid="{00000000-0010-0000-0300-00000F000000}" name="Active Fault Length" totalsRowFunction="sum" dataDxfId="9" totalsRowDxfId="8">
      <calculatedColumnFormula>IF(Table1[[#This Row],[No of EQ]]&gt;0,Table1[[#This Row],[Total Length]],0)</calculatedColumnFormula>
    </tableColumn>
    <tableColumn id="16" xr3:uid="{00000000-0010-0000-0300-000010000000}" name="Wm" dataDxfId="7" totalsRowDxfId="6">
      <calculatedColumnFormula>Table1[[#This Row],[No of EQ]]/214</calculatedColumnFormula>
    </tableColumn>
    <tableColumn id="17" xr3:uid="{00000000-0010-0000-0300-000011000000}" name="Wl " dataDxfId="5" totalsRowDxfId="4">
      <calculatedColumnFormula>Table1[[#This Row],[Active Fault Length]]/$N$134</calculatedColumnFormula>
    </tableColumn>
    <tableColumn id="18" xr3:uid="{00000000-0010-0000-0300-000012000000}" name="Total Weightage Factor" dataDxfId="3" totalsRowDxfId="2">
      <calculatedColumnFormula>AVERAGE(Table1[[#This Row],[Wm]:[Wl ]])</calculatedColumnFormula>
    </tableColumn>
    <tableColumn id="19" xr3:uid="{00000000-0010-0000-0300-000013000000}" name="Revised Alpha" dataDxfId="1" totalsRowDxfId="0">
      <calculatedColumnFormula>2.303*Table1[[#This Row],[Total Weightage Factor]]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8"/>
  <sheetViews>
    <sheetView workbookViewId="0">
      <selection activeCell="H2" sqref="H2"/>
    </sheetView>
  </sheetViews>
  <sheetFormatPr defaultRowHeight="14.4" x14ac:dyDescent="0.3"/>
  <cols>
    <col min="1" max="11" width="10.6640625" customWidth="1"/>
  </cols>
  <sheetData>
    <row r="1" spans="1:11" x14ac:dyDescent="0.3">
      <c r="A1" s="58" t="s">
        <v>61</v>
      </c>
      <c r="B1" s="58" t="s">
        <v>62</v>
      </c>
      <c r="C1" s="58" t="s">
        <v>31</v>
      </c>
      <c r="D1" s="58" t="s">
        <v>63</v>
      </c>
      <c r="E1" s="58" t="s">
        <v>64</v>
      </c>
      <c r="F1" s="58" t="s">
        <v>1</v>
      </c>
      <c r="G1" s="58" t="s">
        <v>5</v>
      </c>
      <c r="H1" s="58" t="s">
        <v>0</v>
      </c>
      <c r="I1" s="58" t="s">
        <v>65</v>
      </c>
      <c r="J1" s="58" t="s">
        <v>66</v>
      </c>
      <c r="K1" s="58" t="s">
        <v>67</v>
      </c>
    </row>
    <row r="2" spans="1:11" x14ac:dyDescent="0.3">
      <c r="A2" s="4">
        <v>75.75</v>
      </c>
      <c r="B2" s="4">
        <v>21.5</v>
      </c>
      <c r="C2" s="3">
        <v>1938</v>
      </c>
      <c r="D2" s="3">
        <v>3</v>
      </c>
      <c r="E2" s="3">
        <v>14</v>
      </c>
      <c r="F2" s="3">
        <v>6.2</v>
      </c>
      <c r="G2" s="3" t="s">
        <v>6</v>
      </c>
      <c r="H2" s="2">
        <v>50</v>
      </c>
      <c r="I2" s="3">
        <v>0</v>
      </c>
      <c r="J2" s="3">
        <v>48</v>
      </c>
      <c r="K2" s="3" t="s">
        <v>7</v>
      </c>
    </row>
    <row r="3" spans="1:11" x14ac:dyDescent="0.3">
      <c r="A3" s="4">
        <v>80</v>
      </c>
      <c r="B3" s="4">
        <v>22</v>
      </c>
      <c r="C3" s="3">
        <v>1957</v>
      </c>
      <c r="D3" s="3">
        <v>8</v>
      </c>
      <c r="E3" s="3">
        <v>25</v>
      </c>
      <c r="F3" s="3">
        <v>5.5</v>
      </c>
      <c r="G3" s="3" t="s">
        <v>8</v>
      </c>
      <c r="H3" s="2">
        <v>0</v>
      </c>
      <c r="I3" s="3">
        <v>21</v>
      </c>
      <c r="J3" s="3">
        <v>4</v>
      </c>
      <c r="K3" s="3" t="s">
        <v>9</v>
      </c>
    </row>
    <row r="4" spans="1:11" x14ac:dyDescent="0.3">
      <c r="A4" s="4">
        <v>72.495599999999996</v>
      </c>
      <c r="B4" s="4">
        <v>24.768999999999998</v>
      </c>
      <c r="C4" s="3">
        <v>1969</v>
      </c>
      <c r="D4" s="3">
        <v>10</v>
      </c>
      <c r="E4" s="3">
        <v>24</v>
      </c>
      <c r="F4" s="3">
        <v>4.9000000000000004</v>
      </c>
      <c r="G4" s="3" t="s">
        <v>2</v>
      </c>
      <c r="H4" s="2">
        <v>30.2</v>
      </c>
      <c r="I4" s="3">
        <v>11</v>
      </c>
      <c r="J4" s="3">
        <v>45</v>
      </c>
      <c r="K4" s="3" t="s">
        <v>10</v>
      </c>
    </row>
    <row r="5" spans="1:11" x14ac:dyDescent="0.3">
      <c r="A5" s="4">
        <v>73.052400000000006</v>
      </c>
      <c r="B5" s="4">
        <v>21.586200000000002</v>
      </c>
      <c r="C5" s="3">
        <v>1970</v>
      </c>
      <c r="D5" s="3">
        <v>3</v>
      </c>
      <c r="E5" s="3">
        <v>23</v>
      </c>
      <c r="F5" s="3">
        <v>5.3</v>
      </c>
      <c r="G5" s="3" t="s">
        <v>2</v>
      </c>
      <c r="H5" s="2">
        <v>13.9</v>
      </c>
      <c r="I5" s="3">
        <v>1</v>
      </c>
      <c r="J5" s="3">
        <v>53</v>
      </c>
      <c r="K5" s="3" t="s">
        <v>10</v>
      </c>
    </row>
    <row r="6" spans="1:11" x14ac:dyDescent="0.3">
      <c r="A6" s="4">
        <v>74</v>
      </c>
      <c r="B6" s="4">
        <v>23.4</v>
      </c>
      <c r="C6" s="3">
        <v>1982</v>
      </c>
      <c r="D6" s="3">
        <v>4</v>
      </c>
      <c r="E6" s="3">
        <v>26</v>
      </c>
      <c r="F6" s="3">
        <v>4.8</v>
      </c>
      <c r="G6" s="3" t="s">
        <v>11</v>
      </c>
      <c r="H6" s="2">
        <v>0</v>
      </c>
      <c r="I6" s="3">
        <v>6</v>
      </c>
      <c r="J6" s="3">
        <v>6</v>
      </c>
      <c r="K6" s="3" t="s">
        <v>12</v>
      </c>
    </row>
    <row r="7" spans="1:11" x14ac:dyDescent="0.3">
      <c r="A7" s="4">
        <v>73.683199999999999</v>
      </c>
      <c r="B7" s="4">
        <v>19.670999999999999</v>
      </c>
      <c r="C7" s="3">
        <v>1983</v>
      </c>
      <c r="D7" s="3">
        <v>9</v>
      </c>
      <c r="E7" s="3">
        <v>14</v>
      </c>
      <c r="F7" s="3">
        <v>4.3</v>
      </c>
      <c r="G7" s="3" t="s">
        <v>2</v>
      </c>
      <c r="H7" s="2">
        <v>35</v>
      </c>
      <c r="I7" s="3">
        <v>21</v>
      </c>
      <c r="J7" s="3">
        <v>53</v>
      </c>
      <c r="K7" s="3" t="s">
        <v>10</v>
      </c>
    </row>
    <row r="8" spans="1:11" x14ac:dyDescent="0.3">
      <c r="A8" s="4">
        <v>73.7316</v>
      </c>
      <c r="B8" s="4">
        <v>20.5078</v>
      </c>
      <c r="C8" s="3">
        <v>1986</v>
      </c>
      <c r="D8" s="3">
        <v>2</v>
      </c>
      <c r="E8" s="3">
        <v>26</v>
      </c>
      <c r="F8" s="3">
        <v>4.3</v>
      </c>
      <c r="G8" s="3" t="s">
        <v>2</v>
      </c>
      <c r="H8" s="2">
        <v>35</v>
      </c>
      <c r="I8" s="3">
        <v>12</v>
      </c>
      <c r="J8" s="3">
        <v>47</v>
      </c>
      <c r="K8" s="3" t="s">
        <v>13</v>
      </c>
    </row>
    <row r="9" spans="1:11" x14ac:dyDescent="0.3">
      <c r="A9" s="4">
        <v>77.165999999999997</v>
      </c>
      <c r="B9" s="4">
        <v>26.532800000000002</v>
      </c>
      <c r="C9" s="3">
        <v>1986</v>
      </c>
      <c r="D9" s="3">
        <v>11</v>
      </c>
      <c r="E9" s="3">
        <v>2</v>
      </c>
      <c r="F9" s="3">
        <v>4.0999999999999996</v>
      </c>
      <c r="G9" s="3" t="s">
        <v>11</v>
      </c>
      <c r="H9" s="2">
        <v>10</v>
      </c>
      <c r="I9" s="3">
        <v>6</v>
      </c>
      <c r="J9" s="3">
        <v>16</v>
      </c>
      <c r="K9" s="3" t="s">
        <v>12</v>
      </c>
    </row>
    <row r="10" spans="1:11" x14ac:dyDescent="0.3">
      <c r="A10" s="4">
        <v>73.453900000000004</v>
      </c>
      <c r="B10" s="4">
        <v>24.545400000000001</v>
      </c>
      <c r="C10" s="3">
        <v>1986</v>
      </c>
      <c r="D10" s="3">
        <v>11</v>
      </c>
      <c r="E10" s="3">
        <v>15</v>
      </c>
      <c r="F10" s="3">
        <v>4.8</v>
      </c>
      <c r="G10" s="3" t="s">
        <v>11</v>
      </c>
      <c r="H10" s="2">
        <v>10</v>
      </c>
      <c r="I10" s="3">
        <v>0</v>
      </c>
      <c r="J10" s="3">
        <v>25</v>
      </c>
      <c r="K10" s="3" t="s">
        <v>12</v>
      </c>
    </row>
    <row r="11" spans="1:11" x14ac:dyDescent="0.3">
      <c r="A11" s="4">
        <v>79.353899999999996</v>
      </c>
      <c r="B11" s="4">
        <v>22.473199999999999</v>
      </c>
      <c r="C11" s="3">
        <v>1987</v>
      </c>
      <c r="D11" s="3">
        <v>4</v>
      </c>
      <c r="E11" s="3">
        <v>18</v>
      </c>
      <c r="F11" s="3">
        <v>4.9000000000000004</v>
      </c>
      <c r="G11" s="3" t="s">
        <v>2</v>
      </c>
      <c r="H11" s="2">
        <v>35</v>
      </c>
      <c r="I11" s="3">
        <v>16</v>
      </c>
      <c r="J11" s="3">
        <v>59</v>
      </c>
      <c r="K11" s="3" t="s">
        <v>10</v>
      </c>
    </row>
    <row r="12" spans="1:11" x14ac:dyDescent="0.3">
      <c r="A12" s="4">
        <v>71.543300000000002</v>
      </c>
      <c r="B12" s="4">
        <v>20.7271</v>
      </c>
      <c r="C12" s="3">
        <v>1993</v>
      </c>
      <c r="D12" s="3">
        <v>8</v>
      </c>
      <c r="E12" s="3">
        <v>24</v>
      </c>
      <c r="F12" s="3">
        <v>5</v>
      </c>
      <c r="G12" s="3" t="s">
        <v>2</v>
      </c>
      <c r="H12" s="2">
        <v>23.9</v>
      </c>
      <c r="I12" s="3">
        <v>17</v>
      </c>
      <c r="J12" s="3">
        <v>47</v>
      </c>
      <c r="K12" s="3" t="s">
        <v>10</v>
      </c>
    </row>
    <row r="13" spans="1:11" x14ac:dyDescent="0.3">
      <c r="A13" s="4">
        <v>72.720600000000005</v>
      </c>
      <c r="B13" s="4">
        <v>21.128799999999998</v>
      </c>
      <c r="C13" s="3">
        <v>1993</v>
      </c>
      <c r="D13" s="3">
        <v>12</v>
      </c>
      <c r="E13" s="3">
        <v>31</v>
      </c>
      <c r="F13" s="3">
        <v>3.8</v>
      </c>
      <c r="G13" s="3" t="s">
        <v>2</v>
      </c>
      <c r="H13" s="2">
        <v>35</v>
      </c>
      <c r="I13" s="3">
        <v>13</v>
      </c>
      <c r="J13" s="3">
        <v>32</v>
      </c>
      <c r="K13" s="3" t="s">
        <v>14</v>
      </c>
    </row>
    <row r="14" spans="1:11" x14ac:dyDescent="0.3">
      <c r="A14" s="4">
        <v>78.654799999999994</v>
      </c>
      <c r="B14" s="4">
        <v>25.9908</v>
      </c>
      <c r="C14" s="3">
        <v>1994</v>
      </c>
      <c r="D14" s="3">
        <v>8</v>
      </c>
      <c r="E14" s="3">
        <v>31</v>
      </c>
      <c r="F14" s="3">
        <v>4.7</v>
      </c>
      <c r="G14" s="3" t="s">
        <v>2</v>
      </c>
      <c r="H14" s="2">
        <v>23.5</v>
      </c>
      <c r="I14" s="3">
        <v>23</v>
      </c>
      <c r="J14" s="3">
        <v>29</v>
      </c>
      <c r="K14" s="3" t="s">
        <v>10</v>
      </c>
    </row>
    <row r="15" spans="1:11" x14ac:dyDescent="0.3">
      <c r="A15" s="4">
        <v>77.644499999999994</v>
      </c>
      <c r="B15" s="4">
        <v>22.251899999999999</v>
      </c>
      <c r="C15" s="3">
        <v>1996</v>
      </c>
      <c r="D15" s="3">
        <v>1</v>
      </c>
      <c r="E15" s="3">
        <v>10</v>
      </c>
      <c r="F15" s="3">
        <v>4.0999999999999996</v>
      </c>
      <c r="G15" s="3" t="s">
        <v>2</v>
      </c>
      <c r="H15" s="2">
        <v>35</v>
      </c>
      <c r="I15" s="3">
        <v>10</v>
      </c>
      <c r="J15" s="3">
        <v>37</v>
      </c>
      <c r="K15" s="3" t="s">
        <v>10</v>
      </c>
    </row>
    <row r="16" spans="1:11" x14ac:dyDescent="0.3">
      <c r="A16" s="4">
        <v>76.727000000000004</v>
      </c>
      <c r="B16" s="4">
        <v>18.238600000000002</v>
      </c>
      <c r="C16" s="3">
        <v>1996</v>
      </c>
      <c r="D16" s="3">
        <v>11</v>
      </c>
      <c r="E16" s="3">
        <v>10</v>
      </c>
      <c r="F16" s="3">
        <v>4.3</v>
      </c>
      <c r="G16" s="3" t="s">
        <v>2</v>
      </c>
      <c r="H16" s="2">
        <v>35</v>
      </c>
      <c r="I16" s="3">
        <v>9</v>
      </c>
      <c r="J16" s="3">
        <v>0</v>
      </c>
      <c r="K16" s="3" t="s">
        <v>10</v>
      </c>
    </row>
    <row r="17" spans="1:11" x14ac:dyDescent="0.3">
      <c r="A17" s="4">
        <v>73.223399999999998</v>
      </c>
      <c r="B17" s="4">
        <v>21.383800000000001</v>
      </c>
      <c r="C17" s="3">
        <v>1996</v>
      </c>
      <c r="D17" s="3">
        <v>11</v>
      </c>
      <c r="E17" s="3">
        <v>17</v>
      </c>
      <c r="F17" s="3">
        <v>4.0999999999999996</v>
      </c>
      <c r="G17" s="3" t="s">
        <v>2</v>
      </c>
      <c r="H17" s="2">
        <v>35</v>
      </c>
      <c r="I17" s="3">
        <v>18</v>
      </c>
      <c r="J17" s="3">
        <v>12</v>
      </c>
      <c r="K17" s="3" t="s">
        <v>10</v>
      </c>
    </row>
    <row r="18" spans="1:11" x14ac:dyDescent="0.3">
      <c r="A18" s="4">
        <v>80.133600000000001</v>
      </c>
      <c r="B18" s="4">
        <v>23.102699999999999</v>
      </c>
      <c r="C18" s="3">
        <v>1997</v>
      </c>
      <c r="D18" s="3">
        <v>5</v>
      </c>
      <c r="E18" s="3">
        <v>21</v>
      </c>
      <c r="F18" s="3">
        <v>5.8</v>
      </c>
      <c r="G18" s="3" t="s">
        <v>15</v>
      </c>
      <c r="H18" s="2">
        <v>35.9</v>
      </c>
      <c r="I18" s="3">
        <v>22</v>
      </c>
      <c r="J18" s="3">
        <v>51</v>
      </c>
      <c r="K18" s="3" t="s">
        <v>16</v>
      </c>
    </row>
    <row r="19" spans="1:11" x14ac:dyDescent="0.3">
      <c r="A19" s="4">
        <v>79.928899999999999</v>
      </c>
      <c r="B19" s="4">
        <v>23.1023</v>
      </c>
      <c r="C19" s="3">
        <v>1997</v>
      </c>
      <c r="D19" s="3">
        <v>6</v>
      </c>
      <c r="E19" s="3">
        <v>4</v>
      </c>
      <c r="F19" s="3">
        <v>3.8</v>
      </c>
      <c r="G19" s="3" t="s">
        <v>2</v>
      </c>
      <c r="H19" s="2">
        <v>35</v>
      </c>
      <c r="I19" s="3">
        <v>19</v>
      </c>
      <c r="J19" s="3">
        <v>29</v>
      </c>
      <c r="K19" s="3" t="s">
        <v>10</v>
      </c>
    </row>
    <row r="20" spans="1:11" x14ac:dyDescent="0.3">
      <c r="A20" s="4">
        <v>75.25</v>
      </c>
      <c r="B20" s="4">
        <v>21.55</v>
      </c>
      <c r="C20" s="3">
        <v>1997</v>
      </c>
      <c r="D20" s="3">
        <v>11</v>
      </c>
      <c r="E20" s="3">
        <v>13</v>
      </c>
      <c r="F20" s="3">
        <v>4.3</v>
      </c>
      <c r="G20" s="3" t="s">
        <v>2</v>
      </c>
      <c r="H20" s="2">
        <v>8</v>
      </c>
      <c r="I20" s="3">
        <v>20</v>
      </c>
      <c r="J20" s="3">
        <v>17</v>
      </c>
      <c r="K20" s="3" t="s">
        <v>12</v>
      </c>
    </row>
    <row r="21" spans="1:11" x14ac:dyDescent="0.3">
      <c r="A21" s="4">
        <v>78.173599999999993</v>
      </c>
      <c r="B21" s="4">
        <v>22.5579</v>
      </c>
      <c r="C21" s="3">
        <v>1998</v>
      </c>
      <c r="D21" s="3">
        <v>3</v>
      </c>
      <c r="E21" s="3">
        <v>9</v>
      </c>
      <c r="F21" s="3">
        <v>4.2</v>
      </c>
      <c r="G21" s="3" t="s">
        <v>2</v>
      </c>
      <c r="H21" s="2">
        <v>35</v>
      </c>
      <c r="I21" s="3">
        <v>7</v>
      </c>
      <c r="J21" s="3">
        <v>41</v>
      </c>
      <c r="K21" s="3" t="s">
        <v>10</v>
      </c>
    </row>
    <row r="22" spans="1:11" x14ac:dyDescent="0.3">
      <c r="A22" s="4">
        <v>77.832899999999995</v>
      </c>
      <c r="B22" s="4">
        <v>22.511600000000001</v>
      </c>
      <c r="C22" s="3">
        <v>1998</v>
      </c>
      <c r="D22" s="3">
        <v>7</v>
      </c>
      <c r="E22" s="3">
        <v>19</v>
      </c>
      <c r="F22" s="3">
        <v>3.3</v>
      </c>
      <c r="G22" s="3" t="s">
        <v>2</v>
      </c>
      <c r="H22" s="2">
        <v>35</v>
      </c>
      <c r="I22" s="3">
        <v>12</v>
      </c>
      <c r="J22" s="3">
        <v>57</v>
      </c>
      <c r="K22" s="3" t="s">
        <v>17</v>
      </c>
    </row>
    <row r="23" spans="1:11" x14ac:dyDescent="0.3">
      <c r="A23" s="4">
        <v>72.995000000000005</v>
      </c>
      <c r="B23" s="4">
        <v>20.46</v>
      </c>
      <c r="C23" s="3">
        <v>1998</v>
      </c>
      <c r="D23" s="3">
        <v>9</v>
      </c>
      <c r="E23" s="3">
        <v>2</v>
      </c>
      <c r="F23" s="3">
        <v>3.3</v>
      </c>
      <c r="G23" s="3" t="s">
        <v>3</v>
      </c>
      <c r="H23" s="2">
        <v>13.2</v>
      </c>
      <c r="I23" s="3">
        <v>22</v>
      </c>
      <c r="J23" s="3">
        <v>58</v>
      </c>
      <c r="K23" s="3" t="s">
        <v>12</v>
      </c>
    </row>
    <row r="24" spans="1:11" x14ac:dyDescent="0.3">
      <c r="A24" s="4">
        <v>75.748999999999995</v>
      </c>
      <c r="B24" s="4">
        <v>22.111000000000001</v>
      </c>
      <c r="C24" s="3">
        <v>1998</v>
      </c>
      <c r="D24" s="3">
        <v>9</v>
      </c>
      <c r="E24" s="3">
        <v>13</v>
      </c>
      <c r="F24" s="3">
        <v>3.3</v>
      </c>
      <c r="G24" s="3" t="s">
        <v>3</v>
      </c>
      <c r="H24" s="2">
        <v>15</v>
      </c>
      <c r="I24" s="3">
        <v>20</v>
      </c>
      <c r="J24" s="3">
        <v>42</v>
      </c>
      <c r="K24" s="3" t="s">
        <v>12</v>
      </c>
    </row>
    <row r="25" spans="1:11" x14ac:dyDescent="0.3">
      <c r="A25" s="4">
        <v>76.09</v>
      </c>
      <c r="B25" s="4">
        <v>21.693000000000001</v>
      </c>
      <c r="C25" s="3">
        <v>1998</v>
      </c>
      <c r="D25" s="3">
        <v>10</v>
      </c>
      <c r="E25" s="3">
        <v>20</v>
      </c>
      <c r="F25" s="3">
        <v>3.1</v>
      </c>
      <c r="G25" s="3" t="s">
        <v>3</v>
      </c>
      <c r="H25" s="2">
        <v>2</v>
      </c>
      <c r="I25" s="3">
        <v>9</v>
      </c>
      <c r="J25" s="3">
        <v>5</v>
      </c>
      <c r="K25" s="3" t="s">
        <v>12</v>
      </c>
    </row>
    <row r="26" spans="1:11" x14ac:dyDescent="0.3">
      <c r="A26" s="4">
        <v>76.230999999999995</v>
      </c>
      <c r="B26" s="4">
        <v>21.620999999999999</v>
      </c>
      <c r="C26" s="3">
        <v>1998</v>
      </c>
      <c r="D26" s="3">
        <v>10</v>
      </c>
      <c r="E26" s="3">
        <v>24</v>
      </c>
      <c r="F26" s="3">
        <v>3</v>
      </c>
      <c r="G26" s="3" t="s">
        <v>3</v>
      </c>
      <c r="H26" s="2">
        <v>1</v>
      </c>
      <c r="I26" s="3">
        <v>7</v>
      </c>
      <c r="J26" s="3">
        <v>48</v>
      </c>
      <c r="K26" s="3" t="s">
        <v>12</v>
      </c>
    </row>
    <row r="27" spans="1:11" x14ac:dyDescent="0.3">
      <c r="A27" s="4">
        <v>76.382000000000005</v>
      </c>
      <c r="B27" s="4">
        <v>21.63</v>
      </c>
      <c r="C27" s="3">
        <v>1998</v>
      </c>
      <c r="D27" s="3">
        <v>11</v>
      </c>
      <c r="E27" s="3">
        <v>5</v>
      </c>
      <c r="F27" s="3">
        <v>3.5</v>
      </c>
      <c r="G27" s="3" t="s">
        <v>3</v>
      </c>
      <c r="H27" s="2">
        <v>10.8</v>
      </c>
      <c r="I27" s="3">
        <v>5</v>
      </c>
      <c r="J27" s="3">
        <v>42</v>
      </c>
      <c r="K27" s="3" t="s">
        <v>12</v>
      </c>
    </row>
    <row r="28" spans="1:11" x14ac:dyDescent="0.3">
      <c r="A28" s="4">
        <v>71.168800000000005</v>
      </c>
      <c r="B28" s="4">
        <v>22.0932</v>
      </c>
      <c r="C28" s="3">
        <v>1998</v>
      </c>
      <c r="D28" s="3">
        <v>11</v>
      </c>
      <c r="E28" s="3">
        <v>28</v>
      </c>
      <c r="F28" s="3">
        <v>3.5</v>
      </c>
      <c r="G28" s="3" t="s">
        <v>3</v>
      </c>
      <c r="H28" s="2">
        <v>35</v>
      </c>
      <c r="I28" s="3">
        <v>16</v>
      </c>
      <c r="J28" s="3">
        <v>59</v>
      </c>
      <c r="K28" s="3" t="s">
        <v>12</v>
      </c>
    </row>
    <row r="29" spans="1:11" x14ac:dyDescent="0.3">
      <c r="A29" s="4">
        <v>73.663600000000002</v>
      </c>
      <c r="B29" s="4">
        <v>24.793900000000001</v>
      </c>
      <c r="C29" s="3">
        <v>1998</v>
      </c>
      <c r="D29" s="3">
        <v>12</v>
      </c>
      <c r="E29" s="3">
        <v>26</v>
      </c>
      <c r="F29" s="3">
        <v>3.3</v>
      </c>
      <c r="G29" s="3" t="s">
        <v>11</v>
      </c>
      <c r="H29" s="2">
        <v>35</v>
      </c>
      <c r="I29" s="3">
        <v>20</v>
      </c>
      <c r="J29" s="3">
        <v>14</v>
      </c>
      <c r="K29" s="3" t="s">
        <v>12</v>
      </c>
    </row>
    <row r="30" spans="1:11" x14ac:dyDescent="0.3">
      <c r="A30" s="4">
        <v>75.171000000000006</v>
      </c>
      <c r="B30" s="4">
        <v>21.434999999999999</v>
      </c>
      <c r="C30" s="3">
        <v>1999</v>
      </c>
      <c r="D30" s="3">
        <v>3</v>
      </c>
      <c r="E30" s="3">
        <v>3</v>
      </c>
      <c r="F30" s="3">
        <v>3.3</v>
      </c>
      <c r="G30" s="3" t="s">
        <v>18</v>
      </c>
      <c r="H30" s="2">
        <v>20</v>
      </c>
      <c r="I30" s="3">
        <v>6</v>
      </c>
      <c r="J30" s="3">
        <v>43</v>
      </c>
      <c r="K30" s="3" t="s">
        <v>12</v>
      </c>
    </row>
    <row r="31" spans="1:11" x14ac:dyDescent="0.3">
      <c r="A31" s="4">
        <v>78.009</v>
      </c>
      <c r="B31" s="4">
        <v>23.539000000000001</v>
      </c>
      <c r="C31" s="3">
        <v>1999</v>
      </c>
      <c r="D31" s="3">
        <v>4</v>
      </c>
      <c r="E31" s="3">
        <v>3</v>
      </c>
      <c r="F31" s="3">
        <v>4.2</v>
      </c>
      <c r="G31" s="3" t="s">
        <v>18</v>
      </c>
      <c r="H31" s="2">
        <v>30</v>
      </c>
      <c r="I31" s="3">
        <v>9</v>
      </c>
      <c r="J31" s="3">
        <v>38</v>
      </c>
      <c r="K31" s="3" t="s">
        <v>12</v>
      </c>
    </row>
    <row r="32" spans="1:11" x14ac:dyDescent="0.3">
      <c r="A32" s="4">
        <v>77.186999999999998</v>
      </c>
      <c r="B32" s="4">
        <v>22.117000000000001</v>
      </c>
      <c r="C32" s="3">
        <v>1999</v>
      </c>
      <c r="D32" s="3">
        <v>5</v>
      </c>
      <c r="E32" s="3">
        <v>11</v>
      </c>
      <c r="F32" s="3">
        <v>3</v>
      </c>
      <c r="G32" s="3" t="s">
        <v>18</v>
      </c>
      <c r="H32" s="2">
        <v>5</v>
      </c>
      <c r="I32" s="3">
        <v>1</v>
      </c>
      <c r="J32" s="3">
        <v>56</v>
      </c>
      <c r="K32" s="3" t="s">
        <v>12</v>
      </c>
    </row>
    <row r="33" spans="1:11" x14ac:dyDescent="0.3">
      <c r="A33" s="4">
        <v>76.445999999999998</v>
      </c>
      <c r="B33" s="4">
        <v>26.401</v>
      </c>
      <c r="C33" s="3">
        <v>1999</v>
      </c>
      <c r="D33" s="3">
        <v>7</v>
      </c>
      <c r="E33" s="3">
        <v>3</v>
      </c>
      <c r="F33" s="3">
        <v>3</v>
      </c>
      <c r="G33" s="3" t="s">
        <v>18</v>
      </c>
      <c r="H33" s="2">
        <v>10</v>
      </c>
      <c r="I33" s="3">
        <v>15</v>
      </c>
      <c r="J33" s="3">
        <v>59</v>
      </c>
      <c r="K33" s="3" t="s">
        <v>12</v>
      </c>
    </row>
    <row r="34" spans="1:11" x14ac:dyDescent="0.3">
      <c r="A34" s="4">
        <v>74.16</v>
      </c>
      <c r="B34" s="4">
        <v>21.844000000000001</v>
      </c>
      <c r="C34" s="3">
        <v>1999</v>
      </c>
      <c r="D34" s="3">
        <v>7</v>
      </c>
      <c r="E34" s="3">
        <v>17</v>
      </c>
      <c r="F34" s="3">
        <v>3.4</v>
      </c>
      <c r="G34" s="3" t="s">
        <v>18</v>
      </c>
      <c r="H34" s="2">
        <v>5</v>
      </c>
      <c r="I34" s="3">
        <v>21</v>
      </c>
      <c r="J34" s="3">
        <v>48</v>
      </c>
      <c r="K34" s="3" t="s">
        <v>12</v>
      </c>
    </row>
    <row r="35" spans="1:11" x14ac:dyDescent="0.3">
      <c r="A35" s="4">
        <v>71.932000000000002</v>
      </c>
      <c r="B35" s="4">
        <v>21.808</v>
      </c>
      <c r="C35" s="3">
        <v>1999</v>
      </c>
      <c r="D35" s="3">
        <v>9</v>
      </c>
      <c r="E35" s="3">
        <v>21</v>
      </c>
      <c r="F35" s="3">
        <v>3.3</v>
      </c>
      <c r="G35" s="3" t="s">
        <v>18</v>
      </c>
      <c r="H35" s="2">
        <v>2</v>
      </c>
      <c r="I35" s="3">
        <v>6</v>
      </c>
      <c r="J35" s="3">
        <v>23</v>
      </c>
      <c r="K35" s="3" t="s">
        <v>12</v>
      </c>
    </row>
    <row r="36" spans="1:11" x14ac:dyDescent="0.3">
      <c r="A36" s="4">
        <v>77.457999999999998</v>
      </c>
      <c r="B36" s="4">
        <v>19.178000000000001</v>
      </c>
      <c r="C36" s="3">
        <v>1999</v>
      </c>
      <c r="D36" s="3">
        <v>10</v>
      </c>
      <c r="E36" s="3">
        <v>9</v>
      </c>
      <c r="F36" s="3">
        <v>3.3</v>
      </c>
      <c r="G36" s="3" t="s">
        <v>18</v>
      </c>
      <c r="H36" s="2">
        <v>15</v>
      </c>
      <c r="I36" s="3">
        <v>5</v>
      </c>
      <c r="J36" s="3">
        <v>58</v>
      </c>
      <c r="K36" s="3" t="s">
        <v>12</v>
      </c>
    </row>
    <row r="37" spans="1:11" x14ac:dyDescent="0.3">
      <c r="A37" s="4">
        <v>77.739000000000004</v>
      </c>
      <c r="B37" s="4">
        <v>19.632000000000001</v>
      </c>
      <c r="C37" s="3">
        <v>2000</v>
      </c>
      <c r="D37" s="3">
        <v>3</v>
      </c>
      <c r="E37" s="3">
        <v>27</v>
      </c>
      <c r="F37" s="3">
        <v>3.2</v>
      </c>
      <c r="G37" s="3" t="s">
        <v>18</v>
      </c>
      <c r="H37" s="2">
        <v>15</v>
      </c>
      <c r="I37" s="3">
        <v>9</v>
      </c>
      <c r="J37" s="3">
        <v>59</v>
      </c>
      <c r="K37" s="3" t="s">
        <v>12</v>
      </c>
    </row>
    <row r="38" spans="1:11" x14ac:dyDescent="0.3">
      <c r="A38" s="4">
        <v>74.507999999999996</v>
      </c>
      <c r="B38" s="4">
        <v>21.864000000000001</v>
      </c>
      <c r="C38" s="3">
        <v>2000</v>
      </c>
      <c r="D38" s="3">
        <v>4</v>
      </c>
      <c r="E38" s="3">
        <v>14</v>
      </c>
      <c r="F38" s="3">
        <v>3.4</v>
      </c>
      <c r="G38" s="3" t="s">
        <v>18</v>
      </c>
      <c r="H38" s="2">
        <v>10</v>
      </c>
      <c r="I38" s="3">
        <v>21</v>
      </c>
      <c r="J38" s="3">
        <v>41</v>
      </c>
      <c r="K38" s="3" t="s">
        <v>12</v>
      </c>
    </row>
    <row r="39" spans="1:11" x14ac:dyDescent="0.3">
      <c r="A39" s="4">
        <v>79.004000000000005</v>
      </c>
      <c r="B39" s="4">
        <v>22.536000000000001</v>
      </c>
      <c r="C39" s="3">
        <v>2000</v>
      </c>
      <c r="D39" s="3">
        <v>5</v>
      </c>
      <c r="E39" s="3">
        <v>2</v>
      </c>
      <c r="F39" s="3">
        <v>3.1</v>
      </c>
      <c r="G39" s="3" t="s">
        <v>19</v>
      </c>
      <c r="H39" s="2">
        <v>15</v>
      </c>
      <c r="I39" s="3">
        <v>9</v>
      </c>
      <c r="J39" s="3">
        <v>25</v>
      </c>
      <c r="K39" s="3" t="s">
        <v>12</v>
      </c>
    </row>
    <row r="40" spans="1:11" x14ac:dyDescent="0.3">
      <c r="A40" s="4">
        <v>79.423699999999997</v>
      </c>
      <c r="B40" s="4">
        <v>19.757000000000001</v>
      </c>
      <c r="C40" s="3">
        <v>2000</v>
      </c>
      <c r="D40" s="3">
        <v>6</v>
      </c>
      <c r="E40" s="3">
        <v>22</v>
      </c>
      <c r="F40" s="3">
        <v>4.2</v>
      </c>
      <c r="G40" s="3" t="s">
        <v>19</v>
      </c>
      <c r="H40" s="2">
        <v>35</v>
      </c>
      <c r="I40" s="3">
        <v>10</v>
      </c>
      <c r="J40" s="3">
        <v>10</v>
      </c>
      <c r="K40" s="3" t="s">
        <v>12</v>
      </c>
    </row>
    <row r="41" spans="1:11" x14ac:dyDescent="0.3">
      <c r="A41" s="4">
        <v>78.867000000000004</v>
      </c>
      <c r="B41" s="4">
        <v>21.95</v>
      </c>
      <c r="C41" s="3">
        <v>2000</v>
      </c>
      <c r="D41" s="3">
        <v>6</v>
      </c>
      <c r="E41" s="3">
        <v>30</v>
      </c>
      <c r="F41" s="3">
        <v>3.6</v>
      </c>
      <c r="G41" s="3" t="s">
        <v>18</v>
      </c>
      <c r="H41" s="2">
        <v>15</v>
      </c>
      <c r="I41" s="3">
        <v>13</v>
      </c>
      <c r="J41" s="3">
        <v>57</v>
      </c>
      <c r="K41" s="3" t="s">
        <v>12</v>
      </c>
    </row>
    <row r="42" spans="1:11" x14ac:dyDescent="0.3">
      <c r="A42" s="4">
        <v>75.33</v>
      </c>
      <c r="B42" s="4">
        <v>21.743099999999998</v>
      </c>
      <c r="C42" s="3">
        <v>2000</v>
      </c>
      <c r="D42" s="3">
        <v>7</v>
      </c>
      <c r="E42" s="3">
        <v>10</v>
      </c>
      <c r="F42" s="3">
        <v>3.5</v>
      </c>
      <c r="G42" s="3" t="s">
        <v>18</v>
      </c>
      <c r="H42" s="2">
        <v>35</v>
      </c>
      <c r="I42" s="3">
        <v>12</v>
      </c>
      <c r="J42" s="3">
        <v>6</v>
      </c>
      <c r="K42" s="3" t="s">
        <v>12</v>
      </c>
    </row>
    <row r="43" spans="1:11" x14ac:dyDescent="0.3">
      <c r="A43" s="4">
        <v>75.171000000000006</v>
      </c>
      <c r="B43" s="4">
        <v>21.715</v>
      </c>
      <c r="C43" s="3">
        <v>2000</v>
      </c>
      <c r="D43" s="3">
        <v>7</v>
      </c>
      <c r="E43" s="3">
        <v>24</v>
      </c>
      <c r="F43" s="3">
        <v>3.3</v>
      </c>
      <c r="G43" s="3" t="s">
        <v>18</v>
      </c>
      <c r="H43" s="2">
        <v>15</v>
      </c>
      <c r="I43" s="3">
        <v>9</v>
      </c>
      <c r="J43" s="3">
        <v>19</v>
      </c>
      <c r="K43" s="3" t="s">
        <v>12</v>
      </c>
    </row>
    <row r="44" spans="1:11" x14ac:dyDescent="0.3">
      <c r="A44" s="4">
        <v>72.254000000000005</v>
      </c>
      <c r="B44" s="4">
        <v>21.763999999999999</v>
      </c>
      <c r="C44" s="3">
        <v>2000</v>
      </c>
      <c r="D44" s="3">
        <v>8</v>
      </c>
      <c r="E44" s="3">
        <v>10</v>
      </c>
      <c r="F44" s="3">
        <v>3.6</v>
      </c>
      <c r="G44" s="3" t="s">
        <v>18</v>
      </c>
      <c r="H44" s="2">
        <v>5</v>
      </c>
      <c r="I44" s="3">
        <v>13</v>
      </c>
      <c r="J44" s="3">
        <v>30</v>
      </c>
      <c r="K44" s="3" t="s">
        <v>12</v>
      </c>
    </row>
    <row r="45" spans="1:11" x14ac:dyDescent="0.3">
      <c r="A45" s="4">
        <v>72.191000000000003</v>
      </c>
      <c r="B45" s="4">
        <v>21.808</v>
      </c>
      <c r="C45" s="3">
        <v>2000</v>
      </c>
      <c r="D45" s="3">
        <v>8</v>
      </c>
      <c r="E45" s="3">
        <v>13</v>
      </c>
      <c r="F45" s="3">
        <v>3.1</v>
      </c>
      <c r="G45" s="3" t="s">
        <v>19</v>
      </c>
      <c r="H45" s="2">
        <v>27.8</v>
      </c>
      <c r="I45" s="3">
        <v>4</v>
      </c>
      <c r="J45" s="3">
        <v>24</v>
      </c>
      <c r="K45" s="3" t="s">
        <v>12</v>
      </c>
    </row>
    <row r="46" spans="1:11" x14ac:dyDescent="0.3">
      <c r="A46" s="4">
        <v>72.3352</v>
      </c>
      <c r="B46" s="4">
        <v>21.802199999999999</v>
      </c>
      <c r="C46" s="3">
        <v>2000</v>
      </c>
      <c r="D46" s="3">
        <v>9</v>
      </c>
      <c r="E46" s="3">
        <v>12</v>
      </c>
      <c r="F46" s="3">
        <v>3.7</v>
      </c>
      <c r="G46" s="3" t="s">
        <v>2</v>
      </c>
      <c r="H46" s="2">
        <v>35</v>
      </c>
      <c r="I46" s="3">
        <v>0</v>
      </c>
      <c r="J46" s="3">
        <v>53</v>
      </c>
      <c r="K46" s="3" t="s">
        <v>10</v>
      </c>
    </row>
    <row r="47" spans="1:11" x14ac:dyDescent="0.3">
      <c r="A47" s="4">
        <v>79.085999999999999</v>
      </c>
      <c r="B47" s="4">
        <v>22.356999999999999</v>
      </c>
      <c r="C47" s="3">
        <v>2000</v>
      </c>
      <c r="D47" s="3">
        <v>9</v>
      </c>
      <c r="E47" s="3">
        <v>12</v>
      </c>
      <c r="F47" s="3">
        <v>4.0999999999999996</v>
      </c>
      <c r="G47" s="3" t="s">
        <v>18</v>
      </c>
      <c r="H47" s="2">
        <v>8.9</v>
      </c>
      <c r="I47" s="3">
        <v>2</v>
      </c>
      <c r="J47" s="3">
        <v>46</v>
      </c>
      <c r="K47" s="3" t="s">
        <v>12</v>
      </c>
    </row>
    <row r="48" spans="1:11" x14ac:dyDescent="0.3">
      <c r="A48" s="4">
        <v>72.147999999999996</v>
      </c>
      <c r="B48" s="4">
        <v>21.696999999999999</v>
      </c>
      <c r="C48" s="3">
        <v>2000</v>
      </c>
      <c r="D48" s="3">
        <v>9</v>
      </c>
      <c r="E48" s="3">
        <v>13</v>
      </c>
      <c r="F48" s="3">
        <v>3.2</v>
      </c>
      <c r="G48" s="3" t="s">
        <v>19</v>
      </c>
      <c r="H48" s="2">
        <v>5</v>
      </c>
      <c r="I48" s="3">
        <v>12</v>
      </c>
      <c r="J48" s="3">
        <v>40</v>
      </c>
      <c r="K48" s="3" t="s">
        <v>12</v>
      </c>
    </row>
    <row r="49" spans="1:11" x14ac:dyDescent="0.3">
      <c r="A49" s="4">
        <v>72.138999999999996</v>
      </c>
      <c r="B49" s="4">
        <v>21.696999999999999</v>
      </c>
      <c r="C49" s="3">
        <v>2000</v>
      </c>
      <c r="D49" s="3">
        <v>9</v>
      </c>
      <c r="E49" s="3">
        <v>13</v>
      </c>
      <c r="F49" s="3">
        <v>3.1</v>
      </c>
      <c r="G49" s="3" t="s">
        <v>19</v>
      </c>
      <c r="H49" s="2">
        <v>5</v>
      </c>
      <c r="I49" s="3">
        <v>13</v>
      </c>
      <c r="J49" s="3">
        <v>5</v>
      </c>
      <c r="K49" s="3" t="s">
        <v>12</v>
      </c>
    </row>
    <row r="50" spans="1:11" x14ac:dyDescent="0.3">
      <c r="A50" s="4">
        <v>72.135000000000005</v>
      </c>
      <c r="B50" s="4">
        <v>21.731000000000002</v>
      </c>
      <c r="C50" s="3">
        <v>2000</v>
      </c>
      <c r="D50" s="3">
        <v>9</v>
      </c>
      <c r="E50" s="3">
        <v>14</v>
      </c>
      <c r="F50" s="3">
        <v>3.1</v>
      </c>
      <c r="G50" s="3" t="s">
        <v>19</v>
      </c>
      <c r="H50" s="2">
        <v>1.4</v>
      </c>
      <c r="I50" s="3">
        <v>16</v>
      </c>
      <c r="J50" s="3">
        <v>35</v>
      </c>
      <c r="K50" s="3" t="s">
        <v>12</v>
      </c>
    </row>
    <row r="51" spans="1:11" x14ac:dyDescent="0.3">
      <c r="A51" s="4">
        <v>79.018000000000001</v>
      </c>
      <c r="B51" s="4">
        <v>25.693999999999999</v>
      </c>
      <c r="C51" s="3">
        <v>2000</v>
      </c>
      <c r="D51" s="3">
        <v>10</v>
      </c>
      <c r="E51" s="3">
        <v>7</v>
      </c>
      <c r="F51" s="3">
        <v>3.4</v>
      </c>
      <c r="G51" s="3" t="s">
        <v>19</v>
      </c>
      <c r="H51" s="2">
        <v>33</v>
      </c>
      <c r="I51" s="3">
        <v>15</v>
      </c>
      <c r="J51" s="3">
        <v>32</v>
      </c>
      <c r="K51" s="3" t="s">
        <v>12</v>
      </c>
    </row>
    <row r="52" spans="1:11" x14ac:dyDescent="0.3">
      <c r="A52" s="4">
        <v>76.343000000000004</v>
      </c>
      <c r="B52" s="4">
        <v>19.292999999999999</v>
      </c>
      <c r="C52" s="3">
        <v>2000</v>
      </c>
      <c r="D52" s="3">
        <v>10</v>
      </c>
      <c r="E52" s="3">
        <v>9</v>
      </c>
      <c r="F52" s="3">
        <v>3.1</v>
      </c>
      <c r="G52" s="3" t="s">
        <v>18</v>
      </c>
      <c r="H52" s="2">
        <v>15</v>
      </c>
      <c r="I52" s="3">
        <v>2</v>
      </c>
      <c r="J52" s="3">
        <v>47</v>
      </c>
      <c r="K52" s="3" t="s">
        <v>12</v>
      </c>
    </row>
    <row r="53" spans="1:11" x14ac:dyDescent="0.3">
      <c r="A53" s="4">
        <v>80.286600000000007</v>
      </c>
      <c r="B53" s="4">
        <v>23.259399999999999</v>
      </c>
      <c r="C53" s="3">
        <v>2000</v>
      </c>
      <c r="D53" s="3">
        <v>10</v>
      </c>
      <c r="E53" s="3">
        <v>16</v>
      </c>
      <c r="F53" s="3">
        <v>4.5</v>
      </c>
      <c r="G53" s="3" t="s">
        <v>2</v>
      </c>
      <c r="H53" s="2">
        <v>25.9</v>
      </c>
      <c r="I53" s="3">
        <v>22</v>
      </c>
      <c r="J53" s="3">
        <v>33</v>
      </c>
      <c r="K53" s="3" t="s">
        <v>10</v>
      </c>
    </row>
    <row r="54" spans="1:11" x14ac:dyDescent="0.3">
      <c r="A54" s="4">
        <v>79.507999999999996</v>
      </c>
      <c r="B54" s="4">
        <v>22.465</v>
      </c>
      <c r="C54" s="3">
        <v>2001</v>
      </c>
      <c r="D54" s="3">
        <v>1</v>
      </c>
      <c r="E54" s="3">
        <v>3</v>
      </c>
      <c r="F54" s="3">
        <v>3</v>
      </c>
      <c r="G54" s="3" t="s">
        <v>19</v>
      </c>
      <c r="H54" s="2">
        <v>33</v>
      </c>
      <c r="I54" s="3">
        <v>16</v>
      </c>
      <c r="J54" s="3">
        <v>45</v>
      </c>
      <c r="K54" s="3" t="s">
        <v>12</v>
      </c>
    </row>
    <row r="55" spans="1:11" x14ac:dyDescent="0.3">
      <c r="A55" s="4">
        <v>75.399000000000001</v>
      </c>
      <c r="B55" s="4">
        <v>22.731000000000002</v>
      </c>
      <c r="C55" s="3">
        <v>2001</v>
      </c>
      <c r="D55" s="3">
        <v>1</v>
      </c>
      <c r="E55" s="3">
        <v>12</v>
      </c>
      <c r="F55" s="3">
        <v>3.4</v>
      </c>
      <c r="G55" s="3" t="s">
        <v>18</v>
      </c>
      <c r="H55" s="2">
        <v>2.9</v>
      </c>
      <c r="I55" s="3">
        <v>23</v>
      </c>
      <c r="J55" s="3">
        <v>36</v>
      </c>
      <c r="K55" s="3" t="s">
        <v>12</v>
      </c>
    </row>
    <row r="56" spans="1:11" x14ac:dyDescent="0.3">
      <c r="A56" s="4">
        <v>79.772000000000006</v>
      </c>
      <c r="B56" s="4">
        <v>23.161000000000001</v>
      </c>
      <c r="C56" s="3">
        <v>2001</v>
      </c>
      <c r="D56" s="3">
        <v>1</v>
      </c>
      <c r="E56" s="3">
        <v>23</v>
      </c>
      <c r="F56" s="3">
        <v>3.4</v>
      </c>
      <c r="G56" s="3" t="s">
        <v>20</v>
      </c>
      <c r="H56" s="2">
        <v>13.1</v>
      </c>
      <c r="I56" s="3">
        <v>17</v>
      </c>
      <c r="J56" s="3">
        <v>52</v>
      </c>
      <c r="K56" s="3" t="s">
        <v>12</v>
      </c>
    </row>
    <row r="57" spans="1:11" x14ac:dyDescent="0.3">
      <c r="A57" s="4">
        <v>71.058000000000007</v>
      </c>
      <c r="B57" s="4">
        <v>23.527000000000001</v>
      </c>
      <c r="C57" s="3">
        <v>2001</v>
      </c>
      <c r="D57" s="3">
        <v>1</v>
      </c>
      <c r="E57" s="3">
        <v>26</v>
      </c>
      <c r="F57" s="3">
        <v>3.3</v>
      </c>
      <c r="G57" s="3" t="s">
        <v>19</v>
      </c>
      <c r="H57" s="2">
        <v>33</v>
      </c>
      <c r="I57" s="3">
        <v>12</v>
      </c>
      <c r="J57" s="3">
        <v>23</v>
      </c>
      <c r="K57" s="3" t="s">
        <v>12</v>
      </c>
    </row>
    <row r="58" spans="1:11" x14ac:dyDescent="0.3">
      <c r="A58" s="4">
        <v>71.251000000000005</v>
      </c>
      <c r="B58" s="4">
        <v>23.329000000000001</v>
      </c>
      <c r="C58" s="3">
        <v>2001</v>
      </c>
      <c r="D58" s="3">
        <v>1</v>
      </c>
      <c r="E58" s="3">
        <v>26</v>
      </c>
      <c r="F58" s="3">
        <v>3.7</v>
      </c>
      <c r="G58" s="3" t="s">
        <v>19</v>
      </c>
      <c r="H58" s="2">
        <v>5</v>
      </c>
      <c r="I58" s="3">
        <v>18</v>
      </c>
      <c r="J58" s="3">
        <v>44</v>
      </c>
      <c r="K58" s="3" t="s">
        <v>12</v>
      </c>
    </row>
    <row r="59" spans="1:11" x14ac:dyDescent="0.3">
      <c r="A59" s="4">
        <v>71.041700000000006</v>
      </c>
      <c r="B59" s="4">
        <v>23.5319</v>
      </c>
      <c r="C59" s="3">
        <v>2001</v>
      </c>
      <c r="D59" s="3">
        <v>1</v>
      </c>
      <c r="E59" s="3">
        <v>26</v>
      </c>
      <c r="F59" s="3">
        <v>3.9</v>
      </c>
      <c r="G59" s="3" t="s">
        <v>19</v>
      </c>
      <c r="H59" s="2">
        <v>35</v>
      </c>
      <c r="I59" s="3">
        <v>18</v>
      </c>
      <c r="J59" s="3">
        <v>51</v>
      </c>
      <c r="K59" s="3" t="s">
        <v>12</v>
      </c>
    </row>
    <row r="60" spans="1:11" x14ac:dyDescent="0.3">
      <c r="A60" s="4">
        <v>71.003900000000002</v>
      </c>
      <c r="B60" s="4">
        <v>23.488900000000001</v>
      </c>
      <c r="C60" s="3">
        <v>2001</v>
      </c>
      <c r="D60" s="3">
        <v>1</v>
      </c>
      <c r="E60" s="3">
        <v>26</v>
      </c>
      <c r="F60" s="3">
        <v>3.9</v>
      </c>
      <c r="G60" s="3" t="s">
        <v>19</v>
      </c>
      <c r="H60" s="2">
        <v>35</v>
      </c>
      <c r="I60" s="3">
        <v>23</v>
      </c>
      <c r="J60" s="3">
        <v>14</v>
      </c>
      <c r="K60" s="3" t="s">
        <v>12</v>
      </c>
    </row>
    <row r="61" spans="1:11" x14ac:dyDescent="0.3">
      <c r="A61" s="4">
        <v>71.322299999999998</v>
      </c>
      <c r="B61" s="4">
        <v>23.609400000000001</v>
      </c>
      <c r="C61" s="3">
        <v>2001</v>
      </c>
      <c r="D61" s="3">
        <v>1</v>
      </c>
      <c r="E61" s="3">
        <v>28</v>
      </c>
      <c r="F61" s="3">
        <v>3.8</v>
      </c>
      <c r="G61" s="3" t="s">
        <v>2</v>
      </c>
      <c r="H61" s="2">
        <v>35</v>
      </c>
      <c r="I61" s="3">
        <v>19</v>
      </c>
      <c r="J61" s="3">
        <v>43</v>
      </c>
      <c r="K61" s="3" t="s">
        <v>10</v>
      </c>
    </row>
    <row r="62" spans="1:11" x14ac:dyDescent="0.3">
      <c r="A62" s="4">
        <v>72.306600000000003</v>
      </c>
      <c r="B62" s="4">
        <v>22.553000000000001</v>
      </c>
      <c r="C62" s="3">
        <v>2001</v>
      </c>
      <c r="D62" s="3">
        <v>1</v>
      </c>
      <c r="E62" s="3">
        <v>30</v>
      </c>
      <c r="F62" s="3">
        <v>3.5</v>
      </c>
      <c r="G62" s="3" t="s">
        <v>2</v>
      </c>
      <c r="H62" s="2">
        <v>10</v>
      </c>
      <c r="I62" s="3">
        <v>21</v>
      </c>
      <c r="J62" s="3">
        <v>29</v>
      </c>
      <c r="K62" s="3" t="s">
        <v>10</v>
      </c>
    </row>
    <row r="63" spans="1:11" x14ac:dyDescent="0.3">
      <c r="A63" s="4">
        <v>80.307000000000002</v>
      </c>
      <c r="B63" s="4">
        <v>22.675999999999998</v>
      </c>
      <c r="C63" s="3">
        <v>2001</v>
      </c>
      <c r="D63" s="3">
        <v>2</v>
      </c>
      <c r="E63" s="3">
        <v>21</v>
      </c>
      <c r="F63" s="3">
        <v>3.1</v>
      </c>
      <c r="G63" s="3" t="s">
        <v>19</v>
      </c>
      <c r="H63" s="2">
        <v>33</v>
      </c>
      <c r="I63" s="3">
        <v>18</v>
      </c>
      <c r="J63" s="3">
        <v>22</v>
      </c>
      <c r="K63" s="3" t="s">
        <v>12</v>
      </c>
    </row>
    <row r="64" spans="1:11" x14ac:dyDescent="0.3">
      <c r="A64" s="4">
        <v>71.808000000000007</v>
      </c>
      <c r="B64" s="4">
        <v>24.175999999999998</v>
      </c>
      <c r="C64" s="3">
        <v>2001</v>
      </c>
      <c r="D64" s="3">
        <v>3</v>
      </c>
      <c r="E64" s="3">
        <v>15</v>
      </c>
      <c r="F64" s="3">
        <v>3.1</v>
      </c>
      <c r="G64" s="3" t="s">
        <v>19</v>
      </c>
      <c r="H64" s="2">
        <v>15</v>
      </c>
      <c r="I64" s="3">
        <v>3</v>
      </c>
      <c r="J64" s="3">
        <v>3</v>
      </c>
      <c r="K64" s="3" t="s">
        <v>12</v>
      </c>
    </row>
    <row r="65" spans="1:11" x14ac:dyDescent="0.3">
      <c r="A65" s="4">
        <v>70.97</v>
      </c>
      <c r="B65" s="4">
        <v>22.885000000000002</v>
      </c>
      <c r="C65" s="3">
        <v>2001</v>
      </c>
      <c r="D65" s="3">
        <v>8</v>
      </c>
      <c r="E65" s="3">
        <v>7</v>
      </c>
      <c r="F65" s="3">
        <v>3.2</v>
      </c>
      <c r="G65" s="3" t="s">
        <v>19</v>
      </c>
      <c r="H65" s="2">
        <v>4.8</v>
      </c>
      <c r="I65" s="3">
        <v>11</v>
      </c>
      <c r="J65" s="3">
        <v>14</v>
      </c>
      <c r="K65" s="3" t="s">
        <v>12</v>
      </c>
    </row>
    <row r="66" spans="1:11" x14ac:dyDescent="0.3">
      <c r="A66" s="4">
        <v>76.725999999999999</v>
      </c>
      <c r="B66" s="4">
        <v>19.065999999999999</v>
      </c>
      <c r="C66" s="3">
        <v>2001</v>
      </c>
      <c r="D66" s="3">
        <v>11</v>
      </c>
      <c r="E66" s="3">
        <v>5</v>
      </c>
      <c r="F66" s="3">
        <v>3.1</v>
      </c>
      <c r="G66" s="3" t="s">
        <v>2</v>
      </c>
      <c r="H66" s="2">
        <v>15</v>
      </c>
      <c r="I66" s="3">
        <v>22</v>
      </c>
      <c r="J66" s="3">
        <v>31</v>
      </c>
      <c r="K66" s="3" t="s">
        <v>12</v>
      </c>
    </row>
    <row r="67" spans="1:11" x14ac:dyDescent="0.3">
      <c r="A67" s="4">
        <v>77.167000000000002</v>
      </c>
      <c r="B67" s="4">
        <v>19.388000000000002</v>
      </c>
      <c r="C67" s="3">
        <v>2001</v>
      </c>
      <c r="D67" s="3">
        <v>11</v>
      </c>
      <c r="E67" s="3">
        <v>8</v>
      </c>
      <c r="F67" s="3">
        <v>3.1</v>
      </c>
      <c r="G67" s="3" t="s">
        <v>19</v>
      </c>
      <c r="H67" s="2">
        <v>15</v>
      </c>
      <c r="I67" s="3">
        <v>6</v>
      </c>
      <c r="J67" s="3">
        <v>36</v>
      </c>
      <c r="K67" s="3" t="s">
        <v>12</v>
      </c>
    </row>
    <row r="68" spans="1:11" x14ac:dyDescent="0.3">
      <c r="A68" s="4">
        <v>72.876800000000003</v>
      </c>
      <c r="B68" s="4">
        <v>19.942499999999999</v>
      </c>
      <c r="C68" s="3">
        <v>2001</v>
      </c>
      <c r="D68" s="3">
        <v>12</v>
      </c>
      <c r="E68" s="3">
        <v>22</v>
      </c>
      <c r="F68" s="3">
        <v>3.1</v>
      </c>
      <c r="G68" s="3" t="s">
        <v>18</v>
      </c>
      <c r="H68" s="2">
        <v>10</v>
      </c>
      <c r="I68" s="3">
        <v>12</v>
      </c>
      <c r="J68" s="3">
        <v>55</v>
      </c>
      <c r="K68" s="3" t="s">
        <v>12</v>
      </c>
    </row>
    <row r="69" spans="1:11" x14ac:dyDescent="0.3">
      <c r="A69" s="4">
        <v>73.568600000000004</v>
      </c>
      <c r="B69" s="4">
        <v>24.917999999999999</v>
      </c>
      <c r="C69" s="3">
        <v>2002</v>
      </c>
      <c r="D69" s="3">
        <v>1</v>
      </c>
      <c r="E69" s="3">
        <v>22</v>
      </c>
      <c r="F69" s="3">
        <v>4.0999999999999996</v>
      </c>
      <c r="G69" s="3" t="s">
        <v>18</v>
      </c>
      <c r="H69" s="2">
        <v>10</v>
      </c>
      <c r="I69" s="3">
        <v>11</v>
      </c>
      <c r="J69" s="3">
        <v>29</v>
      </c>
      <c r="K69" s="3" t="s">
        <v>12</v>
      </c>
    </row>
    <row r="70" spans="1:11" x14ac:dyDescent="0.3">
      <c r="A70" s="4">
        <v>73.087999999999994</v>
      </c>
      <c r="B70" s="4">
        <v>22.937000000000001</v>
      </c>
      <c r="C70" s="3">
        <v>2002</v>
      </c>
      <c r="D70" s="3">
        <v>1</v>
      </c>
      <c r="E70" s="3">
        <v>23</v>
      </c>
      <c r="F70" s="3">
        <v>3</v>
      </c>
      <c r="G70" s="3" t="s">
        <v>19</v>
      </c>
      <c r="H70" s="2">
        <v>19.8</v>
      </c>
      <c r="I70" s="3">
        <v>10</v>
      </c>
      <c r="J70" s="3">
        <v>11</v>
      </c>
      <c r="K70" s="3" t="s">
        <v>12</v>
      </c>
    </row>
    <row r="71" spans="1:11" x14ac:dyDescent="0.3">
      <c r="A71" s="4">
        <v>71.31</v>
      </c>
      <c r="B71" s="4">
        <v>23.413</v>
      </c>
      <c r="C71" s="3">
        <v>2002</v>
      </c>
      <c r="D71" s="3">
        <v>1</v>
      </c>
      <c r="E71" s="3">
        <v>29</v>
      </c>
      <c r="F71" s="3">
        <v>3.2</v>
      </c>
      <c r="G71" s="3" t="s">
        <v>19</v>
      </c>
      <c r="H71" s="2">
        <v>10</v>
      </c>
      <c r="I71" s="3">
        <v>17</v>
      </c>
      <c r="J71" s="3">
        <v>42</v>
      </c>
      <c r="K71" s="3" t="s">
        <v>12</v>
      </c>
    </row>
    <row r="72" spans="1:11" x14ac:dyDescent="0.3">
      <c r="A72" s="4">
        <v>74.784000000000006</v>
      </c>
      <c r="B72" s="4">
        <v>20.626999999999999</v>
      </c>
      <c r="C72" s="3">
        <v>2002</v>
      </c>
      <c r="D72" s="3">
        <v>2</v>
      </c>
      <c r="E72" s="3">
        <v>6</v>
      </c>
      <c r="F72" s="3">
        <v>3</v>
      </c>
      <c r="G72" s="3" t="s">
        <v>18</v>
      </c>
      <c r="H72" s="2">
        <v>5</v>
      </c>
      <c r="I72" s="3">
        <v>4</v>
      </c>
      <c r="J72" s="3">
        <v>15</v>
      </c>
      <c r="K72" s="3" t="s">
        <v>12</v>
      </c>
    </row>
    <row r="73" spans="1:11" x14ac:dyDescent="0.3">
      <c r="A73" s="4">
        <v>79.305999999999997</v>
      </c>
      <c r="B73" s="4">
        <v>22.308</v>
      </c>
      <c r="C73" s="3">
        <v>2002</v>
      </c>
      <c r="D73" s="3">
        <v>3</v>
      </c>
      <c r="E73" s="3">
        <v>6</v>
      </c>
      <c r="F73" s="3">
        <v>3</v>
      </c>
      <c r="G73" s="3" t="s">
        <v>19</v>
      </c>
      <c r="H73" s="2">
        <v>37.9</v>
      </c>
      <c r="I73" s="3">
        <v>19</v>
      </c>
      <c r="J73" s="3">
        <v>24</v>
      </c>
      <c r="K73" s="3" t="s">
        <v>12</v>
      </c>
    </row>
    <row r="74" spans="1:11" x14ac:dyDescent="0.3">
      <c r="A74" s="4">
        <v>72.543400000000005</v>
      </c>
      <c r="B74" s="4">
        <v>25.2986</v>
      </c>
      <c r="C74" s="3">
        <v>2002</v>
      </c>
      <c r="D74" s="3">
        <v>3</v>
      </c>
      <c r="E74" s="3">
        <v>13</v>
      </c>
      <c r="F74" s="3">
        <v>3.7</v>
      </c>
      <c r="G74" s="3" t="s">
        <v>19</v>
      </c>
      <c r="H74" s="2">
        <v>35</v>
      </c>
      <c r="I74" s="3">
        <v>19</v>
      </c>
      <c r="J74" s="3">
        <v>36</v>
      </c>
      <c r="K74" s="3" t="s">
        <v>21</v>
      </c>
    </row>
    <row r="75" spans="1:11" x14ac:dyDescent="0.3">
      <c r="A75" s="4">
        <v>79.48</v>
      </c>
      <c r="B75" s="4">
        <v>22.6</v>
      </c>
      <c r="C75" s="3">
        <v>2002</v>
      </c>
      <c r="D75" s="3">
        <v>4</v>
      </c>
      <c r="E75" s="3">
        <v>17</v>
      </c>
      <c r="F75" s="3">
        <v>3.2</v>
      </c>
      <c r="G75" s="3" t="s">
        <v>19</v>
      </c>
      <c r="H75" s="2">
        <v>18.8</v>
      </c>
      <c r="I75" s="3">
        <v>3</v>
      </c>
      <c r="J75" s="3">
        <v>47</v>
      </c>
      <c r="K75" s="3" t="s">
        <v>12</v>
      </c>
    </row>
    <row r="76" spans="1:11" x14ac:dyDescent="0.3">
      <c r="A76" s="4">
        <v>72.89</v>
      </c>
      <c r="B76" s="4">
        <v>21.141999999999999</v>
      </c>
      <c r="C76" s="3">
        <v>2002</v>
      </c>
      <c r="D76" s="3">
        <v>5</v>
      </c>
      <c r="E76" s="3">
        <v>5</v>
      </c>
      <c r="F76" s="3">
        <v>3.1</v>
      </c>
      <c r="G76" s="3" t="s">
        <v>18</v>
      </c>
      <c r="H76" s="2">
        <v>15</v>
      </c>
      <c r="I76" s="3">
        <v>10</v>
      </c>
      <c r="J76" s="3">
        <v>32</v>
      </c>
      <c r="K76" s="3" t="s">
        <v>12</v>
      </c>
    </row>
    <row r="77" spans="1:11" x14ac:dyDescent="0.3">
      <c r="A77" s="4">
        <v>75.057900000000004</v>
      </c>
      <c r="B77" s="4">
        <v>21.5425</v>
      </c>
      <c r="C77" s="3">
        <v>2002</v>
      </c>
      <c r="D77" s="3">
        <v>5</v>
      </c>
      <c r="E77" s="3">
        <v>19</v>
      </c>
      <c r="F77" s="3">
        <v>3.4</v>
      </c>
      <c r="G77" s="3" t="s">
        <v>2</v>
      </c>
      <c r="H77" s="2">
        <v>10</v>
      </c>
      <c r="I77" s="3">
        <v>19</v>
      </c>
      <c r="J77" s="3">
        <v>25</v>
      </c>
      <c r="K77" s="3" t="s">
        <v>10</v>
      </c>
    </row>
    <row r="78" spans="1:11" x14ac:dyDescent="0.3">
      <c r="A78" s="4">
        <v>75.658000000000001</v>
      </c>
      <c r="B78" s="4">
        <v>21.370999999999999</v>
      </c>
      <c r="C78" s="3">
        <v>2002</v>
      </c>
      <c r="D78" s="3">
        <v>8</v>
      </c>
      <c r="E78" s="3">
        <v>31</v>
      </c>
      <c r="F78" s="3">
        <v>3</v>
      </c>
      <c r="G78" s="3" t="s">
        <v>19</v>
      </c>
      <c r="H78" s="2">
        <v>10</v>
      </c>
      <c r="I78" s="3">
        <v>11</v>
      </c>
      <c r="J78" s="3">
        <v>42</v>
      </c>
      <c r="K78" s="3" t="s">
        <v>12</v>
      </c>
    </row>
    <row r="79" spans="1:11" x14ac:dyDescent="0.3">
      <c r="A79" s="4">
        <v>73.778700000000001</v>
      </c>
      <c r="B79" s="4">
        <v>24.5976</v>
      </c>
      <c r="C79" s="3">
        <v>2002</v>
      </c>
      <c r="D79" s="3">
        <v>9</v>
      </c>
      <c r="E79" s="3">
        <v>13</v>
      </c>
      <c r="F79" s="3">
        <v>3.4</v>
      </c>
      <c r="G79" s="3" t="s">
        <v>19</v>
      </c>
      <c r="H79" s="2">
        <v>35</v>
      </c>
      <c r="I79" s="3">
        <v>13</v>
      </c>
      <c r="J79" s="3">
        <v>35</v>
      </c>
      <c r="K79" s="3" t="s">
        <v>12</v>
      </c>
    </row>
    <row r="80" spans="1:11" x14ac:dyDescent="0.3">
      <c r="A80" s="4">
        <v>80.397000000000006</v>
      </c>
      <c r="B80" s="4">
        <v>23.75</v>
      </c>
      <c r="C80" s="3">
        <v>2002</v>
      </c>
      <c r="D80" s="3">
        <v>9</v>
      </c>
      <c r="E80" s="3">
        <v>21</v>
      </c>
      <c r="F80" s="3">
        <v>3.3</v>
      </c>
      <c r="G80" s="3" t="s">
        <v>19</v>
      </c>
      <c r="H80" s="2">
        <v>10</v>
      </c>
      <c r="I80" s="3">
        <v>10</v>
      </c>
      <c r="J80" s="3">
        <v>47</v>
      </c>
      <c r="K80" s="3" t="s">
        <v>12</v>
      </c>
    </row>
    <row r="81" spans="1:11" x14ac:dyDescent="0.3">
      <c r="A81" s="4">
        <v>78.278999999999996</v>
      </c>
      <c r="B81" s="4">
        <v>19.640999999999998</v>
      </c>
      <c r="C81" s="3">
        <v>2002</v>
      </c>
      <c r="D81" s="3">
        <v>9</v>
      </c>
      <c r="E81" s="3">
        <v>24</v>
      </c>
      <c r="F81" s="3">
        <v>3</v>
      </c>
      <c r="G81" s="3" t="s">
        <v>19</v>
      </c>
      <c r="H81" s="2">
        <v>10</v>
      </c>
      <c r="I81" s="3">
        <v>17</v>
      </c>
      <c r="J81" s="3">
        <v>19</v>
      </c>
      <c r="K81" s="3" t="s">
        <v>12</v>
      </c>
    </row>
    <row r="82" spans="1:11" x14ac:dyDescent="0.3">
      <c r="A82" s="4">
        <v>76.355000000000004</v>
      </c>
      <c r="B82" s="4">
        <v>21.279</v>
      </c>
      <c r="C82" s="3">
        <v>2002</v>
      </c>
      <c r="D82" s="3">
        <v>11</v>
      </c>
      <c r="E82" s="3">
        <v>2</v>
      </c>
      <c r="F82" s="3">
        <v>3.3</v>
      </c>
      <c r="G82" s="3" t="s">
        <v>18</v>
      </c>
      <c r="H82" s="2">
        <v>10</v>
      </c>
      <c r="I82" s="3">
        <v>21</v>
      </c>
      <c r="J82" s="3">
        <v>57</v>
      </c>
      <c r="K82" s="3" t="s">
        <v>12</v>
      </c>
    </row>
    <row r="83" spans="1:11" x14ac:dyDescent="0.3">
      <c r="A83" s="4">
        <v>73.623999999999995</v>
      </c>
      <c r="B83" s="4">
        <v>20.704999999999998</v>
      </c>
      <c r="C83" s="3">
        <v>2002</v>
      </c>
      <c r="D83" s="3">
        <v>12</v>
      </c>
      <c r="E83" s="3">
        <v>1</v>
      </c>
      <c r="F83" s="3">
        <v>3.1</v>
      </c>
      <c r="G83" s="3" t="s">
        <v>18</v>
      </c>
      <c r="H83" s="2">
        <v>1.6</v>
      </c>
      <c r="I83" s="3">
        <v>7</v>
      </c>
      <c r="J83" s="3">
        <v>33</v>
      </c>
      <c r="K83" s="3" t="s">
        <v>12</v>
      </c>
    </row>
    <row r="84" spans="1:11" x14ac:dyDescent="0.3">
      <c r="A84" s="4">
        <v>77.414000000000001</v>
      </c>
      <c r="B84" s="4">
        <v>20.613</v>
      </c>
      <c r="C84" s="3">
        <v>2003</v>
      </c>
      <c r="D84" s="3">
        <v>1</v>
      </c>
      <c r="E84" s="3">
        <v>19</v>
      </c>
      <c r="F84" s="3">
        <v>3.1</v>
      </c>
      <c r="G84" s="3" t="s">
        <v>18</v>
      </c>
      <c r="H84" s="2">
        <v>7.7</v>
      </c>
      <c r="I84" s="3">
        <v>9</v>
      </c>
      <c r="J84" s="3">
        <v>48</v>
      </c>
      <c r="K84" s="3" t="s">
        <v>12</v>
      </c>
    </row>
    <row r="85" spans="1:11" x14ac:dyDescent="0.3">
      <c r="A85" s="4">
        <v>72.503</v>
      </c>
      <c r="B85" s="4">
        <v>20.138999999999999</v>
      </c>
      <c r="C85" s="3">
        <v>2003</v>
      </c>
      <c r="D85" s="3">
        <v>2</v>
      </c>
      <c r="E85" s="3">
        <v>12</v>
      </c>
      <c r="F85" s="3">
        <v>3.1</v>
      </c>
      <c r="G85" s="3" t="s">
        <v>18</v>
      </c>
      <c r="H85" s="2">
        <v>13.9</v>
      </c>
      <c r="I85" s="3">
        <v>20</v>
      </c>
      <c r="J85" s="3">
        <v>30</v>
      </c>
      <c r="K85" s="3" t="s">
        <v>12</v>
      </c>
    </row>
    <row r="86" spans="1:11" x14ac:dyDescent="0.3">
      <c r="A86" s="4">
        <v>77.264499999999998</v>
      </c>
      <c r="B86" s="4">
        <v>21.372299999999999</v>
      </c>
      <c r="C86" s="3">
        <v>2003</v>
      </c>
      <c r="D86" s="3">
        <v>3</v>
      </c>
      <c r="E86" s="3">
        <v>10</v>
      </c>
      <c r="F86" s="3">
        <v>4</v>
      </c>
      <c r="G86" s="3" t="s">
        <v>2</v>
      </c>
      <c r="H86" s="2">
        <v>23.9</v>
      </c>
      <c r="I86" s="3">
        <v>22</v>
      </c>
      <c r="J86" s="3">
        <v>45</v>
      </c>
      <c r="K86" s="3" t="s">
        <v>10</v>
      </c>
    </row>
    <row r="87" spans="1:11" x14ac:dyDescent="0.3">
      <c r="A87" s="4">
        <v>74.344999999999999</v>
      </c>
      <c r="B87" s="4">
        <v>21.830500000000001</v>
      </c>
      <c r="C87" s="3">
        <v>2003</v>
      </c>
      <c r="D87" s="3">
        <v>7</v>
      </c>
      <c r="E87" s="3">
        <v>27</v>
      </c>
      <c r="F87" s="3">
        <v>3.9</v>
      </c>
      <c r="G87" s="3" t="s">
        <v>2</v>
      </c>
      <c r="H87" s="2">
        <v>19.5</v>
      </c>
      <c r="I87" s="3">
        <v>4</v>
      </c>
      <c r="J87" s="3">
        <v>35</v>
      </c>
      <c r="K87" s="3" t="s">
        <v>10</v>
      </c>
    </row>
    <row r="88" spans="1:11" x14ac:dyDescent="0.3">
      <c r="A88" s="4">
        <v>76.038600000000002</v>
      </c>
      <c r="B88" s="4">
        <v>21.5685</v>
      </c>
      <c r="C88" s="3">
        <v>2003</v>
      </c>
      <c r="D88" s="3">
        <v>11</v>
      </c>
      <c r="E88" s="3">
        <v>22</v>
      </c>
      <c r="F88" s="3">
        <v>3.6</v>
      </c>
      <c r="G88" s="3" t="s">
        <v>2</v>
      </c>
      <c r="H88" s="2">
        <v>35</v>
      </c>
      <c r="I88" s="3">
        <v>0</v>
      </c>
      <c r="J88" s="3">
        <v>18</v>
      </c>
      <c r="K88" s="3" t="s">
        <v>10</v>
      </c>
    </row>
    <row r="89" spans="1:11" x14ac:dyDescent="0.3">
      <c r="A89" s="4">
        <v>80.238</v>
      </c>
      <c r="B89" s="4">
        <v>21.242999999999999</v>
      </c>
      <c r="C89" s="3">
        <v>2003</v>
      </c>
      <c r="D89" s="3">
        <v>11</v>
      </c>
      <c r="E89" s="3">
        <v>29</v>
      </c>
      <c r="F89" s="3">
        <v>3.1</v>
      </c>
      <c r="G89" s="3" t="s">
        <v>19</v>
      </c>
      <c r="H89" s="2">
        <v>13.3</v>
      </c>
      <c r="I89" s="3">
        <v>7</v>
      </c>
      <c r="J89" s="3">
        <v>5</v>
      </c>
      <c r="K89" s="3" t="s">
        <v>12</v>
      </c>
    </row>
    <row r="90" spans="1:11" x14ac:dyDescent="0.3">
      <c r="A90" s="4">
        <v>74.546999999999997</v>
      </c>
      <c r="B90" s="4">
        <v>22.102</v>
      </c>
      <c r="C90" s="3">
        <v>2003</v>
      </c>
      <c r="D90" s="3">
        <v>12</v>
      </c>
      <c r="E90" s="3">
        <v>23</v>
      </c>
      <c r="F90" s="3">
        <v>3.7</v>
      </c>
      <c r="G90" s="3" t="s">
        <v>18</v>
      </c>
      <c r="H90" s="2">
        <v>5</v>
      </c>
      <c r="I90" s="3">
        <v>19</v>
      </c>
      <c r="J90" s="3">
        <v>9</v>
      </c>
      <c r="K90" s="3" t="s">
        <v>12</v>
      </c>
    </row>
    <row r="91" spans="1:11" x14ac:dyDescent="0.3">
      <c r="A91" s="4">
        <v>74.066000000000003</v>
      </c>
      <c r="B91" s="4">
        <v>22.152999999999999</v>
      </c>
      <c r="C91" s="3">
        <v>2003</v>
      </c>
      <c r="D91" s="3">
        <v>12</v>
      </c>
      <c r="E91" s="3">
        <v>24</v>
      </c>
      <c r="F91" s="3">
        <v>3.1</v>
      </c>
      <c r="G91" s="3" t="s">
        <v>18</v>
      </c>
      <c r="H91" s="2">
        <v>40.6</v>
      </c>
      <c r="I91" s="3">
        <v>15</v>
      </c>
      <c r="J91" s="3">
        <v>47</v>
      </c>
      <c r="K91" s="3" t="s">
        <v>12</v>
      </c>
    </row>
    <row r="92" spans="1:11" x14ac:dyDescent="0.3">
      <c r="A92" s="4">
        <v>76.891000000000005</v>
      </c>
      <c r="B92" s="4">
        <v>20.670999999999999</v>
      </c>
      <c r="C92" s="3">
        <v>2003</v>
      </c>
      <c r="D92" s="3">
        <v>12</v>
      </c>
      <c r="E92" s="3">
        <v>26</v>
      </c>
      <c r="F92" s="3">
        <v>3.2</v>
      </c>
      <c r="G92" s="3" t="s">
        <v>18</v>
      </c>
      <c r="H92" s="2">
        <v>13.2</v>
      </c>
      <c r="I92" s="3">
        <v>18</v>
      </c>
      <c r="J92" s="3">
        <v>37</v>
      </c>
      <c r="K92" s="3" t="s">
        <v>12</v>
      </c>
    </row>
    <row r="93" spans="1:11" x14ac:dyDescent="0.3">
      <c r="A93" s="4">
        <v>72.732299999999995</v>
      </c>
      <c r="B93" s="4">
        <v>25.276800000000001</v>
      </c>
      <c r="C93" s="3">
        <v>2004</v>
      </c>
      <c r="D93" s="3">
        <v>2</v>
      </c>
      <c r="E93" s="3">
        <v>19</v>
      </c>
      <c r="F93" s="3">
        <v>4.0999999999999996</v>
      </c>
      <c r="G93" s="3" t="s">
        <v>19</v>
      </c>
      <c r="H93" s="2">
        <v>35</v>
      </c>
      <c r="I93" s="3">
        <v>2</v>
      </c>
      <c r="J93" s="3">
        <v>40</v>
      </c>
      <c r="K93" s="3" t="s">
        <v>12</v>
      </c>
    </row>
    <row r="94" spans="1:11" x14ac:dyDescent="0.3">
      <c r="A94" s="4">
        <v>75.799000000000007</v>
      </c>
      <c r="B94" s="4">
        <v>21.687000000000001</v>
      </c>
      <c r="C94" s="3">
        <v>2004</v>
      </c>
      <c r="D94" s="3">
        <v>3</v>
      </c>
      <c r="E94" s="3">
        <v>1</v>
      </c>
      <c r="F94" s="3">
        <v>3</v>
      </c>
      <c r="G94" s="3" t="s">
        <v>18</v>
      </c>
      <c r="H94" s="2">
        <v>10</v>
      </c>
      <c r="I94" s="3">
        <v>6</v>
      </c>
      <c r="J94" s="3">
        <v>38</v>
      </c>
      <c r="K94" s="3" t="s">
        <v>12</v>
      </c>
    </row>
    <row r="95" spans="1:11" x14ac:dyDescent="0.3">
      <c r="A95" s="4">
        <v>78.975999999999999</v>
      </c>
      <c r="B95" s="4">
        <v>21.204000000000001</v>
      </c>
      <c r="C95" s="3">
        <v>2004</v>
      </c>
      <c r="D95" s="3">
        <v>5</v>
      </c>
      <c r="E95" s="3">
        <v>12</v>
      </c>
      <c r="F95" s="3">
        <v>3</v>
      </c>
      <c r="G95" s="3" t="s">
        <v>19</v>
      </c>
      <c r="H95" s="2">
        <v>4</v>
      </c>
      <c r="I95" s="3">
        <v>0</v>
      </c>
      <c r="J95" s="3">
        <v>29</v>
      </c>
      <c r="K95" s="3" t="s">
        <v>12</v>
      </c>
    </row>
    <row r="96" spans="1:11" x14ac:dyDescent="0.3">
      <c r="A96" s="4">
        <v>73.651899999999998</v>
      </c>
      <c r="B96" s="4">
        <v>24.8142</v>
      </c>
      <c r="C96" s="3">
        <v>2004</v>
      </c>
      <c r="D96" s="3">
        <v>6</v>
      </c>
      <c r="E96" s="3">
        <v>17</v>
      </c>
      <c r="F96" s="3">
        <v>3.6</v>
      </c>
      <c r="G96" s="3" t="s">
        <v>2</v>
      </c>
      <c r="H96" s="2">
        <v>35</v>
      </c>
      <c r="I96" s="3">
        <v>8</v>
      </c>
      <c r="J96" s="3">
        <v>41</v>
      </c>
      <c r="K96" s="3" t="s">
        <v>10</v>
      </c>
    </row>
    <row r="97" spans="1:11" x14ac:dyDescent="0.3">
      <c r="A97" s="4">
        <v>75.323999999999998</v>
      </c>
      <c r="B97" s="4">
        <v>21.858000000000001</v>
      </c>
      <c r="C97" s="3">
        <v>2004</v>
      </c>
      <c r="D97" s="3">
        <v>10</v>
      </c>
      <c r="E97" s="3">
        <v>28</v>
      </c>
      <c r="F97" s="3">
        <v>3.2</v>
      </c>
      <c r="G97" s="3" t="s">
        <v>18</v>
      </c>
      <c r="H97" s="2">
        <v>13.4</v>
      </c>
      <c r="I97" s="3">
        <v>23</v>
      </c>
      <c r="J97" s="3">
        <v>41</v>
      </c>
      <c r="K97" s="3" t="s">
        <v>12</v>
      </c>
    </row>
    <row r="98" spans="1:11" x14ac:dyDescent="0.3">
      <c r="A98" s="4">
        <v>77.929000000000002</v>
      </c>
      <c r="B98" s="4">
        <v>20.137</v>
      </c>
      <c r="C98" s="3">
        <v>2004</v>
      </c>
      <c r="D98" s="3">
        <v>12</v>
      </c>
      <c r="E98" s="3">
        <v>2</v>
      </c>
      <c r="F98" s="3">
        <v>3.1</v>
      </c>
      <c r="G98" s="3" t="s">
        <v>18</v>
      </c>
      <c r="H98" s="2">
        <v>19.899999999999999</v>
      </c>
      <c r="I98" s="3">
        <v>9</v>
      </c>
      <c r="J98" s="3">
        <v>48</v>
      </c>
      <c r="K98" s="3" t="s">
        <v>12</v>
      </c>
    </row>
    <row r="99" spans="1:11" x14ac:dyDescent="0.3">
      <c r="A99" s="4">
        <v>71.652000000000001</v>
      </c>
      <c r="B99" s="4">
        <v>22.806999999999999</v>
      </c>
      <c r="C99" s="3">
        <v>2005</v>
      </c>
      <c r="D99" s="3">
        <v>1</v>
      </c>
      <c r="E99" s="3">
        <v>3</v>
      </c>
      <c r="F99" s="3">
        <v>3</v>
      </c>
      <c r="G99" s="3" t="s">
        <v>18</v>
      </c>
      <c r="H99" s="2">
        <v>20.3</v>
      </c>
      <c r="I99" s="3">
        <v>0</v>
      </c>
      <c r="J99" s="3">
        <v>36</v>
      </c>
      <c r="K99" s="3" t="s">
        <v>12</v>
      </c>
    </row>
    <row r="100" spans="1:11" x14ac:dyDescent="0.3">
      <c r="A100" s="4">
        <v>72.257000000000005</v>
      </c>
      <c r="B100" s="4">
        <v>23.388000000000002</v>
      </c>
      <c r="C100" s="3">
        <v>2005</v>
      </c>
      <c r="D100" s="3">
        <v>1</v>
      </c>
      <c r="E100" s="3">
        <v>6</v>
      </c>
      <c r="F100" s="3">
        <v>3.4</v>
      </c>
      <c r="G100" s="3" t="s">
        <v>18</v>
      </c>
      <c r="H100" s="2">
        <v>3.1</v>
      </c>
      <c r="I100" s="3">
        <v>11</v>
      </c>
      <c r="J100" s="3">
        <v>27</v>
      </c>
      <c r="K100" s="3" t="s">
        <v>12</v>
      </c>
    </row>
    <row r="101" spans="1:11" x14ac:dyDescent="0.3">
      <c r="A101" s="4">
        <v>76.278000000000006</v>
      </c>
      <c r="B101" s="4">
        <v>21.457000000000001</v>
      </c>
      <c r="C101" s="3">
        <v>2005</v>
      </c>
      <c r="D101" s="3">
        <v>4</v>
      </c>
      <c r="E101" s="3">
        <v>1</v>
      </c>
      <c r="F101" s="3">
        <v>3.2</v>
      </c>
      <c r="G101" s="3" t="s">
        <v>19</v>
      </c>
      <c r="H101" s="2">
        <v>17.100000000000001</v>
      </c>
      <c r="I101" s="3">
        <v>16</v>
      </c>
      <c r="J101" s="3">
        <v>40</v>
      </c>
      <c r="K101" s="3" t="s">
        <v>12</v>
      </c>
    </row>
    <row r="102" spans="1:11" x14ac:dyDescent="0.3">
      <c r="A102" s="4">
        <v>75.403000000000006</v>
      </c>
      <c r="B102" s="4">
        <v>27.148</v>
      </c>
      <c r="C102" s="3">
        <v>2005</v>
      </c>
      <c r="D102" s="3">
        <v>4</v>
      </c>
      <c r="E102" s="3">
        <v>24</v>
      </c>
      <c r="F102" s="3">
        <v>3.3</v>
      </c>
      <c r="G102" s="3" t="s">
        <v>19</v>
      </c>
      <c r="H102" s="2">
        <v>3.8</v>
      </c>
      <c r="I102" s="3">
        <v>14</v>
      </c>
      <c r="J102" s="3">
        <v>12</v>
      </c>
      <c r="K102" s="3" t="s">
        <v>12</v>
      </c>
    </row>
    <row r="103" spans="1:11" x14ac:dyDescent="0.3">
      <c r="A103" s="4">
        <v>73.742400000000004</v>
      </c>
      <c r="B103" s="4">
        <v>24.955300000000001</v>
      </c>
      <c r="C103" s="3">
        <v>2005</v>
      </c>
      <c r="D103" s="3">
        <v>6</v>
      </c>
      <c r="E103" s="3">
        <v>1</v>
      </c>
      <c r="F103" s="3">
        <v>3.6</v>
      </c>
      <c r="G103" s="3" t="s">
        <v>18</v>
      </c>
      <c r="H103" s="2">
        <v>35</v>
      </c>
      <c r="I103" s="3">
        <v>11</v>
      </c>
      <c r="J103" s="3">
        <v>28</v>
      </c>
      <c r="K103" s="3" t="s">
        <v>12</v>
      </c>
    </row>
    <row r="104" spans="1:11" x14ac:dyDescent="0.3">
      <c r="A104" s="4">
        <v>73.200999999999993</v>
      </c>
      <c r="B104" s="4">
        <v>19.238</v>
      </c>
      <c r="C104" s="3">
        <v>2005</v>
      </c>
      <c r="D104" s="3">
        <v>6</v>
      </c>
      <c r="E104" s="3">
        <v>14</v>
      </c>
      <c r="F104" s="3">
        <v>3.7</v>
      </c>
      <c r="G104" s="3" t="s">
        <v>20</v>
      </c>
      <c r="H104" s="2">
        <v>2</v>
      </c>
      <c r="I104" s="3">
        <v>12</v>
      </c>
      <c r="J104" s="3">
        <v>16</v>
      </c>
      <c r="K104" s="3" t="s">
        <v>12</v>
      </c>
    </row>
    <row r="105" spans="1:11" x14ac:dyDescent="0.3">
      <c r="A105" s="4">
        <v>73.204999999999998</v>
      </c>
      <c r="B105" s="4">
        <v>19.143999999999998</v>
      </c>
      <c r="C105" s="3">
        <v>2005</v>
      </c>
      <c r="D105" s="3">
        <v>6</v>
      </c>
      <c r="E105" s="3">
        <v>18</v>
      </c>
      <c r="F105" s="3">
        <v>3.1</v>
      </c>
      <c r="G105" s="3" t="s">
        <v>19</v>
      </c>
      <c r="H105" s="2">
        <v>5</v>
      </c>
      <c r="I105" s="3">
        <v>3</v>
      </c>
      <c r="J105" s="3">
        <v>8</v>
      </c>
      <c r="K105" s="3" t="s">
        <v>12</v>
      </c>
    </row>
    <row r="106" spans="1:11" x14ac:dyDescent="0.3">
      <c r="A106" s="4">
        <v>73.41</v>
      </c>
      <c r="B106" s="4">
        <v>20.178999999999998</v>
      </c>
      <c r="C106" s="3">
        <v>2005</v>
      </c>
      <c r="D106" s="3">
        <v>11</v>
      </c>
      <c r="E106" s="3">
        <v>4</v>
      </c>
      <c r="F106" s="3">
        <v>3.1</v>
      </c>
      <c r="G106" s="3" t="s">
        <v>19</v>
      </c>
      <c r="H106" s="2">
        <v>5</v>
      </c>
      <c r="I106" s="3">
        <v>11</v>
      </c>
      <c r="J106" s="3">
        <v>33</v>
      </c>
      <c r="K106" s="3" t="s">
        <v>12</v>
      </c>
    </row>
    <row r="107" spans="1:11" x14ac:dyDescent="0.3">
      <c r="A107" s="4">
        <v>73.676000000000002</v>
      </c>
      <c r="B107" s="4">
        <v>25.123999999999999</v>
      </c>
      <c r="C107" s="3">
        <v>2005</v>
      </c>
      <c r="D107" s="3">
        <v>11</v>
      </c>
      <c r="E107" s="3">
        <v>28</v>
      </c>
      <c r="F107" s="3">
        <v>3</v>
      </c>
      <c r="G107" s="3" t="s">
        <v>19</v>
      </c>
      <c r="H107" s="2">
        <v>3.5</v>
      </c>
      <c r="I107" s="3">
        <v>20</v>
      </c>
      <c r="J107" s="3">
        <v>27</v>
      </c>
      <c r="K107" s="3" t="s">
        <v>12</v>
      </c>
    </row>
    <row r="108" spans="1:11" x14ac:dyDescent="0.3">
      <c r="A108" s="4">
        <v>77.766000000000005</v>
      </c>
      <c r="B108" s="4">
        <v>22.43</v>
      </c>
      <c r="C108" s="3">
        <v>2006</v>
      </c>
      <c r="D108" s="3">
        <v>3</v>
      </c>
      <c r="E108" s="3">
        <v>7</v>
      </c>
      <c r="F108" s="3">
        <v>3.1</v>
      </c>
      <c r="G108" s="3" t="s">
        <v>19</v>
      </c>
      <c r="H108" s="2">
        <v>15</v>
      </c>
      <c r="I108" s="3">
        <v>4</v>
      </c>
      <c r="J108" s="3">
        <v>39</v>
      </c>
      <c r="K108" s="3" t="s">
        <v>12</v>
      </c>
    </row>
    <row r="109" spans="1:11" x14ac:dyDescent="0.3">
      <c r="A109" s="4">
        <v>72.431399999999996</v>
      </c>
      <c r="B109" s="4">
        <v>24.194199999999999</v>
      </c>
      <c r="C109" s="3">
        <v>2006</v>
      </c>
      <c r="D109" s="3">
        <v>5</v>
      </c>
      <c r="E109" s="3">
        <v>7</v>
      </c>
      <c r="F109" s="3">
        <v>3.8</v>
      </c>
      <c r="G109" s="3" t="s">
        <v>19</v>
      </c>
      <c r="H109" s="2">
        <v>35</v>
      </c>
      <c r="I109" s="3">
        <v>5</v>
      </c>
      <c r="J109" s="3">
        <v>24</v>
      </c>
      <c r="K109" s="3" t="s">
        <v>12</v>
      </c>
    </row>
    <row r="110" spans="1:11" x14ac:dyDescent="0.3">
      <c r="A110" s="4">
        <v>73.980599999999995</v>
      </c>
      <c r="B110" s="4">
        <v>26.745000000000001</v>
      </c>
      <c r="C110" s="3">
        <v>2006</v>
      </c>
      <c r="D110" s="3">
        <v>7</v>
      </c>
      <c r="E110" s="3">
        <v>19</v>
      </c>
      <c r="F110" s="3">
        <v>4</v>
      </c>
      <c r="G110" s="3" t="s">
        <v>2</v>
      </c>
      <c r="H110" s="2">
        <v>0</v>
      </c>
      <c r="I110" s="3">
        <v>16</v>
      </c>
      <c r="J110" s="3">
        <v>41</v>
      </c>
      <c r="K110" s="3" t="s">
        <v>22</v>
      </c>
    </row>
    <row r="111" spans="1:11" x14ac:dyDescent="0.3">
      <c r="A111" s="4">
        <v>79.394000000000005</v>
      </c>
      <c r="B111" s="4">
        <v>22.297000000000001</v>
      </c>
      <c r="C111" s="3">
        <v>2006</v>
      </c>
      <c r="D111" s="3">
        <v>8</v>
      </c>
      <c r="E111" s="3">
        <v>5</v>
      </c>
      <c r="F111" s="3">
        <v>3.4</v>
      </c>
      <c r="G111" s="3" t="s">
        <v>19</v>
      </c>
      <c r="H111" s="2">
        <v>10</v>
      </c>
      <c r="I111" s="3">
        <v>2</v>
      </c>
      <c r="J111" s="3">
        <v>57</v>
      </c>
      <c r="K111" s="3" t="s">
        <v>12</v>
      </c>
    </row>
    <row r="112" spans="1:11" x14ac:dyDescent="0.3">
      <c r="A112" s="4">
        <v>75.962100000000007</v>
      </c>
      <c r="B112" s="4">
        <v>26.625399999999999</v>
      </c>
      <c r="C112" s="3">
        <v>2006</v>
      </c>
      <c r="D112" s="3">
        <v>12</v>
      </c>
      <c r="E112" s="3">
        <v>23</v>
      </c>
      <c r="F112" s="3">
        <v>4.2</v>
      </c>
      <c r="G112" s="3" t="s">
        <v>2</v>
      </c>
      <c r="H112" s="2">
        <v>11.8</v>
      </c>
      <c r="I112" s="3">
        <v>22</v>
      </c>
      <c r="J112" s="3">
        <v>43</v>
      </c>
      <c r="K112" s="3" t="s">
        <v>16</v>
      </c>
    </row>
    <row r="113" spans="1:11" x14ac:dyDescent="0.3">
      <c r="A113" s="4">
        <v>78.659000000000006</v>
      </c>
      <c r="B113" s="4">
        <v>22.765000000000001</v>
      </c>
      <c r="C113" s="3">
        <v>2007</v>
      </c>
      <c r="D113" s="3">
        <v>6</v>
      </c>
      <c r="E113" s="3">
        <v>6</v>
      </c>
      <c r="F113" s="3">
        <v>3.3</v>
      </c>
      <c r="G113" s="3" t="s">
        <v>19</v>
      </c>
      <c r="H113" s="2">
        <v>8.1999999999999993</v>
      </c>
      <c r="I113" s="3">
        <v>8</v>
      </c>
      <c r="J113" s="3">
        <v>15</v>
      </c>
      <c r="K113" s="3" t="s">
        <v>12</v>
      </c>
    </row>
    <row r="114" spans="1:11" x14ac:dyDescent="0.3">
      <c r="A114" s="4">
        <v>78.665000000000006</v>
      </c>
      <c r="B114" s="4">
        <v>22.786999999999999</v>
      </c>
      <c r="C114" s="3">
        <v>2008</v>
      </c>
      <c r="D114" s="3">
        <v>1</v>
      </c>
      <c r="E114" s="3">
        <v>10</v>
      </c>
      <c r="F114" s="3">
        <v>3.3</v>
      </c>
      <c r="G114" s="3" t="s">
        <v>19</v>
      </c>
      <c r="H114" s="2">
        <v>10</v>
      </c>
      <c r="I114" s="3">
        <v>23</v>
      </c>
      <c r="J114" s="3">
        <v>48</v>
      </c>
      <c r="K114" s="3" t="s">
        <v>12</v>
      </c>
    </row>
    <row r="115" spans="1:11" x14ac:dyDescent="0.3">
      <c r="A115" s="4">
        <v>72.932699999999997</v>
      </c>
      <c r="B115" s="4">
        <v>21.289400000000001</v>
      </c>
      <c r="C115" s="3">
        <v>2008</v>
      </c>
      <c r="D115" s="3">
        <v>5</v>
      </c>
      <c r="E115" s="3">
        <v>2</v>
      </c>
      <c r="F115" s="3">
        <v>3.5</v>
      </c>
      <c r="G115" s="3" t="s">
        <v>2</v>
      </c>
      <c r="H115" s="2">
        <v>35</v>
      </c>
      <c r="I115" s="3">
        <v>21</v>
      </c>
      <c r="J115" s="3">
        <v>53</v>
      </c>
      <c r="K115" s="3" t="s">
        <v>10</v>
      </c>
    </row>
    <row r="116" spans="1:11" x14ac:dyDescent="0.3">
      <c r="A116" s="4">
        <v>72.772999999999996</v>
      </c>
      <c r="B116" s="4">
        <v>21.231999999999999</v>
      </c>
      <c r="C116" s="3">
        <v>2008</v>
      </c>
      <c r="D116" s="3">
        <v>5</v>
      </c>
      <c r="E116" s="3">
        <v>2</v>
      </c>
      <c r="F116" s="3">
        <v>3</v>
      </c>
      <c r="G116" s="3" t="s">
        <v>19</v>
      </c>
      <c r="H116" s="2">
        <v>10</v>
      </c>
      <c r="I116" s="3">
        <v>22</v>
      </c>
      <c r="J116" s="3">
        <v>31</v>
      </c>
      <c r="K116" s="3" t="s">
        <v>12</v>
      </c>
    </row>
    <row r="117" spans="1:11" x14ac:dyDescent="0.3">
      <c r="A117" s="4">
        <v>72.843999999999994</v>
      </c>
      <c r="B117" s="4">
        <v>21.504000000000001</v>
      </c>
      <c r="C117" s="3">
        <v>2008</v>
      </c>
      <c r="D117" s="3">
        <v>5</v>
      </c>
      <c r="E117" s="3">
        <v>20</v>
      </c>
      <c r="F117" s="3">
        <v>3.1</v>
      </c>
      <c r="G117" s="3" t="s">
        <v>19</v>
      </c>
      <c r="H117" s="2">
        <v>10</v>
      </c>
      <c r="I117" s="3">
        <v>8</v>
      </c>
      <c r="J117" s="3">
        <v>57</v>
      </c>
      <c r="K117" s="3" t="s">
        <v>12</v>
      </c>
    </row>
    <row r="118" spans="1:11" x14ac:dyDescent="0.3">
      <c r="A118" s="4">
        <v>73.7684</v>
      </c>
      <c r="B118" s="4">
        <v>24.974900000000002</v>
      </c>
      <c r="C118" s="3">
        <v>2008</v>
      </c>
      <c r="D118" s="3">
        <v>6</v>
      </c>
      <c r="E118" s="3">
        <v>27</v>
      </c>
      <c r="F118" s="3">
        <v>3.7</v>
      </c>
      <c r="G118" s="3" t="s">
        <v>19</v>
      </c>
      <c r="H118" s="2">
        <v>35</v>
      </c>
      <c r="I118" s="3">
        <v>7</v>
      </c>
      <c r="J118" s="3">
        <v>53</v>
      </c>
      <c r="K118" s="3" t="s">
        <v>12</v>
      </c>
    </row>
    <row r="119" spans="1:11" x14ac:dyDescent="0.3">
      <c r="A119" s="4">
        <v>74.510900000000007</v>
      </c>
      <c r="B119" s="4">
        <v>25.786799999999999</v>
      </c>
      <c r="C119" s="3">
        <v>2008</v>
      </c>
      <c r="D119" s="3">
        <v>7</v>
      </c>
      <c r="E119" s="3">
        <v>5</v>
      </c>
      <c r="F119" s="3">
        <v>3.6</v>
      </c>
      <c r="G119" s="3" t="s">
        <v>19</v>
      </c>
      <c r="H119" s="2">
        <v>35</v>
      </c>
      <c r="I119" s="3">
        <v>11</v>
      </c>
      <c r="J119" s="3">
        <v>59</v>
      </c>
      <c r="K119" s="3" t="s">
        <v>12</v>
      </c>
    </row>
    <row r="120" spans="1:11" x14ac:dyDescent="0.3">
      <c r="A120" s="4">
        <v>72</v>
      </c>
      <c r="B120" s="4">
        <v>23.004000000000001</v>
      </c>
      <c r="C120" s="3">
        <v>2008</v>
      </c>
      <c r="D120" s="3">
        <v>12</v>
      </c>
      <c r="E120" s="3">
        <v>27</v>
      </c>
      <c r="F120" s="3">
        <v>3.2</v>
      </c>
      <c r="G120" s="3" t="s">
        <v>19</v>
      </c>
      <c r="H120" s="2">
        <v>10</v>
      </c>
      <c r="I120" s="3">
        <v>2</v>
      </c>
      <c r="J120" s="3">
        <v>12</v>
      </c>
      <c r="K120" s="3" t="s">
        <v>12</v>
      </c>
    </row>
    <row r="121" spans="1:11" x14ac:dyDescent="0.3">
      <c r="A121" s="4">
        <v>72.578999999999994</v>
      </c>
      <c r="B121" s="4">
        <v>25.846</v>
      </c>
      <c r="C121" s="3">
        <v>2008</v>
      </c>
      <c r="D121" s="3">
        <v>12</v>
      </c>
      <c r="E121" s="3">
        <v>28</v>
      </c>
      <c r="F121" s="3">
        <v>3.2</v>
      </c>
      <c r="G121" s="3" t="s">
        <v>19</v>
      </c>
      <c r="H121" s="2">
        <v>10</v>
      </c>
      <c r="I121" s="3">
        <v>7</v>
      </c>
      <c r="J121" s="3">
        <v>39</v>
      </c>
      <c r="K121" s="3" t="s">
        <v>12</v>
      </c>
    </row>
    <row r="122" spans="1:11" x14ac:dyDescent="0.3">
      <c r="A122" s="4">
        <v>75.218800000000002</v>
      </c>
      <c r="B122" s="4">
        <v>21.634899999999998</v>
      </c>
      <c r="C122" s="3">
        <v>2009</v>
      </c>
      <c r="D122" s="3">
        <v>1</v>
      </c>
      <c r="E122" s="3">
        <v>4</v>
      </c>
      <c r="F122" s="3">
        <v>3.9</v>
      </c>
      <c r="G122" s="3" t="s">
        <v>2</v>
      </c>
      <c r="H122" s="2">
        <v>35</v>
      </c>
      <c r="I122" s="3">
        <v>5</v>
      </c>
      <c r="J122" s="3">
        <v>20</v>
      </c>
      <c r="K122" s="3" t="s">
        <v>10</v>
      </c>
    </row>
    <row r="123" spans="1:11" x14ac:dyDescent="0.3">
      <c r="A123" s="4">
        <v>79.694999999999993</v>
      </c>
      <c r="B123" s="4">
        <v>22.300999999999998</v>
      </c>
      <c r="C123" s="3">
        <v>2009</v>
      </c>
      <c r="D123" s="3">
        <v>8</v>
      </c>
      <c r="E123" s="3">
        <v>1</v>
      </c>
      <c r="F123" s="3">
        <v>3.5</v>
      </c>
      <c r="G123" s="3" t="s">
        <v>19</v>
      </c>
      <c r="H123" s="2">
        <v>10</v>
      </c>
      <c r="I123" s="3">
        <v>18</v>
      </c>
      <c r="J123" s="3">
        <v>49</v>
      </c>
      <c r="K123" s="3" t="s">
        <v>12</v>
      </c>
    </row>
    <row r="124" spans="1:11" x14ac:dyDescent="0.3">
      <c r="A124" s="4">
        <v>76.924999999999997</v>
      </c>
      <c r="B124" s="4">
        <v>21.555</v>
      </c>
      <c r="C124" s="3">
        <v>2010</v>
      </c>
      <c r="D124" s="3">
        <v>1</v>
      </c>
      <c r="E124" s="3">
        <v>25</v>
      </c>
      <c r="F124" s="3">
        <v>3.2</v>
      </c>
      <c r="G124" s="3" t="s">
        <v>19</v>
      </c>
      <c r="H124" s="2">
        <v>10</v>
      </c>
      <c r="I124" s="3">
        <v>17</v>
      </c>
      <c r="J124" s="3">
        <v>0</v>
      </c>
      <c r="K124" s="3" t="s">
        <v>12</v>
      </c>
    </row>
    <row r="125" spans="1:11" x14ac:dyDescent="0.3">
      <c r="A125" s="4">
        <v>74.308000000000007</v>
      </c>
      <c r="B125" s="4">
        <v>18.693999999999999</v>
      </c>
      <c r="C125" s="3">
        <v>2010</v>
      </c>
      <c r="D125" s="3">
        <v>4</v>
      </c>
      <c r="E125" s="3">
        <v>15</v>
      </c>
      <c r="F125" s="3">
        <v>3.3</v>
      </c>
      <c r="G125" s="3" t="s">
        <v>19</v>
      </c>
      <c r="H125" s="2">
        <v>10</v>
      </c>
      <c r="I125" s="3">
        <v>20</v>
      </c>
      <c r="J125" s="3">
        <v>22</v>
      </c>
      <c r="K125" s="3" t="s">
        <v>12</v>
      </c>
    </row>
    <row r="126" spans="1:11" x14ac:dyDescent="0.3">
      <c r="A126" s="4">
        <v>74.303100000000001</v>
      </c>
      <c r="B126" s="4">
        <v>26.407299999999999</v>
      </c>
      <c r="C126" s="3">
        <v>2010</v>
      </c>
      <c r="D126" s="3">
        <v>8</v>
      </c>
      <c r="E126" s="3">
        <v>15</v>
      </c>
      <c r="F126" s="3">
        <v>4</v>
      </c>
      <c r="G126" s="3" t="s">
        <v>19</v>
      </c>
      <c r="H126" s="2">
        <v>10</v>
      </c>
      <c r="I126" s="3">
        <v>6</v>
      </c>
      <c r="J126" s="3">
        <v>8</v>
      </c>
      <c r="K126" s="3" t="s">
        <v>12</v>
      </c>
    </row>
    <row r="127" spans="1:11" x14ac:dyDescent="0.3">
      <c r="A127" s="4">
        <v>72.130399999999995</v>
      </c>
      <c r="B127" s="4">
        <v>23.777999999999999</v>
      </c>
      <c r="C127" s="3">
        <v>2010</v>
      </c>
      <c r="D127" s="3">
        <v>9</v>
      </c>
      <c r="E127" s="3">
        <v>2</v>
      </c>
      <c r="F127" s="3">
        <v>4</v>
      </c>
      <c r="G127" s="3" t="s">
        <v>2</v>
      </c>
      <c r="H127" s="2">
        <v>35</v>
      </c>
      <c r="I127" s="3">
        <v>3</v>
      </c>
      <c r="J127" s="3">
        <v>9</v>
      </c>
      <c r="K127" s="3" t="s">
        <v>10</v>
      </c>
    </row>
    <row r="128" spans="1:11" x14ac:dyDescent="0.3">
      <c r="A128" s="4">
        <v>72.533000000000001</v>
      </c>
      <c r="B128" s="4">
        <v>24.614000000000001</v>
      </c>
      <c r="C128" s="3">
        <v>2010</v>
      </c>
      <c r="D128" s="3">
        <v>11</v>
      </c>
      <c r="E128" s="3">
        <v>5</v>
      </c>
      <c r="F128" s="3">
        <v>3</v>
      </c>
      <c r="G128" s="3" t="s">
        <v>19</v>
      </c>
      <c r="H128" s="2">
        <v>10</v>
      </c>
      <c r="I128" s="3">
        <v>15</v>
      </c>
      <c r="J128" s="3">
        <v>57</v>
      </c>
      <c r="K128" s="3" t="s">
        <v>12</v>
      </c>
    </row>
    <row r="129" spans="1:11" x14ac:dyDescent="0.3">
      <c r="A129" s="4">
        <v>73.705799999999996</v>
      </c>
      <c r="B129" s="4">
        <v>25.162299999999998</v>
      </c>
      <c r="C129" s="3">
        <v>2010</v>
      </c>
      <c r="D129" s="3">
        <v>11</v>
      </c>
      <c r="E129" s="3">
        <v>9</v>
      </c>
      <c r="F129" s="3">
        <v>4.5</v>
      </c>
      <c r="G129" s="3" t="s">
        <v>2</v>
      </c>
      <c r="H129" s="2">
        <v>19.399999999999999</v>
      </c>
      <c r="I129" s="3">
        <v>22</v>
      </c>
      <c r="J129" s="3">
        <v>46</v>
      </c>
      <c r="K129" s="3" t="s">
        <v>10</v>
      </c>
    </row>
    <row r="130" spans="1:11" x14ac:dyDescent="0.3">
      <c r="A130" s="4">
        <v>79.789699999999996</v>
      </c>
      <c r="B130" s="4">
        <v>22.750800000000002</v>
      </c>
      <c r="C130" s="3">
        <v>2011</v>
      </c>
      <c r="D130" s="3">
        <v>2</v>
      </c>
      <c r="E130" s="3">
        <v>8</v>
      </c>
      <c r="F130" s="3">
        <v>3.5</v>
      </c>
      <c r="G130" s="3" t="s">
        <v>19</v>
      </c>
      <c r="H130" s="2">
        <v>35</v>
      </c>
      <c r="I130" s="3">
        <v>7</v>
      </c>
      <c r="J130" s="3">
        <v>23</v>
      </c>
      <c r="K130" s="3" t="s">
        <v>12</v>
      </c>
    </row>
    <row r="131" spans="1:11" x14ac:dyDescent="0.3">
      <c r="A131" s="4">
        <v>78.819699999999997</v>
      </c>
      <c r="B131" s="4">
        <v>22.013000000000002</v>
      </c>
      <c r="C131" s="3">
        <v>2012</v>
      </c>
      <c r="D131" s="3">
        <v>6</v>
      </c>
      <c r="E131" s="3">
        <v>12</v>
      </c>
      <c r="F131" s="3">
        <v>3.4</v>
      </c>
      <c r="G131" s="3" t="s">
        <v>19</v>
      </c>
      <c r="H131" s="2">
        <v>35</v>
      </c>
      <c r="I131" s="3">
        <v>1</v>
      </c>
      <c r="J131" s="3">
        <v>9</v>
      </c>
      <c r="K131" s="3" t="s">
        <v>12</v>
      </c>
    </row>
    <row r="132" spans="1:11" x14ac:dyDescent="0.3">
      <c r="A132" s="4">
        <v>72.799000000000007</v>
      </c>
      <c r="B132" s="4">
        <v>21.225000000000001</v>
      </c>
      <c r="C132" s="3">
        <v>2012</v>
      </c>
      <c r="D132" s="3">
        <v>7</v>
      </c>
      <c r="E132" s="3">
        <v>30</v>
      </c>
      <c r="F132" s="3">
        <v>3.2</v>
      </c>
      <c r="G132" s="3" t="s">
        <v>19</v>
      </c>
      <c r="H132" s="2">
        <v>11.5</v>
      </c>
      <c r="I132" s="3">
        <v>8</v>
      </c>
      <c r="J132" s="3">
        <v>3</v>
      </c>
      <c r="K132" s="3" t="s">
        <v>12</v>
      </c>
    </row>
    <row r="133" spans="1:11" x14ac:dyDescent="0.3">
      <c r="A133" s="4">
        <v>76.507000000000005</v>
      </c>
      <c r="B133" s="4">
        <v>21.297999999999998</v>
      </c>
      <c r="C133" s="3">
        <v>2012</v>
      </c>
      <c r="D133" s="3">
        <v>9</v>
      </c>
      <c r="E133" s="3">
        <v>12</v>
      </c>
      <c r="F133" s="3">
        <v>3</v>
      </c>
      <c r="G133" s="3" t="s">
        <v>19</v>
      </c>
      <c r="H133" s="2">
        <v>20</v>
      </c>
      <c r="I133" s="3">
        <v>16</v>
      </c>
      <c r="J133" s="3">
        <v>34</v>
      </c>
      <c r="K133" s="3" t="s">
        <v>12</v>
      </c>
    </row>
    <row r="134" spans="1:11" x14ac:dyDescent="0.3">
      <c r="A134" s="4">
        <v>76.031999999999996</v>
      </c>
      <c r="B134" s="4">
        <v>22.056000000000001</v>
      </c>
      <c r="C134" s="3">
        <v>2012</v>
      </c>
      <c r="D134" s="3">
        <v>11</v>
      </c>
      <c r="E134" s="3">
        <v>20</v>
      </c>
      <c r="F134" s="3">
        <v>3.3</v>
      </c>
      <c r="G134" s="3" t="s">
        <v>19</v>
      </c>
      <c r="H134" s="2">
        <v>15</v>
      </c>
      <c r="I134" s="3">
        <v>4</v>
      </c>
      <c r="J134" s="3">
        <v>15</v>
      </c>
      <c r="K134" s="3" t="s">
        <v>12</v>
      </c>
    </row>
    <row r="135" spans="1:11" x14ac:dyDescent="0.3">
      <c r="A135" s="4">
        <v>75.891499999999994</v>
      </c>
      <c r="B135" s="4">
        <v>26.261700000000001</v>
      </c>
      <c r="C135" s="3">
        <v>2013</v>
      </c>
      <c r="D135" s="3">
        <v>2</v>
      </c>
      <c r="E135" s="3">
        <v>24</v>
      </c>
      <c r="F135" s="3">
        <v>3.5</v>
      </c>
      <c r="G135" s="3" t="s">
        <v>2</v>
      </c>
      <c r="H135" s="2">
        <v>35</v>
      </c>
      <c r="I135" s="3">
        <v>0</v>
      </c>
      <c r="J135" s="3">
        <v>57</v>
      </c>
      <c r="K135" s="3" t="s">
        <v>10</v>
      </c>
    </row>
    <row r="136" spans="1:11" x14ac:dyDescent="0.3">
      <c r="A136" s="4">
        <v>73.376999999999995</v>
      </c>
      <c r="B136" s="4">
        <v>19.800999999999998</v>
      </c>
      <c r="C136" s="3">
        <v>2013</v>
      </c>
      <c r="D136" s="3">
        <v>2</v>
      </c>
      <c r="E136" s="3">
        <v>25</v>
      </c>
      <c r="F136" s="3">
        <v>3</v>
      </c>
      <c r="G136" s="3" t="s">
        <v>19</v>
      </c>
      <c r="H136" s="2">
        <v>10</v>
      </c>
      <c r="I136" s="3">
        <v>17</v>
      </c>
      <c r="J136" s="3">
        <v>21</v>
      </c>
      <c r="K136" s="3" t="s">
        <v>12</v>
      </c>
    </row>
    <row r="137" spans="1:11" x14ac:dyDescent="0.3">
      <c r="A137" s="4">
        <v>71.019099999999995</v>
      </c>
      <c r="B137" s="4">
        <v>23.416899999999998</v>
      </c>
      <c r="C137" s="3">
        <v>2013</v>
      </c>
      <c r="D137" s="3">
        <v>4</v>
      </c>
      <c r="E137" s="3">
        <v>25</v>
      </c>
      <c r="F137" s="3">
        <v>3.5</v>
      </c>
      <c r="G137" s="3" t="s">
        <v>2</v>
      </c>
      <c r="H137" s="2">
        <v>10</v>
      </c>
      <c r="I137" s="3">
        <v>5</v>
      </c>
      <c r="J137" s="3">
        <v>57</v>
      </c>
      <c r="K137" s="3" t="s">
        <v>10</v>
      </c>
    </row>
    <row r="138" spans="1:11" x14ac:dyDescent="0.3">
      <c r="A138" s="4">
        <v>74.831999999999994</v>
      </c>
      <c r="B138" s="4">
        <v>21.988</v>
      </c>
      <c r="C138" s="3">
        <v>2013</v>
      </c>
      <c r="D138" s="3">
        <v>6</v>
      </c>
      <c r="E138" s="3">
        <v>30</v>
      </c>
      <c r="F138" s="3">
        <v>3.3</v>
      </c>
      <c r="G138" s="3" t="s">
        <v>19</v>
      </c>
      <c r="H138" s="2">
        <v>19.100000000000001</v>
      </c>
      <c r="I138" s="3">
        <v>2</v>
      </c>
      <c r="J138" s="3">
        <v>44</v>
      </c>
      <c r="K138" s="3" t="s">
        <v>12</v>
      </c>
    </row>
    <row r="139" spans="1:11" x14ac:dyDescent="0.3">
      <c r="A139" s="4">
        <v>75.522000000000006</v>
      </c>
      <c r="B139" s="4">
        <v>26.62</v>
      </c>
      <c r="C139" s="3">
        <v>2013</v>
      </c>
      <c r="D139" s="3">
        <v>9</v>
      </c>
      <c r="E139" s="3">
        <v>5</v>
      </c>
      <c r="F139" s="3">
        <v>3.1</v>
      </c>
      <c r="G139" s="3" t="s">
        <v>19</v>
      </c>
      <c r="H139" s="2">
        <v>11.1</v>
      </c>
      <c r="I139" s="3">
        <v>11</v>
      </c>
      <c r="J139" s="3">
        <v>29</v>
      </c>
      <c r="K139" s="3" t="s">
        <v>12</v>
      </c>
    </row>
    <row r="140" spans="1:11" x14ac:dyDescent="0.3">
      <c r="A140" s="4">
        <v>73.997</v>
      </c>
      <c r="B140" s="4">
        <v>20.704999999999998</v>
      </c>
      <c r="C140" s="3">
        <v>2014</v>
      </c>
      <c r="D140" s="3">
        <v>1</v>
      </c>
      <c r="E140" s="3">
        <v>7</v>
      </c>
      <c r="F140" s="3">
        <v>3.3</v>
      </c>
      <c r="G140" s="3" t="s">
        <v>18</v>
      </c>
      <c r="H140" s="2">
        <v>15</v>
      </c>
      <c r="I140" s="3">
        <v>13</v>
      </c>
      <c r="J140" s="3">
        <v>50</v>
      </c>
      <c r="K140" s="3" t="s">
        <v>12</v>
      </c>
    </row>
    <row r="141" spans="1:11" x14ac:dyDescent="0.3">
      <c r="A141" s="4">
        <v>73.420199999999994</v>
      </c>
      <c r="B141" s="4">
        <v>21.4255</v>
      </c>
      <c r="C141" s="3">
        <v>2014</v>
      </c>
      <c r="D141" s="3">
        <v>6</v>
      </c>
      <c r="E141" s="3">
        <v>21</v>
      </c>
      <c r="F141" s="3">
        <v>3.7</v>
      </c>
      <c r="G141" s="3" t="s">
        <v>2</v>
      </c>
      <c r="H141" s="2">
        <v>35</v>
      </c>
      <c r="I141" s="3">
        <v>15</v>
      </c>
      <c r="J141" s="3">
        <v>59</v>
      </c>
      <c r="K141" s="3" t="s">
        <v>10</v>
      </c>
    </row>
    <row r="142" spans="1:11" x14ac:dyDescent="0.3">
      <c r="A142" s="4" t="s">
        <v>23</v>
      </c>
      <c r="B142" s="4" t="s">
        <v>24</v>
      </c>
      <c r="C142" s="3">
        <v>2014</v>
      </c>
      <c r="D142" s="3">
        <v>8</v>
      </c>
      <c r="E142" s="3">
        <v>20</v>
      </c>
      <c r="F142" s="3">
        <v>3.6</v>
      </c>
      <c r="G142" s="3" t="s">
        <v>18</v>
      </c>
      <c r="H142" s="2">
        <v>0</v>
      </c>
      <c r="I142" s="3">
        <v>1</v>
      </c>
      <c r="J142" s="3">
        <v>29</v>
      </c>
      <c r="K142" s="3" t="s">
        <v>12</v>
      </c>
    </row>
    <row r="143" spans="1:11" x14ac:dyDescent="0.3">
      <c r="A143" s="4">
        <v>79.889899999999997</v>
      </c>
      <c r="B143" s="4">
        <v>23.041899999999998</v>
      </c>
      <c r="C143" s="3">
        <v>2014</v>
      </c>
      <c r="D143" s="3">
        <v>10</v>
      </c>
      <c r="E143" s="3">
        <v>22</v>
      </c>
      <c r="F143" s="3">
        <v>3.6</v>
      </c>
      <c r="G143" s="3" t="s">
        <v>2</v>
      </c>
      <c r="H143" s="2">
        <v>10</v>
      </c>
      <c r="I143" s="3">
        <v>5</v>
      </c>
      <c r="J143" s="3">
        <v>18</v>
      </c>
      <c r="K143" s="3" t="s">
        <v>10</v>
      </c>
    </row>
    <row r="144" spans="1:11" x14ac:dyDescent="0.3">
      <c r="A144" s="4">
        <v>72.034999999999997</v>
      </c>
      <c r="B144" s="4">
        <v>24.407</v>
      </c>
      <c r="C144" s="3">
        <v>2014</v>
      </c>
      <c r="D144" s="3">
        <v>11</v>
      </c>
      <c r="E144" s="3">
        <v>19</v>
      </c>
      <c r="F144" s="3">
        <v>3.5</v>
      </c>
      <c r="G144" s="3" t="s">
        <v>19</v>
      </c>
      <c r="H144" s="2">
        <v>10</v>
      </c>
      <c r="I144" s="3">
        <v>15</v>
      </c>
      <c r="J144" s="3">
        <v>26</v>
      </c>
      <c r="K144" s="3" t="s">
        <v>12</v>
      </c>
    </row>
    <row r="145" spans="1:11" x14ac:dyDescent="0.3">
      <c r="A145" s="4">
        <v>72.659199999999998</v>
      </c>
      <c r="B145" s="4">
        <v>24.040600000000001</v>
      </c>
      <c r="C145" s="3">
        <v>2015</v>
      </c>
      <c r="D145" s="3">
        <v>3</v>
      </c>
      <c r="E145" s="3">
        <v>19</v>
      </c>
      <c r="F145" s="3">
        <v>3.4</v>
      </c>
      <c r="G145" s="3" t="s">
        <v>2</v>
      </c>
      <c r="H145" s="2">
        <v>10</v>
      </c>
      <c r="I145" s="3">
        <v>9</v>
      </c>
      <c r="J145" s="3">
        <v>41</v>
      </c>
      <c r="K145" s="3" t="s">
        <v>10</v>
      </c>
    </row>
    <row r="146" spans="1:11" x14ac:dyDescent="0.3">
      <c r="A146" s="4">
        <v>80.066999999999993</v>
      </c>
      <c r="B146" s="4">
        <v>21.328199999999999</v>
      </c>
      <c r="C146" s="3">
        <v>2015</v>
      </c>
      <c r="D146" s="3">
        <v>7</v>
      </c>
      <c r="E146" s="3">
        <v>23</v>
      </c>
      <c r="F146" s="3">
        <v>4</v>
      </c>
      <c r="G146" s="3" t="s">
        <v>18</v>
      </c>
      <c r="H146" s="2">
        <v>35</v>
      </c>
      <c r="I146" s="3">
        <v>14</v>
      </c>
      <c r="J146" s="3">
        <v>36</v>
      </c>
      <c r="K146" s="3" t="s">
        <v>12</v>
      </c>
    </row>
    <row r="147" spans="1:11" x14ac:dyDescent="0.3">
      <c r="A147" s="4">
        <v>73.001000000000005</v>
      </c>
      <c r="B147" s="4">
        <v>20.425999999999998</v>
      </c>
      <c r="C147" s="3">
        <v>2015</v>
      </c>
      <c r="D147" s="3">
        <v>11</v>
      </c>
      <c r="E147" s="3">
        <v>2</v>
      </c>
      <c r="F147" s="3">
        <v>3</v>
      </c>
      <c r="G147" s="3" t="s">
        <v>19</v>
      </c>
      <c r="H147" s="2">
        <v>18.100000000000001</v>
      </c>
      <c r="I147" s="3">
        <v>20</v>
      </c>
      <c r="J147" s="3">
        <v>39</v>
      </c>
      <c r="K147" s="3" t="s">
        <v>12</v>
      </c>
    </row>
    <row r="148" spans="1:11" x14ac:dyDescent="0.3">
      <c r="A148" s="4">
        <v>75.498599999999996</v>
      </c>
      <c r="B148" s="4">
        <v>27.123999999999999</v>
      </c>
      <c r="C148" s="3">
        <v>2016</v>
      </c>
      <c r="D148" s="3">
        <v>1</v>
      </c>
      <c r="E148" s="3">
        <v>28</v>
      </c>
      <c r="F148" s="3">
        <v>3.4</v>
      </c>
      <c r="G148" s="3" t="s">
        <v>2</v>
      </c>
      <c r="H148" s="2">
        <v>10</v>
      </c>
      <c r="I148" s="3">
        <v>22</v>
      </c>
      <c r="J148" s="3">
        <v>47</v>
      </c>
      <c r="K148" s="3" t="s">
        <v>10</v>
      </c>
    </row>
    <row r="149" spans="1:11" x14ac:dyDescent="0.3">
      <c r="A149" s="4">
        <v>72.191000000000003</v>
      </c>
      <c r="B149" s="4">
        <v>24.844999999999999</v>
      </c>
      <c r="C149" s="3">
        <v>2016</v>
      </c>
      <c r="D149" s="3">
        <v>2</v>
      </c>
      <c r="E149" s="3">
        <v>24</v>
      </c>
      <c r="F149" s="3">
        <v>3.3</v>
      </c>
      <c r="G149" s="3" t="s">
        <v>19</v>
      </c>
      <c r="H149" s="2">
        <v>10</v>
      </c>
      <c r="I149" s="3">
        <v>2</v>
      </c>
      <c r="J149" s="3">
        <v>6</v>
      </c>
      <c r="K149" s="3" t="s">
        <v>12</v>
      </c>
    </row>
    <row r="150" spans="1:11" x14ac:dyDescent="0.3">
      <c r="A150" s="4">
        <v>73.210999999999999</v>
      </c>
      <c r="B150" s="4">
        <v>25.81</v>
      </c>
      <c r="C150" s="3">
        <v>2016</v>
      </c>
      <c r="D150" s="3">
        <v>3</v>
      </c>
      <c r="E150" s="3">
        <v>18</v>
      </c>
      <c r="F150" s="3">
        <v>3.6</v>
      </c>
      <c r="G150" s="3" t="s">
        <v>19</v>
      </c>
      <c r="H150" s="2">
        <v>7.7</v>
      </c>
      <c r="I150" s="3">
        <v>3</v>
      </c>
      <c r="J150" s="3">
        <v>37</v>
      </c>
      <c r="K150" s="3" t="s">
        <v>12</v>
      </c>
    </row>
    <row r="151" spans="1:11" x14ac:dyDescent="0.3">
      <c r="A151" s="4">
        <v>75.200999999999993</v>
      </c>
      <c r="B151" s="4">
        <v>26.957799999999999</v>
      </c>
      <c r="C151" s="3">
        <v>2016</v>
      </c>
      <c r="D151" s="3">
        <v>4</v>
      </c>
      <c r="E151" s="3">
        <v>7</v>
      </c>
      <c r="F151" s="3">
        <v>3.3</v>
      </c>
      <c r="G151" s="3" t="s">
        <v>2</v>
      </c>
      <c r="H151" s="2">
        <v>10</v>
      </c>
      <c r="I151" s="3">
        <v>20</v>
      </c>
      <c r="J151" s="3">
        <v>3</v>
      </c>
      <c r="K151" s="3" t="s">
        <v>10</v>
      </c>
    </row>
    <row r="152" spans="1:11" x14ac:dyDescent="0.3">
      <c r="A152" s="4">
        <v>72.584999999999994</v>
      </c>
      <c r="B152" s="4">
        <v>24.361000000000001</v>
      </c>
      <c r="C152" s="3">
        <v>2016</v>
      </c>
      <c r="D152" s="3">
        <v>5</v>
      </c>
      <c r="E152" s="3">
        <v>12</v>
      </c>
      <c r="F152" s="3">
        <v>3.1</v>
      </c>
      <c r="G152" s="3" t="s">
        <v>19</v>
      </c>
      <c r="H152" s="2">
        <v>39.6</v>
      </c>
      <c r="I152" s="3">
        <v>16</v>
      </c>
      <c r="J152" s="3">
        <v>59</v>
      </c>
      <c r="K152" s="3" t="s">
        <v>12</v>
      </c>
    </row>
    <row r="153" spans="1:11" x14ac:dyDescent="0.3">
      <c r="A153" s="4">
        <v>72.540099999999995</v>
      </c>
      <c r="B153" s="4">
        <v>21.716000000000001</v>
      </c>
      <c r="C153" s="3">
        <v>2016</v>
      </c>
      <c r="D153" s="3">
        <v>7</v>
      </c>
      <c r="E153" s="3">
        <v>17</v>
      </c>
      <c r="F153" s="3">
        <v>4.0999999999999996</v>
      </c>
      <c r="G153" s="3" t="s">
        <v>2</v>
      </c>
      <c r="H153" s="2">
        <v>35</v>
      </c>
      <c r="I153" s="3">
        <v>3</v>
      </c>
      <c r="J153" s="3">
        <v>55</v>
      </c>
      <c r="K153" s="3" t="s">
        <v>10</v>
      </c>
    </row>
    <row r="154" spans="1:11" x14ac:dyDescent="0.3">
      <c r="A154" s="4">
        <v>74.510300000000001</v>
      </c>
      <c r="B154" s="4">
        <v>25.752500000000001</v>
      </c>
      <c r="C154" s="3">
        <v>2016</v>
      </c>
      <c r="D154" s="3">
        <v>12</v>
      </c>
      <c r="E154" s="3">
        <v>26</v>
      </c>
      <c r="F154" s="3">
        <v>3.3</v>
      </c>
      <c r="G154" s="3" t="s">
        <v>19</v>
      </c>
      <c r="H154" s="2">
        <v>10</v>
      </c>
      <c r="I154" s="3">
        <v>16</v>
      </c>
      <c r="J154" s="3">
        <v>17</v>
      </c>
      <c r="K154" s="3" t="s">
        <v>12</v>
      </c>
    </row>
    <row r="155" spans="1:11" x14ac:dyDescent="0.3">
      <c r="A155" s="4">
        <v>72.031000000000006</v>
      </c>
      <c r="B155" s="4">
        <v>24.653700000000001</v>
      </c>
      <c r="C155" s="3">
        <v>2017</v>
      </c>
      <c r="D155" s="3">
        <v>3</v>
      </c>
      <c r="E155" s="3">
        <v>13</v>
      </c>
      <c r="F155" s="3">
        <v>3.7</v>
      </c>
      <c r="G155" s="3" t="s">
        <v>2</v>
      </c>
      <c r="H155" s="2">
        <v>10</v>
      </c>
      <c r="I155" s="3">
        <v>10</v>
      </c>
      <c r="J155" s="3">
        <v>22</v>
      </c>
      <c r="K155" s="3" t="s">
        <v>10</v>
      </c>
    </row>
    <row r="156" spans="1:11" x14ac:dyDescent="0.3">
      <c r="A156" s="4">
        <v>77.128</v>
      </c>
      <c r="B156" s="4">
        <v>19.512</v>
      </c>
      <c r="C156" s="3">
        <v>2017</v>
      </c>
      <c r="D156" s="3">
        <v>8</v>
      </c>
      <c r="E156" s="3">
        <v>16</v>
      </c>
      <c r="F156" s="3">
        <v>3</v>
      </c>
      <c r="G156" s="3" t="s">
        <v>19</v>
      </c>
      <c r="H156" s="2">
        <v>10</v>
      </c>
      <c r="I156" s="3">
        <v>6</v>
      </c>
      <c r="J156" s="3">
        <v>35</v>
      </c>
      <c r="K156" s="3" t="s">
        <v>12</v>
      </c>
    </row>
    <row r="157" spans="1:11" x14ac:dyDescent="0.3">
      <c r="A157" s="4">
        <v>73.967600000000004</v>
      </c>
      <c r="B157" s="4">
        <v>26.1769</v>
      </c>
      <c r="C157" s="3">
        <v>2017</v>
      </c>
      <c r="D157" s="3">
        <v>11</v>
      </c>
      <c r="E157" s="3">
        <v>18</v>
      </c>
      <c r="F157" s="3">
        <v>3.9</v>
      </c>
      <c r="G157" s="3" t="s">
        <v>19</v>
      </c>
      <c r="H157" s="2">
        <v>10</v>
      </c>
      <c r="I157" s="3">
        <v>9</v>
      </c>
      <c r="J157" s="3">
        <v>51</v>
      </c>
      <c r="K157" s="3" t="s">
        <v>12</v>
      </c>
    </row>
    <row r="158" spans="1:11" x14ac:dyDescent="0.3">
      <c r="A158" s="4">
        <v>73.186000000000007</v>
      </c>
      <c r="B158" s="4">
        <v>19.795000000000002</v>
      </c>
      <c r="C158" s="3">
        <v>2017</v>
      </c>
      <c r="D158" s="3">
        <v>12</v>
      </c>
      <c r="E158" s="3">
        <v>25</v>
      </c>
      <c r="F158" s="3">
        <v>3</v>
      </c>
      <c r="G158" s="3" t="s">
        <v>19</v>
      </c>
      <c r="H158" s="2">
        <v>10</v>
      </c>
      <c r="I158" s="3">
        <v>4</v>
      </c>
      <c r="J158" s="3">
        <v>14</v>
      </c>
      <c r="K158" s="3" t="s">
        <v>12</v>
      </c>
    </row>
    <row r="159" spans="1:11" x14ac:dyDescent="0.3">
      <c r="A159" s="4">
        <v>73.27</v>
      </c>
      <c r="B159" s="4">
        <v>19.824999999999999</v>
      </c>
      <c r="C159" s="3">
        <v>2018</v>
      </c>
      <c r="D159" s="3">
        <v>1</v>
      </c>
      <c r="E159" s="3">
        <v>1</v>
      </c>
      <c r="F159" s="3">
        <v>3.5</v>
      </c>
      <c r="G159" s="3" t="s">
        <v>20</v>
      </c>
      <c r="H159" s="2">
        <v>10</v>
      </c>
      <c r="I159" s="3">
        <v>20</v>
      </c>
      <c r="J159" s="3">
        <v>51</v>
      </c>
      <c r="K159" s="3" t="s">
        <v>12</v>
      </c>
    </row>
    <row r="160" spans="1:11" x14ac:dyDescent="0.3">
      <c r="A160" s="4">
        <v>73.314099999999996</v>
      </c>
      <c r="B160" s="4">
        <v>21.6568</v>
      </c>
      <c r="C160" s="3">
        <v>2018</v>
      </c>
      <c r="D160" s="3">
        <v>4</v>
      </c>
      <c r="E160" s="3">
        <v>21</v>
      </c>
      <c r="F160" s="3">
        <v>3.8</v>
      </c>
      <c r="G160" s="3" t="s">
        <v>20</v>
      </c>
      <c r="H160" s="2">
        <v>10</v>
      </c>
      <c r="I160" s="3">
        <v>11</v>
      </c>
      <c r="J160" s="3">
        <v>26</v>
      </c>
      <c r="K160" s="3" t="s">
        <v>12</v>
      </c>
    </row>
    <row r="161" spans="1:11" x14ac:dyDescent="0.3">
      <c r="A161" s="4">
        <v>73.194000000000003</v>
      </c>
      <c r="B161" s="4">
        <v>19.138999999999999</v>
      </c>
      <c r="C161" s="3">
        <v>2018</v>
      </c>
      <c r="D161" s="3">
        <v>7</v>
      </c>
      <c r="E161" s="3">
        <v>13</v>
      </c>
      <c r="F161" s="3">
        <v>3.1</v>
      </c>
      <c r="G161" s="3" t="s">
        <v>20</v>
      </c>
      <c r="H161" s="2">
        <v>17.399999999999999</v>
      </c>
      <c r="I161" s="3">
        <v>16</v>
      </c>
      <c r="J161" s="3">
        <v>1</v>
      </c>
      <c r="K161" s="3" t="s">
        <v>12</v>
      </c>
    </row>
    <row r="162" spans="1:11" x14ac:dyDescent="0.3">
      <c r="A162" s="4">
        <v>77.566999999999993</v>
      </c>
      <c r="B162" s="4">
        <v>19.870999999999999</v>
      </c>
      <c r="C162" s="3">
        <v>2018</v>
      </c>
      <c r="D162" s="3">
        <v>11</v>
      </c>
      <c r="E162" s="3">
        <v>4</v>
      </c>
      <c r="F162" s="3">
        <v>3.1</v>
      </c>
      <c r="G162" s="3" t="s">
        <v>20</v>
      </c>
      <c r="H162" s="2">
        <v>10</v>
      </c>
      <c r="I162" s="3">
        <v>18</v>
      </c>
      <c r="J162" s="3">
        <v>52</v>
      </c>
      <c r="K162" s="3" t="s">
        <v>12</v>
      </c>
    </row>
    <row r="163" spans="1:11" x14ac:dyDescent="0.3">
      <c r="A163" s="4">
        <v>77.159000000000006</v>
      </c>
      <c r="B163" s="4">
        <v>19.873999999999999</v>
      </c>
      <c r="C163" s="3">
        <v>2018</v>
      </c>
      <c r="D163" s="3">
        <v>11</v>
      </c>
      <c r="E163" s="3">
        <v>10</v>
      </c>
      <c r="F163" s="3">
        <v>3.1</v>
      </c>
      <c r="G163" s="3" t="s">
        <v>20</v>
      </c>
      <c r="H163" s="2">
        <v>10</v>
      </c>
      <c r="I163" s="3">
        <v>0</v>
      </c>
      <c r="J163" s="3">
        <v>19</v>
      </c>
      <c r="K163" s="3" t="s">
        <v>12</v>
      </c>
    </row>
    <row r="164" spans="1:11" x14ac:dyDescent="0.3">
      <c r="A164" s="4">
        <v>72.731999999999999</v>
      </c>
      <c r="B164" s="4">
        <v>19.978000000000002</v>
      </c>
      <c r="C164" s="3">
        <v>2018</v>
      </c>
      <c r="D164" s="3">
        <v>11</v>
      </c>
      <c r="E164" s="3">
        <v>11</v>
      </c>
      <c r="F164" s="3">
        <v>3.1</v>
      </c>
      <c r="G164" s="3" t="s">
        <v>20</v>
      </c>
      <c r="H164" s="2">
        <v>10</v>
      </c>
      <c r="I164" s="3">
        <v>12</v>
      </c>
      <c r="J164" s="3">
        <v>55</v>
      </c>
      <c r="K164" s="3" t="s">
        <v>12</v>
      </c>
    </row>
    <row r="165" spans="1:11" x14ac:dyDescent="0.3">
      <c r="A165" s="4">
        <v>72.721000000000004</v>
      </c>
      <c r="B165" s="4">
        <v>19.907</v>
      </c>
      <c r="C165" s="3">
        <v>2018</v>
      </c>
      <c r="D165" s="3">
        <v>11</v>
      </c>
      <c r="E165" s="3">
        <v>24</v>
      </c>
      <c r="F165" s="3">
        <v>3.2</v>
      </c>
      <c r="G165" s="3" t="s">
        <v>20</v>
      </c>
      <c r="H165" s="2">
        <v>5</v>
      </c>
      <c r="I165" s="3">
        <v>9</v>
      </c>
      <c r="J165" s="3">
        <v>45</v>
      </c>
      <c r="K165" s="3" t="s">
        <v>12</v>
      </c>
    </row>
    <row r="166" spans="1:11" x14ac:dyDescent="0.3">
      <c r="A166" s="4">
        <v>72.872</v>
      </c>
      <c r="B166" s="4">
        <v>19.89</v>
      </c>
      <c r="C166" s="3">
        <v>2018</v>
      </c>
      <c r="D166" s="3">
        <v>12</v>
      </c>
      <c r="E166" s="3">
        <v>1</v>
      </c>
      <c r="F166" s="3">
        <v>3</v>
      </c>
      <c r="G166" s="3" t="s">
        <v>19</v>
      </c>
      <c r="H166" s="2">
        <v>5</v>
      </c>
      <c r="I166" s="3">
        <v>20</v>
      </c>
      <c r="J166" s="3">
        <v>35</v>
      </c>
      <c r="K166" s="3" t="s">
        <v>12</v>
      </c>
    </row>
    <row r="167" spans="1:11" x14ac:dyDescent="0.3">
      <c r="A167" s="4">
        <v>72.66</v>
      </c>
      <c r="B167" s="4">
        <v>19.919</v>
      </c>
      <c r="C167" s="3">
        <v>2018</v>
      </c>
      <c r="D167" s="3">
        <v>12</v>
      </c>
      <c r="E167" s="3">
        <v>4</v>
      </c>
      <c r="F167" s="3">
        <v>3</v>
      </c>
      <c r="G167" s="3" t="s">
        <v>19</v>
      </c>
      <c r="H167" s="2">
        <v>10</v>
      </c>
      <c r="I167" s="3">
        <v>15</v>
      </c>
      <c r="J167" s="3">
        <v>54</v>
      </c>
      <c r="K167" s="3" t="s">
        <v>12</v>
      </c>
    </row>
    <row r="168" spans="1:11" x14ac:dyDescent="0.3">
      <c r="A168" s="4">
        <v>72.832999999999998</v>
      </c>
      <c r="B168" s="4">
        <v>19.97</v>
      </c>
      <c r="C168" s="3">
        <v>2018</v>
      </c>
      <c r="D168" s="3">
        <v>12</v>
      </c>
      <c r="E168" s="3">
        <v>7</v>
      </c>
      <c r="F168" s="3">
        <v>3</v>
      </c>
      <c r="G168" s="3" t="s">
        <v>20</v>
      </c>
      <c r="H168" s="2">
        <v>10</v>
      </c>
      <c r="I168" s="3">
        <v>22</v>
      </c>
      <c r="J168" s="3">
        <v>18</v>
      </c>
      <c r="K168" s="3" t="s">
        <v>12</v>
      </c>
    </row>
    <row r="169" spans="1:11" x14ac:dyDescent="0.3">
      <c r="A169" s="4">
        <v>72.807000000000002</v>
      </c>
      <c r="B169" s="4">
        <v>19.995999999999999</v>
      </c>
      <c r="C169" s="3">
        <v>2018</v>
      </c>
      <c r="D169" s="3">
        <v>12</v>
      </c>
      <c r="E169" s="3">
        <v>14</v>
      </c>
      <c r="F169" s="3">
        <v>3.1</v>
      </c>
      <c r="G169" s="3" t="s">
        <v>20</v>
      </c>
      <c r="H169" s="2">
        <v>10</v>
      </c>
      <c r="I169" s="3">
        <v>10</v>
      </c>
      <c r="J169" s="3">
        <v>3</v>
      </c>
      <c r="K169" s="3" t="s">
        <v>12</v>
      </c>
    </row>
    <row r="170" spans="1:11" x14ac:dyDescent="0.3">
      <c r="A170" s="4">
        <v>72.691999999999993</v>
      </c>
      <c r="B170" s="4">
        <v>20.001999999999999</v>
      </c>
      <c r="C170" s="3">
        <v>2018</v>
      </c>
      <c r="D170" s="3">
        <v>12</v>
      </c>
      <c r="E170" s="3">
        <v>29</v>
      </c>
      <c r="F170" s="3">
        <v>3</v>
      </c>
      <c r="G170" s="3" t="s">
        <v>20</v>
      </c>
      <c r="H170" s="2">
        <v>19.899999999999999</v>
      </c>
      <c r="I170" s="3">
        <v>12</v>
      </c>
      <c r="J170" s="3">
        <v>59</v>
      </c>
      <c r="K170" s="3" t="s">
        <v>12</v>
      </c>
    </row>
    <row r="171" spans="1:11" x14ac:dyDescent="0.3">
      <c r="A171" s="4">
        <v>72.977000000000004</v>
      </c>
      <c r="B171" s="4">
        <v>20.009</v>
      </c>
      <c r="C171" s="3">
        <v>2019</v>
      </c>
      <c r="D171" s="3">
        <v>1</v>
      </c>
      <c r="E171" s="3">
        <v>20</v>
      </c>
      <c r="F171" s="3">
        <v>3.6</v>
      </c>
      <c r="G171" s="3" t="s">
        <v>20</v>
      </c>
      <c r="H171" s="2">
        <v>10</v>
      </c>
      <c r="I171" s="3">
        <v>13</v>
      </c>
      <c r="J171" s="3">
        <v>8</v>
      </c>
      <c r="K171" s="3" t="s">
        <v>12</v>
      </c>
    </row>
    <row r="172" spans="1:11" x14ac:dyDescent="0.3">
      <c r="A172" s="4">
        <v>72.712000000000003</v>
      </c>
      <c r="B172" s="4">
        <v>19.779</v>
      </c>
      <c r="C172" s="3">
        <v>2019</v>
      </c>
      <c r="D172" s="3">
        <v>1</v>
      </c>
      <c r="E172" s="3">
        <v>20</v>
      </c>
      <c r="F172" s="3">
        <v>3</v>
      </c>
      <c r="G172" s="3" t="s">
        <v>20</v>
      </c>
      <c r="H172" s="2">
        <v>7.7</v>
      </c>
      <c r="I172" s="3">
        <v>15</v>
      </c>
      <c r="J172" s="3">
        <v>29</v>
      </c>
      <c r="K172" s="3" t="s">
        <v>12</v>
      </c>
    </row>
    <row r="173" spans="1:11" x14ac:dyDescent="0.3">
      <c r="A173" s="4">
        <v>72.793999999999997</v>
      </c>
      <c r="B173" s="4">
        <v>19.904</v>
      </c>
      <c r="C173" s="3">
        <v>2019</v>
      </c>
      <c r="D173" s="3">
        <v>1</v>
      </c>
      <c r="E173" s="3">
        <v>24</v>
      </c>
      <c r="F173" s="3">
        <v>3.4</v>
      </c>
      <c r="G173" s="3" t="s">
        <v>20</v>
      </c>
      <c r="H173" s="2">
        <v>3.9</v>
      </c>
      <c r="I173" s="3">
        <v>3</v>
      </c>
      <c r="J173" s="3">
        <v>45</v>
      </c>
      <c r="K173" s="3" t="s">
        <v>12</v>
      </c>
    </row>
    <row r="174" spans="1:11" x14ac:dyDescent="0.3">
      <c r="A174" s="4">
        <v>72.816000000000003</v>
      </c>
      <c r="B174" s="4">
        <v>20.010000000000002</v>
      </c>
      <c r="C174" s="3">
        <v>2019</v>
      </c>
      <c r="D174" s="3">
        <v>2</v>
      </c>
      <c r="E174" s="3">
        <v>1</v>
      </c>
      <c r="F174" s="3">
        <v>3.4</v>
      </c>
      <c r="G174" s="3" t="s">
        <v>20</v>
      </c>
      <c r="H174" s="2">
        <v>16</v>
      </c>
      <c r="I174" s="3">
        <v>1</v>
      </c>
      <c r="J174" s="3">
        <v>28</v>
      </c>
      <c r="K174" s="3" t="s">
        <v>12</v>
      </c>
    </row>
    <row r="175" spans="1:11" x14ac:dyDescent="0.3">
      <c r="A175" s="4">
        <v>72.81</v>
      </c>
      <c r="B175" s="4">
        <v>20.016999999999999</v>
      </c>
      <c r="C175" s="3">
        <v>2019</v>
      </c>
      <c r="D175" s="3">
        <v>2</v>
      </c>
      <c r="E175" s="3">
        <v>1</v>
      </c>
      <c r="F175" s="3">
        <v>3.5</v>
      </c>
      <c r="G175" s="3" t="s">
        <v>20</v>
      </c>
      <c r="H175" s="2">
        <v>5</v>
      </c>
      <c r="I175" s="3">
        <v>4</v>
      </c>
      <c r="J175" s="3">
        <v>33</v>
      </c>
      <c r="K175" s="3" t="s">
        <v>12</v>
      </c>
    </row>
    <row r="176" spans="1:11" x14ac:dyDescent="0.3">
      <c r="A176" s="4">
        <v>72.751999999999995</v>
      </c>
      <c r="B176" s="4">
        <v>20.07</v>
      </c>
      <c r="C176" s="3">
        <v>2019</v>
      </c>
      <c r="D176" s="3">
        <v>2</v>
      </c>
      <c r="E176" s="3">
        <v>1</v>
      </c>
      <c r="F176" s="3">
        <v>3.1</v>
      </c>
      <c r="G176" s="3" t="s">
        <v>20</v>
      </c>
      <c r="H176" s="2">
        <v>14.2</v>
      </c>
      <c r="I176" s="3">
        <v>4</v>
      </c>
      <c r="J176" s="3">
        <v>59</v>
      </c>
      <c r="K176" s="3" t="s">
        <v>12</v>
      </c>
    </row>
    <row r="177" spans="1:11" x14ac:dyDescent="0.3">
      <c r="A177" s="4">
        <v>72.853999999999999</v>
      </c>
      <c r="B177" s="4">
        <v>19.978999999999999</v>
      </c>
      <c r="C177" s="3">
        <v>2019</v>
      </c>
      <c r="D177" s="3">
        <v>2</v>
      </c>
      <c r="E177" s="3">
        <v>1</v>
      </c>
      <c r="F177" s="3">
        <v>3.5</v>
      </c>
      <c r="G177" s="3" t="s">
        <v>20</v>
      </c>
      <c r="H177" s="2">
        <v>6.1</v>
      </c>
      <c r="I177" s="3">
        <v>8</v>
      </c>
      <c r="J177" s="3">
        <v>36</v>
      </c>
      <c r="K177" s="3" t="s">
        <v>12</v>
      </c>
    </row>
    <row r="178" spans="1:11" x14ac:dyDescent="0.3">
      <c r="A178" s="4">
        <v>72.756</v>
      </c>
      <c r="B178" s="4">
        <v>19.923999999999999</v>
      </c>
      <c r="C178" s="3">
        <v>2019</v>
      </c>
      <c r="D178" s="3">
        <v>2</v>
      </c>
      <c r="E178" s="3">
        <v>1</v>
      </c>
      <c r="F178" s="3">
        <v>3.7</v>
      </c>
      <c r="G178" s="3" t="s">
        <v>20</v>
      </c>
      <c r="H178" s="2">
        <v>9.4</v>
      </c>
      <c r="I178" s="3">
        <v>10</v>
      </c>
      <c r="J178" s="3">
        <v>23</v>
      </c>
      <c r="K178" s="3" t="s">
        <v>12</v>
      </c>
    </row>
    <row r="179" spans="1:11" x14ac:dyDescent="0.3">
      <c r="A179" s="4">
        <v>72.784000000000006</v>
      </c>
      <c r="B179" s="4">
        <v>19.989000000000001</v>
      </c>
      <c r="C179" s="3">
        <v>2019</v>
      </c>
      <c r="D179" s="3">
        <v>2</v>
      </c>
      <c r="E179" s="3">
        <v>1</v>
      </c>
      <c r="F179" s="3">
        <v>3.5</v>
      </c>
      <c r="G179" s="3" t="s">
        <v>20</v>
      </c>
      <c r="H179" s="2">
        <v>11.9</v>
      </c>
      <c r="I179" s="3">
        <v>11</v>
      </c>
      <c r="J179" s="3">
        <v>27</v>
      </c>
      <c r="K179" s="3" t="s">
        <v>12</v>
      </c>
    </row>
    <row r="180" spans="1:11" x14ac:dyDescent="0.3">
      <c r="A180" s="4">
        <v>72.802000000000007</v>
      </c>
      <c r="B180" s="4">
        <v>19.959</v>
      </c>
      <c r="C180" s="3">
        <v>2019</v>
      </c>
      <c r="D180" s="3">
        <v>2</v>
      </c>
      <c r="E180" s="3">
        <v>7</v>
      </c>
      <c r="F180" s="3">
        <v>3</v>
      </c>
      <c r="G180" s="3" t="s">
        <v>20</v>
      </c>
      <c r="H180" s="2">
        <v>10</v>
      </c>
      <c r="I180" s="3">
        <v>12</v>
      </c>
      <c r="J180" s="3">
        <v>49</v>
      </c>
      <c r="K180" s="3" t="s">
        <v>12</v>
      </c>
    </row>
    <row r="181" spans="1:11" x14ac:dyDescent="0.3">
      <c r="A181" s="4">
        <v>72.73</v>
      </c>
      <c r="B181" s="4">
        <v>19.946000000000002</v>
      </c>
      <c r="C181" s="3">
        <v>2019</v>
      </c>
      <c r="D181" s="3">
        <v>2</v>
      </c>
      <c r="E181" s="3">
        <v>12</v>
      </c>
      <c r="F181" s="3">
        <v>3.1</v>
      </c>
      <c r="G181" s="3" t="s">
        <v>20</v>
      </c>
      <c r="H181" s="2">
        <v>10</v>
      </c>
      <c r="I181" s="3">
        <v>22</v>
      </c>
      <c r="J181" s="3">
        <v>26</v>
      </c>
      <c r="K181" s="3" t="s">
        <v>12</v>
      </c>
    </row>
    <row r="182" spans="1:11" x14ac:dyDescent="0.3">
      <c r="A182" s="4">
        <v>72.816999999999993</v>
      </c>
      <c r="B182" s="4">
        <v>19.954999999999998</v>
      </c>
      <c r="C182" s="3">
        <v>2019</v>
      </c>
      <c r="D182" s="3">
        <v>2</v>
      </c>
      <c r="E182" s="3">
        <v>13</v>
      </c>
      <c r="F182" s="3">
        <v>3.3</v>
      </c>
      <c r="G182" s="3" t="s">
        <v>20</v>
      </c>
      <c r="H182" s="2">
        <v>10</v>
      </c>
      <c r="I182" s="3">
        <v>5</v>
      </c>
      <c r="J182" s="3">
        <v>14</v>
      </c>
      <c r="K182" s="3" t="s">
        <v>12</v>
      </c>
    </row>
    <row r="183" spans="1:11" x14ac:dyDescent="0.3">
      <c r="A183" s="4">
        <v>72.778999999999996</v>
      </c>
      <c r="B183" s="4">
        <v>19.945</v>
      </c>
      <c r="C183" s="3">
        <v>2019</v>
      </c>
      <c r="D183" s="3">
        <v>2</v>
      </c>
      <c r="E183" s="3">
        <v>13</v>
      </c>
      <c r="F183" s="3">
        <v>3.2</v>
      </c>
      <c r="G183" s="3" t="s">
        <v>20</v>
      </c>
      <c r="H183" s="2">
        <v>10</v>
      </c>
      <c r="I183" s="3">
        <v>7</v>
      </c>
      <c r="J183" s="3">
        <v>42</v>
      </c>
      <c r="K183" s="3" t="s">
        <v>12</v>
      </c>
    </row>
    <row r="184" spans="1:11" x14ac:dyDescent="0.3">
      <c r="A184" s="4">
        <v>72.820999999999998</v>
      </c>
      <c r="B184" s="4">
        <v>19.963999999999999</v>
      </c>
      <c r="C184" s="3">
        <v>2019</v>
      </c>
      <c r="D184" s="3">
        <v>2</v>
      </c>
      <c r="E184" s="3">
        <v>20</v>
      </c>
      <c r="F184" s="3">
        <v>3.2</v>
      </c>
      <c r="G184" s="3" t="s">
        <v>20</v>
      </c>
      <c r="H184" s="2">
        <v>10</v>
      </c>
      <c r="I184" s="3">
        <v>4</v>
      </c>
      <c r="J184" s="3">
        <v>43</v>
      </c>
      <c r="K184" s="3" t="s">
        <v>12</v>
      </c>
    </row>
    <row r="185" spans="1:11" x14ac:dyDescent="0.3">
      <c r="A185" s="4">
        <v>72.67</v>
      </c>
      <c r="B185" s="4">
        <v>19.943999999999999</v>
      </c>
      <c r="C185" s="3">
        <v>2019</v>
      </c>
      <c r="D185" s="3">
        <v>2</v>
      </c>
      <c r="E185" s="3">
        <v>20</v>
      </c>
      <c r="F185" s="3">
        <v>3.1</v>
      </c>
      <c r="G185" s="3" t="s">
        <v>20</v>
      </c>
      <c r="H185" s="2">
        <v>10</v>
      </c>
      <c r="I185" s="3">
        <v>7</v>
      </c>
      <c r="J185" s="3">
        <v>54</v>
      </c>
      <c r="K185" s="3" t="s">
        <v>12</v>
      </c>
    </row>
    <row r="186" spans="1:11" x14ac:dyDescent="0.3">
      <c r="A186" s="4">
        <v>72.820999999999998</v>
      </c>
      <c r="B186" s="4">
        <v>19.931000000000001</v>
      </c>
      <c r="C186" s="3">
        <v>2019</v>
      </c>
      <c r="D186" s="3">
        <v>2</v>
      </c>
      <c r="E186" s="3">
        <v>20</v>
      </c>
      <c r="F186" s="3">
        <v>3.7</v>
      </c>
      <c r="G186" s="3" t="s">
        <v>20</v>
      </c>
      <c r="H186" s="2">
        <v>10</v>
      </c>
      <c r="I186" s="3">
        <v>7</v>
      </c>
      <c r="J186" s="3">
        <v>58</v>
      </c>
      <c r="K186" s="3" t="s">
        <v>12</v>
      </c>
    </row>
    <row r="187" spans="1:11" x14ac:dyDescent="0.3">
      <c r="A187" s="4">
        <v>72.741</v>
      </c>
      <c r="B187" s="4">
        <v>19.956</v>
      </c>
      <c r="C187" s="3">
        <v>2019</v>
      </c>
      <c r="D187" s="3">
        <v>3</v>
      </c>
      <c r="E187" s="3">
        <v>1</v>
      </c>
      <c r="F187" s="3">
        <v>3</v>
      </c>
      <c r="G187" s="3" t="s">
        <v>19</v>
      </c>
      <c r="H187" s="2">
        <v>10</v>
      </c>
      <c r="I187" s="3">
        <v>5</v>
      </c>
      <c r="J187" s="3">
        <v>38</v>
      </c>
      <c r="K187" s="3" t="s">
        <v>12</v>
      </c>
    </row>
    <row r="188" spans="1:11" x14ac:dyDescent="0.3">
      <c r="A188" s="4">
        <v>72.793999999999997</v>
      </c>
      <c r="B188" s="4">
        <v>19.881399999999999</v>
      </c>
      <c r="C188" s="3">
        <v>2019</v>
      </c>
      <c r="D188" s="3">
        <v>3</v>
      </c>
      <c r="E188" s="3">
        <v>1</v>
      </c>
      <c r="F188" s="3">
        <v>3.9</v>
      </c>
      <c r="G188" s="3" t="s">
        <v>20</v>
      </c>
      <c r="H188" s="2">
        <v>0</v>
      </c>
      <c r="I188" s="3">
        <v>5</v>
      </c>
      <c r="J188" s="3">
        <v>44</v>
      </c>
      <c r="K188" s="3" t="s">
        <v>12</v>
      </c>
    </row>
    <row r="189" spans="1:11" x14ac:dyDescent="0.3">
      <c r="A189" s="4">
        <v>72.820999999999998</v>
      </c>
      <c r="B189" s="4">
        <v>19.975000000000001</v>
      </c>
      <c r="C189" s="3">
        <v>2019</v>
      </c>
      <c r="D189" s="3">
        <v>3</v>
      </c>
      <c r="E189" s="3">
        <v>10</v>
      </c>
      <c r="F189" s="3">
        <v>3.3</v>
      </c>
      <c r="G189" s="3" t="s">
        <v>20</v>
      </c>
      <c r="H189" s="2">
        <v>10</v>
      </c>
      <c r="I189" s="3">
        <v>19</v>
      </c>
      <c r="J189" s="3">
        <v>30</v>
      </c>
      <c r="K189" s="3" t="s">
        <v>12</v>
      </c>
    </row>
    <row r="190" spans="1:11" x14ac:dyDescent="0.3">
      <c r="A190" s="4">
        <v>72.956000000000003</v>
      </c>
      <c r="B190" s="4">
        <v>20.013999999999999</v>
      </c>
      <c r="C190" s="3">
        <v>2019</v>
      </c>
      <c r="D190" s="3">
        <v>3</v>
      </c>
      <c r="E190" s="3">
        <v>31</v>
      </c>
      <c r="F190" s="3">
        <v>3.1</v>
      </c>
      <c r="G190" s="3" t="s">
        <v>20</v>
      </c>
      <c r="H190" s="2">
        <v>5</v>
      </c>
      <c r="I190" s="3">
        <v>12</v>
      </c>
      <c r="J190" s="3">
        <v>21</v>
      </c>
      <c r="K190" s="3" t="s">
        <v>12</v>
      </c>
    </row>
    <row r="191" spans="1:11" x14ac:dyDescent="0.3">
      <c r="A191" s="4">
        <v>72.715000000000003</v>
      </c>
      <c r="B191" s="4">
        <v>20.355</v>
      </c>
      <c r="C191" s="3">
        <v>2019</v>
      </c>
      <c r="D191" s="3">
        <v>4</v>
      </c>
      <c r="E191" s="3">
        <v>2</v>
      </c>
      <c r="F191" s="3">
        <v>3.3</v>
      </c>
      <c r="G191" s="3" t="s">
        <v>20</v>
      </c>
      <c r="H191" s="2">
        <v>5</v>
      </c>
      <c r="I191" s="3">
        <v>8</v>
      </c>
      <c r="J191" s="3">
        <v>21</v>
      </c>
      <c r="K191" s="3" t="s">
        <v>12</v>
      </c>
    </row>
    <row r="192" spans="1:11" x14ac:dyDescent="0.3">
      <c r="A192" s="4">
        <v>72.277000000000001</v>
      </c>
      <c r="B192" s="4">
        <v>20.067</v>
      </c>
      <c r="C192" s="3">
        <v>2019</v>
      </c>
      <c r="D192" s="3">
        <v>4</v>
      </c>
      <c r="E192" s="3">
        <v>2</v>
      </c>
      <c r="F192" s="3">
        <v>3.5</v>
      </c>
      <c r="G192" s="3" t="s">
        <v>20</v>
      </c>
      <c r="H192" s="2">
        <v>5</v>
      </c>
      <c r="I192" s="3">
        <v>8</v>
      </c>
      <c r="J192" s="3">
        <v>32</v>
      </c>
      <c r="K192" s="3" t="s">
        <v>12</v>
      </c>
    </row>
    <row r="193" spans="1:11" x14ac:dyDescent="0.3">
      <c r="A193" s="4">
        <v>76.286000000000001</v>
      </c>
      <c r="B193" s="4">
        <v>21.350999999999999</v>
      </c>
      <c r="C193" s="3">
        <v>2019</v>
      </c>
      <c r="D193" s="3">
        <v>4</v>
      </c>
      <c r="E193" s="3">
        <v>8</v>
      </c>
      <c r="F193" s="3">
        <v>3.1</v>
      </c>
      <c r="G193" s="3" t="s">
        <v>20</v>
      </c>
      <c r="H193" s="2">
        <v>10</v>
      </c>
      <c r="I193" s="3">
        <v>14</v>
      </c>
      <c r="J193" s="3">
        <v>9</v>
      </c>
      <c r="K193" s="3" t="s">
        <v>12</v>
      </c>
    </row>
    <row r="194" spans="1:11" x14ac:dyDescent="0.3">
      <c r="A194" s="4">
        <v>72.978999999999999</v>
      </c>
      <c r="B194" s="4">
        <v>20.074999999999999</v>
      </c>
      <c r="C194" s="3">
        <v>2019</v>
      </c>
      <c r="D194" s="3">
        <v>5</v>
      </c>
      <c r="E194" s="3">
        <v>24</v>
      </c>
      <c r="F194" s="3">
        <v>3.1</v>
      </c>
      <c r="G194" s="3" t="s">
        <v>20</v>
      </c>
      <c r="H194" s="2">
        <v>3.4</v>
      </c>
      <c r="I194" s="3">
        <v>0</v>
      </c>
      <c r="J194" s="3">
        <v>11</v>
      </c>
      <c r="K194" s="3" t="s">
        <v>12</v>
      </c>
    </row>
    <row r="195" spans="1:11" x14ac:dyDescent="0.3">
      <c r="A195" s="4">
        <v>72.472999999999999</v>
      </c>
      <c r="B195" s="4">
        <v>19.797000000000001</v>
      </c>
      <c r="C195" s="3">
        <v>2019</v>
      </c>
      <c r="D195" s="3">
        <v>5</v>
      </c>
      <c r="E195" s="3">
        <v>30</v>
      </c>
      <c r="F195" s="3">
        <v>3</v>
      </c>
      <c r="G195" s="3" t="s">
        <v>20</v>
      </c>
      <c r="H195" s="2">
        <v>11.5</v>
      </c>
      <c r="I195" s="3">
        <v>5</v>
      </c>
      <c r="J195" s="3">
        <v>20</v>
      </c>
      <c r="K195" s="3" t="s">
        <v>12</v>
      </c>
    </row>
    <row r="196" spans="1:11" x14ac:dyDescent="0.3">
      <c r="A196" s="4">
        <v>72.856899999999996</v>
      </c>
      <c r="B196" s="4">
        <v>24.300899999999999</v>
      </c>
      <c r="C196" s="3">
        <v>2019</v>
      </c>
      <c r="D196" s="3">
        <v>6</v>
      </c>
      <c r="E196" s="3">
        <v>5</v>
      </c>
      <c r="F196" s="3">
        <v>4</v>
      </c>
      <c r="G196" s="3" t="s">
        <v>20</v>
      </c>
      <c r="H196" s="2">
        <v>0</v>
      </c>
      <c r="I196" s="3">
        <v>17</v>
      </c>
      <c r="J196" s="3">
        <v>1</v>
      </c>
      <c r="K196" s="3" t="s">
        <v>12</v>
      </c>
    </row>
    <row r="197" spans="1:11" x14ac:dyDescent="0.3">
      <c r="A197" s="4">
        <v>78.150999999999996</v>
      </c>
      <c r="B197" s="4">
        <v>19.847000000000001</v>
      </c>
      <c r="C197" s="3">
        <v>2019</v>
      </c>
      <c r="D197" s="3">
        <v>6</v>
      </c>
      <c r="E197" s="3">
        <v>21</v>
      </c>
      <c r="F197" s="3">
        <v>3.6</v>
      </c>
      <c r="G197" s="3" t="s">
        <v>20</v>
      </c>
      <c r="H197" s="2">
        <v>7</v>
      </c>
      <c r="I197" s="3">
        <v>15</v>
      </c>
      <c r="J197" s="3">
        <v>42</v>
      </c>
      <c r="K197" s="3" t="s">
        <v>12</v>
      </c>
    </row>
    <row r="198" spans="1:11" x14ac:dyDescent="0.3">
      <c r="A198" s="4">
        <v>75.248000000000005</v>
      </c>
      <c r="B198" s="4">
        <v>26.952000000000002</v>
      </c>
      <c r="C198" s="3">
        <v>2019</v>
      </c>
      <c r="D198" s="3">
        <v>7</v>
      </c>
      <c r="E198" s="3">
        <v>3</v>
      </c>
      <c r="F198" s="3">
        <v>3.4</v>
      </c>
      <c r="G198" s="3" t="s">
        <v>20</v>
      </c>
      <c r="H198" s="2">
        <v>15.2</v>
      </c>
      <c r="I198" s="3">
        <v>15</v>
      </c>
      <c r="J198" s="3">
        <v>29</v>
      </c>
      <c r="K198" s="3" t="s">
        <v>12</v>
      </c>
    </row>
    <row r="199" spans="1:11" x14ac:dyDescent="0.3">
      <c r="A199" s="4">
        <v>72.953000000000003</v>
      </c>
      <c r="B199" s="4">
        <v>19.975999999999999</v>
      </c>
      <c r="C199" s="3">
        <v>2019</v>
      </c>
      <c r="D199" s="3">
        <v>7</v>
      </c>
      <c r="E199" s="3">
        <v>20</v>
      </c>
      <c r="F199" s="3">
        <v>3.4</v>
      </c>
      <c r="G199" s="3" t="s">
        <v>20</v>
      </c>
      <c r="H199" s="2">
        <v>10</v>
      </c>
      <c r="I199" s="3">
        <v>3</v>
      </c>
      <c r="J199" s="3">
        <v>47</v>
      </c>
      <c r="K199" s="3" t="s">
        <v>12</v>
      </c>
    </row>
    <row r="200" spans="1:11" x14ac:dyDescent="0.3">
      <c r="A200" s="4">
        <v>73.113</v>
      </c>
      <c r="B200" s="4">
        <v>19.896999999999998</v>
      </c>
      <c r="C200" s="3">
        <v>2019</v>
      </c>
      <c r="D200" s="3">
        <v>7</v>
      </c>
      <c r="E200" s="3">
        <v>24</v>
      </c>
      <c r="F200" s="3">
        <v>3</v>
      </c>
      <c r="G200" s="3" t="s">
        <v>20</v>
      </c>
      <c r="H200" s="2">
        <v>21.9</v>
      </c>
      <c r="I200" s="3">
        <v>0</v>
      </c>
      <c r="J200" s="3">
        <v>34</v>
      </c>
      <c r="K200" s="3" t="s">
        <v>12</v>
      </c>
    </row>
    <row r="201" spans="1:11" x14ac:dyDescent="0.3">
      <c r="A201" s="4">
        <v>72.507999999999996</v>
      </c>
      <c r="B201" s="4">
        <v>19.577999999999999</v>
      </c>
      <c r="C201" s="3">
        <v>2019</v>
      </c>
      <c r="D201" s="3">
        <v>7</v>
      </c>
      <c r="E201" s="3">
        <v>24</v>
      </c>
      <c r="F201" s="3">
        <v>3.9</v>
      </c>
      <c r="G201" s="3" t="s">
        <v>20</v>
      </c>
      <c r="H201" s="2">
        <v>10</v>
      </c>
      <c r="I201" s="3">
        <v>19</v>
      </c>
      <c r="J201" s="3">
        <v>33</v>
      </c>
      <c r="K201" s="3" t="s">
        <v>12</v>
      </c>
    </row>
    <row r="202" spans="1:11" x14ac:dyDescent="0.3">
      <c r="A202" s="4">
        <v>72.884900000000002</v>
      </c>
      <c r="B202" s="4">
        <v>20.007300000000001</v>
      </c>
      <c r="C202" s="3">
        <v>2019</v>
      </c>
      <c r="D202" s="3">
        <v>7</v>
      </c>
      <c r="E202" s="3">
        <v>24</v>
      </c>
      <c r="F202" s="3">
        <v>3.6</v>
      </c>
      <c r="G202" s="3" t="s">
        <v>20</v>
      </c>
      <c r="H202" s="2">
        <v>0</v>
      </c>
      <c r="I202" s="3">
        <v>19</v>
      </c>
      <c r="J202" s="3">
        <v>45</v>
      </c>
      <c r="K202" s="3" t="s">
        <v>12</v>
      </c>
    </row>
    <row r="203" spans="1:11" x14ac:dyDescent="0.3">
      <c r="A203" s="4">
        <v>72.864999999999995</v>
      </c>
      <c r="B203" s="4">
        <v>19.954999999999998</v>
      </c>
      <c r="C203" s="3">
        <v>2019</v>
      </c>
      <c r="D203" s="3">
        <v>7</v>
      </c>
      <c r="E203" s="3">
        <v>31</v>
      </c>
      <c r="F203" s="3">
        <v>3</v>
      </c>
      <c r="G203" s="3" t="s">
        <v>20</v>
      </c>
      <c r="H203" s="2">
        <v>10.6</v>
      </c>
      <c r="I203" s="3">
        <v>14</v>
      </c>
      <c r="J203" s="3">
        <v>50</v>
      </c>
      <c r="K203" s="3" t="s">
        <v>12</v>
      </c>
    </row>
    <row r="204" spans="1:11" x14ac:dyDescent="0.3">
      <c r="A204" s="4">
        <v>72.293999999999997</v>
      </c>
      <c r="B204" s="4">
        <v>19.88</v>
      </c>
      <c r="C204" s="3">
        <v>2019</v>
      </c>
      <c r="D204" s="3">
        <v>8</v>
      </c>
      <c r="E204" s="3">
        <v>13</v>
      </c>
      <c r="F204" s="3">
        <v>3.5</v>
      </c>
      <c r="G204" s="3" t="s">
        <v>20</v>
      </c>
      <c r="H204" s="2">
        <v>15.1</v>
      </c>
      <c r="I204" s="3">
        <v>0</v>
      </c>
      <c r="J204" s="3">
        <v>8</v>
      </c>
      <c r="K204" s="3" t="s">
        <v>12</v>
      </c>
    </row>
    <row r="205" spans="1:11" x14ac:dyDescent="0.3">
      <c r="A205" s="4">
        <v>73.036000000000001</v>
      </c>
      <c r="B205" s="4">
        <v>19.7</v>
      </c>
      <c r="C205" s="3">
        <v>2019</v>
      </c>
      <c r="D205" s="3">
        <v>9</v>
      </c>
      <c r="E205" s="3">
        <v>20</v>
      </c>
      <c r="F205" s="3">
        <v>3.5</v>
      </c>
      <c r="G205" s="3" t="s">
        <v>20</v>
      </c>
      <c r="H205" s="2">
        <v>3.8</v>
      </c>
      <c r="I205" s="3">
        <v>11</v>
      </c>
      <c r="J205" s="3">
        <v>2</v>
      </c>
      <c r="K205" s="3" t="s">
        <v>12</v>
      </c>
    </row>
    <row r="206" spans="1:11" x14ac:dyDescent="0.3">
      <c r="A206" s="4">
        <v>72.8</v>
      </c>
      <c r="B206" s="4">
        <v>19.975000000000001</v>
      </c>
      <c r="C206" s="3">
        <v>2019</v>
      </c>
      <c r="D206" s="3">
        <v>9</v>
      </c>
      <c r="E206" s="3">
        <v>21</v>
      </c>
      <c r="F206" s="3">
        <v>3.2</v>
      </c>
      <c r="G206" s="3" t="s">
        <v>20</v>
      </c>
      <c r="H206" s="2">
        <v>14.2</v>
      </c>
      <c r="I206" s="3">
        <v>17</v>
      </c>
      <c r="J206" s="3">
        <v>0</v>
      </c>
      <c r="K206" s="3" t="s">
        <v>12</v>
      </c>
    </row>
    <row r="207" spans="1:11" x14ac:dyDescent="0.3">
      <c r="A207" s="4">
        <v>72.753</v>
      </c>
      <c r="B207" s="4">
        <v>19.890999999999998</v>
      </c>
      <c r="C207" s="3">
        <v>2019</v>
      </c>
      <c r="D207" s="3">
        <v>9</v>
      </c>
      <c r="E207" s="3">
        <v>22</v>
      </c>
      <c r="F207" s="3">
        <v>3.7</v>
      </c>
      <c r="G207" s="3" t="s">
        <v>20</v>
      </c>
      <c r="H207" s="2">
        <v>10.8</v>
      </c>
      <c r="I207" s="3">
        <v>7</v>
      </c>
      <c r="J207" s="3">
        <v>17</v>
      </c>
      <c r="K207" s="3" t="s">
        <v>12</v>
      </c>
    </row>
    <row r="208" spans="1:11" x14ac:dyDescent="0.3">
      <c r="A208" s="4">
        <v>72.653999999999996</v>
      </c>
      <c r="B208" s="4">
        <v>19.946999999999999</v>
      </c>
      <c r="C208" s="3">
        <v>2019</v>
      </c>
      <c r="D208" s="3">
        <v>9</v>
      </c>
      <c r="E208" s="3">
        <v>24</v>
      </c>
      <c r="F208" s="3">
        <v>3</v>
      </c>
      <c r="G208" s="3" t="s">
        <v>19</v>
      </c>
      <c r="H208" s="2">
        <v>10</v>
      </c>
      <c r="I208" s="3">
        <v>8</v>
      </c>
      <c r="J208" s="3">
        <v>47</v>
      </c>
      <c r="K208" s="3" t="s">
        <v>12</v>
      </c>
    </row>
    <row r="209" spans="1:11" x14ac:dyDescent="0.3">
      <c r="A209" s="4">
        <v>71.989000000000004</v>
      </c>
      <c r="B209" s="4">
        <v>20.045000000000002</v>
      </c>
      <c r="C209" s="3">
        <v>2019</v>
      </c>
      <c r="D209" s="3">
        <v>10</v>
      </c>
      <c r="E209" s="3">
        <v>29</v>
      </c>
      <c r="F209" s="3">
        <v>3.4</v>
      </c>
      <c r="G209" s="3" t="s">
        <v>20</v>
      </c>
      <c r="H209" s="2">
        <v>20.6</v>
      </c>
      <c r="I209" s="3">
        <v>21</v>
      </c>
      <c r="J209" s="3">
        <v>47</v>
      </c>
      <c r="K209" s="3" t="s">
        <v>12</v>
      </c>
    </row>
    <row r="210" spans="1:11" x14ac:dyDescent="0.3">
      <c r="A210" s="4">
        <v>72.802999999999997</v>
      </c>
      <c r="B210" s="4">
        <v>20.016999999999999</v>
      </c>
      <c r="C210" s="3">
        <v>2019</v>
      </c>
      <c r="D210" s="3">
        <v>11</v>
      </c>
      <c r="E210" s="3">
        <v>2</v>
      </c>
      <c r="F210" s="3">
        <v>3</v>
      </c>
      <c r="G210" s="3" t="s">
        <v>20</v>
      </c>
      <c r="H210" s="2">
        <v>18.399999999999999</v>
      </c>
      <c r="I210" s="3">
        <v>23</v>
      </c>
      <c r="J210" s="3">
        <v>9</v>
      </c>
      <c r="K210" s="3" t="s">
        <v>12</v>
      </c>
    </row>
    <row r="211" spans="1:11" x14ac:dyDescent="0.3">
      <c r="A211" s="4">
        <v>72.778999999999996</v>
      </c>
      <c r="B211" s="4">
        <v>19.974</v>
      </c>
      <c r="C211" s="3">
        <v>2019</v>
      </c>
      <c r="D211" s="3">
        <v>11</v>
      </c>
      <c r="E211" s="3">
        <v>19</v>
      </c>
      <c r="F211" s="3">
        <v>3.5</v>
      </c>
      <c r="G211" s="3" t="s">
        <v>20</v>
      </c>
      <c r="H211" s="2">
        <v>11.7</v>
      </c>
      <c r="I211" s="3">
        <v>20</v>
      </c>
      <c r="J211" s="3">
        <v>5</v>
      </c>
      <c r="K211" s="3" t="s">
        <v>12</v>
      </c>
    </row>
    <row r="212" spans="1:11" x14ac:dyDescent="0.3">
      <c r="A212" s="4">
        <v>72.822999999999993</v>
      </c>
      <c r="B212" s="4">
        <v>19.966000000000001</v>
      </c>
      <c r="C212" s="3">
        <v>2019</v>
      </c>
      <c r="D212" s="3">
        <v>11</v>
      </c>
      <c r="E212" s="3">
        <v>19</v>
      </c>
      <c r="F212" s="3">
        <v>3</v>
      </c>
      <c r="G212" s="3" t="s">
        <v>19</v>
      </c>
      <c r="H212" s="2">
        <v>13.7</v>
      </c>
      <c r="I212" s="3">
        <v>20</v>
      </c>
      <c r="J212" s="3">
        <v>26</v>
      </c>
      <c r="K212" s="3" t="s">
        <v>12</v>
      </c>
    </row>
    <row r="213" spans="1:11" x14ac:dyDescent="0.3">
      <c r="A213" s="4">
        <v>72.105000000000004</v>
      </c>
      <c r="B213" s="4">
        <v>19.795999999999999</v>
      </c>
      <c r="C213" s="3">
        <v>2019</v>
      </c>
      <c r="D213" s="3">
        <v>11</v>
      </c>
      <c r="E213" s="3">
        <v>21</v>
      </c>
      <c r="F213" s="3">
        <v>3.5</v>
      </c>
      <c r="G213" s="3" t="s">
        <v>20</v>
      </c>
      <c r="H213" s="2">
        <v>25</v>
      </c>
      <c r="I213" s="3">
        <v>1</v>
      </c>
      <c r="J213" s="3">
        <v>50</v>
      </c>
      <c r="K213" s="3" t="s">
        <v>12</v>
      </c>
    </row>
    <row r="214" spans="1:11" x14ac:dyDescent="0.3">
      <c r="A214" s="4">
        <v>72.846999999999994</v>
      </c>
      <c r="B214" s="4">
        <v>20.009</v>
      </c>
      <c r="C214" s="3">
        <v>2019</v>
      </c>
      <c r="D214" s="3">
        <v>11</v>
      </c>
      <c r="E214" s="3">
        <v>23</v>
      </c>
      <c r="F214" s="3">
        <v>3.4</v>
      </c>
      <c r="G214" s="3" t="s">
        <v>20</v>
      </c>
      <c r="H214" s="2">
        <v>10.9</v>
      </c>
      <c r="I214" s="3">
        <v>15</v>
      </c>
      <c r="J214" s="3">
        <v>10</v>
      </c>
      <c r="K214" s="3" t="s">
        <v>12</v>
      </c>
    </row>
    <row r="215" spans="1:11" x14ac:dyDescent="0.3">
      <c r="A215" s="4">
        <v>72.908000000000001</v>
      </c>
      <c r="B215" s="4">
        <v>20.343</v>
      </c>
      <c r="C215" s="3">
        <v>2019</v>
      </c>
      <c r="D215" s="3">
        <v>12</v>
      </c>
      <c r="E215" s="3">
        <v>13</v>
      </c>
      <c r="F215" s="3">
        <v>3.1</v>
      </c>
      <c r="G215" s="3" t="s">
        <v>20</v>
      </c>
      <c r="H215" s="2">
        <v>4.4000000000000004</v>
      </c>
      <c r="I215" s="3">
        <v>10</v>
      </c>
      <c r="J215" s="3">
        <v>26</v>
      </c>
      <c r="K215" s="3" t="s">
        <v>12</v>
      </c>
    </row>
    <row r="216" spans="1:11" x14ac:dyDescent="0.3">
      <c r="A216" s="4">
        <v>72.914000000000001</v>
      </c>
      <c r="B216" s="4">
        <v>20.045999999999999</v>
      </c>
      <c r="C216" s="3">
        <v>2019</v>
      </c>
      <c r="D216" s="3">
        <v>12</v>
      </c>
      <c r="E216" s="3">
        <v>13</v>
      </c>
      <c r="F216" s="3">
        <v>3.5</v>
      </c>
      <c r="G216" s="3" t="s">
        <v>20</v>
      </c>
      <c r="H216" s="2">
        <v>19.100000000000001</v>
      </c>
      <c r="I216" s="3">
        <v>16</v>
      </c>
      <c r="J216" s="3">
        <v>25</v>
      </c>
      <c r="K216" s="3" t="s">
        <v>12</v>
      </c>
    </row>
    <row r="217" spans="1:11" x14ac:dyDescent="0.3">
      <c r="A217" s="4">
        <v>72.867000000000004</v>
      </c>
      <c r="B217" s="4">
        <v>20.062000000000001</v>
      </c>
      <c r="C217" s="3">
        <v>2019</v>
      </c>
      <c r="D217" s="3">
        <v>12</v>
      </c>
      <c r="E217" s="3">
        <v>13</v>
      </c>
      <c r="F217" s="3">
        <v>4</v>
      </c>
      <c r="G217" s="3" t="s">
        <v>20</v>
      </c>
      <c r="H217" s="2">
        <v>8.8000000000000007</v>
      </c>
      <c r="I217" s="3">
        <v>23</v>
      </c>
      <c r="J217" s="3">
        <v>52</v>
      </c>
      <c r="K217" s="3" t="s">
        <v>12</v>
      </c>
    </row>
    <row r="218" spans="1:11" x14ac:dyDescent="0.3">
      <c r="A218" s="4">
        <v>72.813000000000002</v>
      </c>
      <c r="B218" s="4">
        <v>20.329000000000001</v>
      </c>
      <c r="C218" s="3">
        <v>2019</v>
      </c>
      <c r="D218" s="3">
        <v>12</v>
      </c>
      <c r="E218" s="3">
        <v>26</v>
      </c>
      <c r="F218" s="3">
        <v>3.1</v>
      </c>
      <c r="G218" s="3" t="s">
        <v>20</v>
      </c>
      <c r="H218" s="2">
        <v>10.3</v>
      </c>
      <c r="I218" s="3">
        <v>23</v>
      </c>
      <c r="J218" s="3">
        <v>57</v>
      </c>
      <c r="K218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workbookViewId="0">
      <selection sqref="A1:K1048576"/>
    </sheetView>
  </sheetViews>
  <sheetFormatPr defaultRowHeight="14.4" x14ac:dyDescent="0.3"/>
  <cols>
    <col min="1" max="11" width="10.6640625" customWidth="1"/>
  </cols>
  <sheetData>
    <row r="1" spans="1:11" x14ac:dyDescent="0.3">
      <c r="A1" s="58" t="s">
        <v>61</v>
      </c>
      <c r="B1" s="58" t="s">
        <v>62</v>
      </c>
      <c r="C1" s="58" t="s">
        <v>31</v>
      </c>
      <c r="D1" s="58" t="s">
        <v>63</v>
      </c>
      <c r="E1" s="58" t="s">
        <v>64</v>
      </c>
      <c r="F1" s="58" t="s">
        <v>1</v>
      </c>
      <c r="G1" s="58" t="s">
        <v>5</v>
      </c>
      <c r="H1" s="58" t="s">
        <v>0</v>
      </c>
      <c r="I1" s="58" t="s">
        <v>65</v>
      </c>
      <c r="J1" s="58" t="s">
        <v>66</v>
      </c>
      <c r="K1" s="58" t="s">
        <v>67</v>
      </c>
    </row>
    <row r="2" spans="1:11" x14ac:dyDescent="0.3">
      <c r="A2" s="4">
        <v>79.634200000000007</v>
      </c>
      <c r="B2" s="4">
        <v>22.140699999999999</v>
      </c>
      <c r="C2" s="3">
        <v>2020</v>
      </c>
      <c r="D2" s="3">
        <v>11</v>
      </c>
      <c r="E2" s="3">
        <v>21</v>
      </c>
      <c r="F2" s="3">
        <v>4.3</v>
      </c>
      <c r="G2" s="3" t="s">
        <v>2</v>
      </c>
      <c r="H2" s="3">
        <v>10</v>
      </c>
      <c r="I2" s="3">
        <v>20</v>
      </c>
      <c r="J2" s="3">
        <v>15</v>
      </c>
      <c r="K2" s="3" t="s">
        <v>25</v>
      </c>
    </row>
    <row r="3" spans="1:11" x14ac:dyDescent="0.3">
      <c r="A3" s="4">
        <v>73.218999999999994</v>
      </c>
      <c r="B3" s="4">
        <v>21.5017</v>
      </c>
      <c r="C3" s="3">
        <v>2020</v>
      </c>
      <c r="D3" s="3">
        <v>11</v>
      </c>
      <c r="E3" s="3">
        <v>7</v>
      </c>
      <c r="F3" s="3">
        <v>3.9</v>
      </c>
      <c r="G3" s="3" t="s">
        <v>2</v>
      </c>
      <c r="H3" s="3">
        <v>10</v>
      </c>
      <c r="I3" s="3">
        <v>10</v>
      </c>
      <c r="J3" s="3">
        <v>9</v>
      </c>
      <c r="K3" s="3" t="s">
        <v>25</v>
      </c>
    </row>
    <row r="4" spans="1:11" x14ac:dyDescent="0.3">
      <c r="A4" s="4">
        <v>70.992800000000003</v>
      </c>
      <c r="B4" s="4">
        <v>22.255800000000001</v>
      </c>
      <c r="C4" s="3">
        <v>2020</v>
      </c>
      <c r="D4" s="3">
        <v>7</v>
      </c>
      <c r="E4" s="3">
        <v>16</v>
      </c>
      <c r="F4" s="3">
        <v>4.0999999999999996</v>
      </c>
      <c r="G4" s="3" t="s">
        <v>2</v>
      </c>
      <c r="H4" s="3">
        <v>10</v>
      </c>
      <c r="I4" s="3">
        <v>2</v>
      </c>
      <c r="J4" s="3">
        <v>10</v>
      </c>
      <c r="K4" s="3" t="s">
        <v>25</v>
      </c>
    </row>
    <row r="5" spans="1:11" x14ac:dyDescent="0.3">
      <c r="A5" s="4">
        <v>73.172899999999998</v>
      </c>
      <c r="B5" s="4">
        <v>20.082899999999999</v>
      </c>
      <c r="C5" s="3">
        <v>2019</v>
      </c>
      <c r="D5" s="3">
        <v>12</v>
      </c>
      <c r="E5" s="3">
        <v>13</v>
      </c>
      <c r="F5" s="3">
        <v>4.3</v>
      </c>
      <c r="G5" s="3" t="s">
        <v>2</v>
      </c>
      <c r="H5" s="3">
        <v>10</v>
      </c>
      <c r="I5" s="3">
        <v>23</v>
      </c>
      <c r="J5" s="3">
        <v>52</v>
      </c>
      <c r="K5" s="3" t="s">
        <v>25</v>
      </c>
    </row>
    <row r="6" spans="1:11" x14ac:dyDescent="0.3">
      <c r="A6" s="4">
        <v>72.507999999999996</v>
      </c>
      <c r="B6" s="4">
        <v>19.577999999999999</v>
      </c>
      <c r="C6" s="3">
        <v>2019</v>
      </c>
      <c r="D6" s="3">
        <v>7</v>
      </c>
      <c r="E6" s="3">
        <v>24</v>
      </c>
      <c r="F6" s="3">
        <v>4.0999999999999996</v>
      </c>
      <c r="G6" s="3" t="s">
        <v>2</v>
      </c>
      <c r="H6" s="3">
        <v>10</v>
      </c>
      <c r="I6" s="3">
        <v>19</v>
      </c>
      <c r="J6" s="3">
        <v>33</v>
      </c>
      <c r="K6" s="3" t="s">
        <v>25</v>
      </c>
    </row>
    <row r="7" spans="1:11" x14ac:dyDescent="0.3">
      <c r="A7" s="4">
        <v>72.735699999999994</v>
      </c>
      <c r="B7" s="4">
        <v>24.536999999999999</v>
      </c>
      <c r="C7" s="3">
        <v>2019</v>
      </c>
      <c r="D7" s="3">
        <v>6</v>
      </c>
      <c r="E7" s="3">
        <v>5</v>
      </c>
      <c r="F7" s="3">
        <v>4</v>
      </c>
      <c r="G7" s="3" t="s">
        <v>2</v>
      </c>
      <c r="H7" s="3">
        <v>10</v>
      </c>
      <c r="I7" s="3">
        <v>17</v>
      </c>
      <c r="J7" s="3">
        <v>1</v>
      </c>
      <c r="K7" s="3" t="s">
        <v>25</v>
      </c>
    </row>
    <row r="8" spans="1:11" x14ac:dyDescent="0.3">
      <c r="A8" s="4">
        <v>72.894300000000001</v>
      </c>
      <c r="B8" s="4">
        <v>20.234400000000001</v>
      </c>
      <c r="C8" s="3">
        <v>2019</v>
      </c>
      <c r="D8" s="3">
        <v>3</v>
      </c>
      <c r="E8" s="3">
        <v>1</v>
      </c>
      <c r="F8" s="3">
        <v>4</v>
      </c>
      <c r="G8" s="3" t="s">
        <v>2</v>
      </c>
      <c r="H8" s="3">
        <v>10</v>
      </c>
      <c r="I8" s="3">
        <v>5</v>
      </c>
      <c r="J8" s="3">
        <v>44</v>
      </c>
      <c r="K8" s="3" t="s">
        <v>25</v>
      </c>
    </row>
    <row r="9" spans="1:11" x14ac:dyDescent="0.3">
      <c r="A9" s="4">
        <v>71.552599999999998</v>
      </c>
      <c r="B9" s="4">
        <v>21.427600000000002</v>
      </c>
      <c r="C9" s="3">
        <v>2016</v>
      </c>
      <c r="D9" s="3">
        <v>7</v>
      </c>
      <c r="E9" s="3">
        <v>17</v>
      </c>
      <c r="F9" s="3">
        <v>4.0999999999999996</v>
      </c>
      <c r="G9" s="3" t="s">
        <v>2</v>
      </c>
      <c r="H9" s="3">
        <v>10</v>
      </c>
      <c r="I9" s="3">
        <v>3</v>
      </c>
      <c r="J9" s="3">
        <v>54</v>
      </c>
      <c r="K9" s="3" t="s">
        <v>25</v>
      </c>
    </row>
    <row r="10" spans="1:11" x14ac:dyDescent="0.3">
      <c r="A10" s="4">
        <v>73.649000000000001</v>
      </c>
      <c r="B10" s="4">
        <v>25.23</v>
      </c>
      <c r="C10" s="3">
        <v>2010</v>
      </c>
      <c r="D10" s="3">
        <v>11</v>
      </c>
      <c r="E10" s="3">
        <v>9</v>
      </c>
      <c r="F10" s="3">
        <v>4.5999999999999996</v>
      </c>
      <c r="G10" s="3" t="s">
        <v>2</v>
      </c>
      <c r="H10" s="3">
        <v>13.5</v>
      </c>
      <c r="I10" s="3">
        <v>22</v>
      </c>
      <c r="J10" s="3">
        <v>46</v>
      </c>
      <c r="K10" s="3" t="s">
        <v>25</v>
      </c>
    </row>
    <row r="11" spans="1:11" x14ac:dyDescent="0.3">
      <c r="A11" s="4">
        <v>71.897999999999996</v>
      </c>
      <c r="B11" s="4">
        <v>23.625</v>
      </c>
      <c r="C11" s="3">
        <v>2010</v>
      </c>
      <c r="D11" s="3">
        <v>9</v>
      </c>
      <c r="E11" s="3">
        <v>2</v>
      </c>
      <c r="F11" s="3">
        <v>4</v>
      </c>
      <c r="G11" s="3" t="s">
        <v>2</v>
      </c>
      <c r="H11" s="3">
        <v>10</v>
      </c>
      <c r="I11" s="3">
        <v>3</v>
      </c>
      <c r="J11" s="3">
        <v>9</v>
      </c>
      <c r="K11" s="3" t="s">
        <v>25</v>
      </c>
    </row>
    <row r="12" spans="1:11" x14ac:dyDescent="0.3">
      <c r="A12" s="4">
        <v>75.331999999999994</v>
      </c>
      <c r="B12" s="4">
        <v>21.585000000000001</v>
      </c>
      <c r="C12" s="3">
        <v>2009</v>
      </c>
      <c r="D12" s="3">
        <v>1</v>
      </c>
      <c r="E12" s="3">
        <v>4</v>
      </c>
      <c r="F12" s="3">
        <v>4.0999999999999996</v>
      </c>
      <c r="G12" s="3" t="s">
        <v>2</v>
      </c>
      <c r="H12" s="3">
        <v>10</v>
      </c>
      <c r="I12" s="3">
        <v>5</v>
      </c>
      <c r="J12" s="3">
        <v>20</v>
      </c>
      <c r="K12" s="3" t="s">
        <v>25</v>
      </c>
    </row>
    <row r="13" spans="1:11" x14ac:dyDescent="0.3">
      <c r="A13" s="4">
        <v>76.153999999999996</v>
      </c>
      <c r="B13" s="4">
        <v>26.881</v>
      </c>
      <c r="C13" s="3">
        <v>2006</v>
      </c>
      <c r="D13" s="3">
        <v>12</v>
      </c>
      <c r="E13" s="3">
        <v>24</v>
      </c>
      <c r="F13" s="3">
        <v>4.2</v>
      </c>
      <c r="G13" s="3" t="s">
        <v>2</v>
      </c>
      <c r="H13" s="3">
        <v>10</v>
      </c>
      <c r="I13" s="3">
        <v>22</v>
      </c>
      <c r="J13" s="3">
        <v>43</v>
      </c>
      <c r="K13" s="3" t="s">
        <v>25</v>
      </c>
    </row>
    <row r="14" spans="1:11" x14ac:dyDescent="0.3">
      <c r="A14" s="4">
        <v>71.569999999999993</v>
      </c>
      <c r="B14" s="4">
        <v>23.905000000000001</v>
      </c>
      <c r="C14" s="3">
        <v>2004</v>
      </c>
      <c r="D14" s="3">
        <v>7</v>
      </c>
      <c r="E14" s="3">
        <v>17</v>
      </c>
      <c r="F14" s="3">
        <v>3.8</v>
      </c>
      <c r="G14" s="3" t="s">
        <v>2</v>
      </c>
      <c r="H14" s="3">
        <v>10</v>
      </c>
      <c r="I14" s="3">
        <v>18</v>
      </c>
      <c r="J14" s="3">
        <v>21</v>
      </c>
      <c r="K14" s="3" t="s">
        <v>25</v>
      </c>
    </row>
    <row r="15" spans="1:11" x14ac:dyDescent="0.3">
      <c r="A15" s="4">
        <v>71.165000000000006</v>
      </c>
      <c r="B15" s="4">
        <v>23.222999999999999</v>
      </c>
      <c r="C15" s="3">
        <v>2001</v>
      </c>
      <c r="D15" s="3">
        <v>1</v>
      </c>
      <c r="E15" s="3">
        <v>26</v>
      </c>
      <c r="F15" s="3">
        <v>4.7</v>
      </c>
      <c r="G15" s="3" t="s">
        <v>2</v>
      </c>
      <c r="H15" s="3">
        <v>10</v>
      </c>
      <c r="I15" s="3">
        <v>8</v>
      </c>
      <c r="J15" s="3">
        <v>42</v>
      </c>
      <c r="K15" s="3" t="s">
        <v>25</v>
      </c>
    </row>
    <row r="16" spans="1:11" x14ac:dyDescent="0.3">
      <c r="A16" s="4">
        <v>80.3</v>
      </c>
      <c r="B16" s="4">
        <v>23.28</v>
      </c>
      <c r="C16" s="3">
        <v>2000</v>
      </c>
      <c r="D16" s="3">
        <v>10</v>
      </c>
      <c r="E16" s="3">
        <v>16</v>
      </c>
      <c r="F16" s="3">
        <v>4.7</v>
      </c>
      <c r="G16" s="3" t="s">
        <v>2</v>
      </c>
      <c r="H16" s="3">
        <v>33</v>
      </c>
      <c r="I16" s="3">
        <v>22</v>
      </c>
      <c r="J16" s="3">
        <v>33</v>
      </c>
      <c r="K16" s="3" t="s">
        <v>25</v>
      </c>
    </row>
    <row r="17" spans="1:11" x14ac:dyDescent="0.3">
      <c r="A17" s="4">
        <v>78.016000000000005</v>
      </c>
      <c r="B17" s="4">
        <v>22.486999999999998</v>
      </c>
      <c r="C17" s="3">
        <v>1998</v>
      </c>
      <c r="D17" s="3">
        <v>3</v>
      </c>
      <c r="E17" s="3">
        <v>9</v>
      </c>
      <c r="F17" s="3">
        <v>4.3</v>
      </c>
      <c r="G17" s="3" t="s">
        <v>2</v>
      </c>
      <c r="H17" s="3">
        <v>10</v>
      </c>
      <c r="I17" s="3">
        <v>7</v>
      </c>
      <c r="J17" s="3">
        <v>41</v>
      </c>
      <c r="K17" s="3" t="s">
        <v>25</v>
      </c>
    </row>
    <row r="18" spans="1:11" x14ac:dyDescent="0.3">
      <c r="A18" s="4">
        <v>79.974000000000004</v>
      </c>
      <c r="B18" s="4">
        <v>23.138999999999999</v>
      </c>
      <c r="C18" s="3">
        <v>1997</v>
      </c>
      <c r="D18" s="3">
        <v>6</v>
      </c>
      <c r="E18" s="3">
        <v>4</v>
      </c>
      <c r="F18" s="3">
        <v>3.9</v>
      </c>
      <c r="G18" s="3" t="s">
        <v>3</v>
      </c>
      <c r="H18" s="3">
        <v>33</v>
      </c>
      <c r="I18" s="3">
        <v>19</v>
      </c>
      <c r="J18" s="3">
        <v>29</v>
      </c>
      <c r="K18" s="3" t="s">
        <v>25</v>
      </c>
    </row>
    <row r="19" spans="1:11" x14ac:dyDescent="0.3">
      <c r="A19" s="4">
        <v>80.040999999999997</v>
      </c>
      <c r="B19" s="4">
        <v>23.082999999999998</v>
      </c>
      <c r="C19" s="3">
        <v>1997</v>
      </c>
      <c r="D19" s="3">
        <v>5</v>
      </c>
      <c r="E19" s="3">
        <v>21</v>
      </c>
      <c r="F19" s="3">
        <v>5.8</v>
      </c>
      <c r="G19" s="3" t="s">
        <v>4</v>
      </c>
      <c r="H19" s="3">
        <v>36</v>
      </c>
      <c r="I19" s="3">
        <v>22</v>
      </c>
      <c r="J19" s="3">
        <v>51</v>
      </c>
      <c r="K19" s="3" t="s">
        <v>25</v>
      </c>
    </row>
    <row r="20" spans="1:11" x14ac:dyDescent="0.3">
      <c r="A20" s="4">
        <v>73.042000000000002</v>
      </c>
      <c r="B20" s="4">
        <v>21.471</v>
      </c>
      <c r="C20" s="3">
        <v>1996</v>
      </c>
      <c r="D20" s="3">
        <v>11</v>
      </c>
      <c r="E20" s="3">
        <v>17</v>
      </c>
      <c r="F20" s="3">
        <v>4.2</v>
      </c>
      <c r="G20" s="3" t="s">
        <v>2</v>
      </c>
      <c r="H20" s="3">
        <v>10</v>
      </c>
      <c r="I20" s="3">
        <v>18</v>
      </c>
      <c r="J20" s="3">
        <v>12</v>
      </c>
      <c r="K20" s="3" t="s">
        <v>25</v>
      </c>
    </row>
    <row r="21" spans="1:11" x14ac:dyDescent="0.3">
      <c r="A21" s="4">
        <v>76.694999999999993</v>
      </c>
      <c r="B21" s="4">
        <v>18.300999999999998</v>
      </c>
      <c r="C21" s="3">
        <v>1996</v>
      </c>
      <c r="D21" s="3">
        <v>11</v>
      </c>
      <c r="E21" s="3">
        <v>10</v>
      </c>
      <c r="F21" s="3">
        <v>4.0999999999999996</v>
      </c>
      <c r="G21" s="3" t="s">
        <v>2</v>
      </c>
      <c r="H21" s="3">
        <v>33</v>
      </c>
      <c r="I21" s="3">
        <v>9</v>
      </c>
      <c r="J21" s="3">
        <v>0</v>
      </c>
      <c r="K21" s="3" t="s">
        <v>25</v>
      </c>
    </row>
    <row r="22" spans="1:11" x14ac:dyDescent="0.3">
      <c r="A22" s="4">
        <v>77.665999999999997</v>
      </c>
      <c r="B22" s="4">
        <v>22.173999999999999</v>
      </c>
      <c r="C22" s="3">
        <v>1996</v>
      </c>
      <c r="D22" s="3">
        <v>1</v>
      </c>
      <c r="E22" s="3">
        <v>10</v>
      </c>
      <c r="F22" s="3">
        <v>4</v>
      </c>
      <c r="G22" s="3" t="s">
        <v>2</v>
      </c>
      <c r="H22" s="3">
        <v>10</v>
      </c>
      <c r="I22" s="3">
        <v>10</v>
      </c>
      <c r="J22" s="3">
        <v>37</v>
      </c>
      <c r="K22" s="3" t="s">
        <v>25</v>
      </c>
    </row>
    <row r="23" spans="1:11" x14ac:dyDescent="0.3">
      <c r="A23" s="4">
        <v>78.566000000000003</v>
      </c>
      <c r="B23" s="4">
        <v>25.850999999999999</v>
      </c>
      <c r="C23" s="3">
        <v>1994</v>
      </c>
      <c r="D23" s="3">
        <v>8</v>
      </c>
      <c r="E23" s="3">
        <v>31</v>
      </c>
      <c r="F23" s="3">
        <v>4.7</v>
      </c>
      <c r="G23" s="3" t="s">
        <v>2</v>
      </c>
      <c r="H23" s="3">
        <v>33</v>
      </c>
      <c r="I23" s="3">
        <v>23</v>
      </c>
      <c r="J23" s="3">
        <v>29</v>
      </c>
      <c r="K23" s="3" t="s">
        <v>25</v>
      </c>
    </row>
    <row r="24" spans="1:11" x14ac:dyDescent="0.3">
      <c r="A24" s="4">
        <v>72.739999999999995</v>
      </c>
      <c r="B24" s="4">
        <v>21.117000000000001</v>
      </c>
      <c r="C24" s="3">
        <v>1993</v>
      </c>
      <c r="D24" s="3">
        <v>12</v>
      </c>
      <c r="E24" s="3">
        <v>31</v>
      </c>
      <c r="F24" s="3">
        <v>3.8</v>
      </c>
      <c r="G24" s="3" t="s">
        <v>2</v>
      </c>
      <c r="H24" s="3">
        <v>33</v>
      </c>
      <c r="I24" s="3">
        <v>13</v>
      </c>
      <c r="J24" s="3">
        <v>32</v>
      </c>
      <c r="K24" s="3" t="s">
        <v>25</v>
      </c>
    </row>
    <row r="25" spans="1:11" x14ac:dyDescent="0.3">
      <c r="A25" s="4">
        <v>79.259</v>
      </c>
      <c r="B25" s="4">
        <v>22.346</v>
      </c>
      <c r="C25" s="3">
        <v>1987</v>
      </c>
      <c r="D25" s="3">
        <v>4</v>
      </c>
      <c r="E25" s="3">
        <v>18</v>
      </c>
      <c r="F25" s="3">
        <v>4.9000000000000004</v>
      </c>
      <c r="G25" s="3" t="s">
        <v>2</v>
      </c>
      <c r="H25" s="3">
        <v>33</v>
      </c>
      <c r="I25" s="3">
        <v>16</v>
      </c>
      <c r="J25" s="3">
        <v>59</v>
      </c>
      <c r="K25" s="3" t="s">
        <v>25</v>
      </c>
    </row>
    <row r="26" spans="1:11" x14ac:dyDescent="0.3">
      <c r="A26" s="4">
        <v>73.722999999999999</v>
      </c>
      <c r="B26" s="4">
        <v>20.481999999999999</v>
      </c>
      <c r="C26" s="3">
        <v>1986</v>
      </c>
      <c r="D26" s="3">
        <v>2</v>
      </c>
      <c r="E26" s="3">
        <v>26</v>
      </c>
      <c r="F26" s="3">
        <v>4.3</v>
      </c>
      <c r="G26" s="3" t="s">
        <v>2</v>
      </c>
      <c r="H26" s="3">
        <v>33</v>
      </c>
      <c r="I26" s="3">
        <v>12</v>
      </c>
      <c r="J26" s="3">
        <v>47</v>
      </c>
      <c r="K26" s="3" t="s">
        <v>25</v>
      </c>
    </row>
    <row r="27" spans="1:11" x14ac:dyDescent="0.3">
      <c r="A27" s="4">
        <v>73.760000000000005</v>
      </c>
      <c r="B27" s="4">
        <v>19.693999999999999</v>
      </c>
      <c r="C27" s="3">
        <v>1983</v>
      </c>
      <c r="D27" s="3">
        <v>9</v>
      </c>
      <c r="E27" s="3">
        <v>14</v>
      </c>
      <c r="F27" s="3">
        <v>4.5</v>
      </c>
      <c r="G27" s="3" t="s">
        <v>2</v>
      </c>
      <c r="H27" s="3">
        <v>33</v>
      </c>
      <c r="I27" s="3">
        <v>21</v>
      </c>
      <c r="J27" s="3">
        <v>53</v>
      </c>
      <c r="K27" s="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5"/>
  <sheetViews>
    <sheetView workbookViewId="0">
      <selection sqref="A1:K1048576"/>
    </sheetView>
  </sheetViews>
  <sheetFormatPr defaultRowHeight="14.4" x14ac:dyDescent="0.3"/>
  <cols>
    <col min="1" max="11" width="10.6640625" customWidth="1"/>
  </cols>
  <sheetData>
    <row r="1" spans="1:11" x14ac:dyDescent="0.3">
      <c r="A1" s="58" t="s">
        <v>61</v>
      </c>
      <c r="B1" s="58" t="s">
        <v>62</v>
      </c>
      <c r="C1" s="58" t="s">
        <v>31</v>
      </c>
      <c r="D1" s="58" t="s">
        <v>63</v>
      </c>
      <c r="E1" s="58" t="s">
        <v>64</v>
      </c>
      <c r="F1" s="58" t="s">
        <v>1</v>
      </c>
      <c r="G1" s="58" t="s">
        <v>5</v>
      </c>
      <c r="H1" s="58" t="s">
        <v>0</v>
      </c>
      <c r="I1" s="58" t="s">
        <v>65</v>
      </c>
      <c r="J1" s="58" t="s">
        <v>66</v>
      </c>
      <c r="K1" s="58" t="s">
        <v>67</v>
      </c>
    </row>
    <row r="2" spans="1:11" x14ac:dyDescent="0.3">
      <c r="A2" s="4">
        <v>79.3</v>
      </c>
      <c r="B2" s="4">
        <v>23.5</v>
      </c>
      <c r="C2" s="3">
        <v>1846</v>
      </c>
      <c r="D2" s="3">
        <v>5</v>
      </c>
      <c r="E2" s="3">
        <v>27</v>
      </c>
      <c r="F2" s="3">
        <v>6.5</v>
      </c>
      <c r="G2" s="3" t="s">
        <v>26</v>
      </c>
      <c r="H2" s="3">
        <v>0</v>
      </c>
      <c r="I2" s="3">
        <v>5</v>
      </c>
      <c r="J2" s="3">
        <v>53</v>
      </c>
      <c r="K2" s="3" t="s">
        <v>27</v>
      </c>
    </row>
    <row r="3" spans="1:11" x14ac:dyDescent="0.3">
      <c r="A3" s="4">
        <v>75</v>
      </c>
      <c r="B3" s="4">
        <v>21.4</v>
      </c>
      <c r="C3" s="3">
        <v>1847</v>
      </c>
      <c r="D3" s="3">
        <v>5</v>
      </c>
      <c r="E3" s="3">
        <v>27</v>
      </c>
      <c r="F3" s="3">
        <v>6.5</v>
      </c>
      <c r="G3" s="3" t="s">
        <v>26</v>
      </c>
      <c r="H3" s="3">
        <v>0</v>
      </c>
      <c r="I3" s="3">
        <v>5</v>
      </c>
      <c r="J3" s="3">
        <v>53</v>
      </c>
      <c r="K3" s="3" t="s">
        <v>27</v>
      </c>
    </row>
    <row r="4" spans="1:11" x14ac:dyDescent="0.3">
      <c r="A4" s="4">
        <v>72.7</v>
      </c>
      <c r="B4" s="4">
        <v>24.4</v>
      </c>
      <c r="C4" s="3">
        <v>1848</v>
      </c>
      <c r="D4" s="3">
        <v>4</v>
      </c>
      <c r="E4" s="3">
        <v>26</v>
      </c>
      <c r="F4" s="3">
        <v>6</v>
      </c>
      <c r="G4" s="3" t="s">
        <v>26</v>
      </c>
      <c r="H4" s="3">
        <v>0</v>
      </c>
      <c r="I4" s="3">
        <v>5</v>
      </c>
      <c r="J4" s="3">
        <v>53</v>
      </c>
      <c r="K4" s="3" t="s">
        <v>27</v>
      </c>
    </row>
    <row r="5" spans="1:11" x14ac:dyDescent="0.3">
      <c r="A5" s="4">
        <v>73</v>
      </c>
      <c r="B5" s="4">
        <v>20</v>
      </c>
      <c r="C5" s="3">
        <v>1856</v>
      </c>
      <c r="D5" s="3">
        <v>12</v>
      </c>
      <c r="E5" s="3">
        <v>25</v>
      </c>
      <c r="F5" s="3">
        <v>5</v>
      </c>
      <c r="G5" s="3" t="s">
        <v>26</v>
      </c>
      <c r="H5" s="3">
        <v>0</v>
      </c>
      <c r="I5" s="3">
        <v>5</v>
      </c>
      <c r="J5" s="3">
        <v>53</v>
      </c>
      <c r="K5" s="3" t="s">
        <v>27</v>
      </c>
    </row>
    <row r="6" spans="1:11" x14ac:dyDescent="0.3">
      <c r="A6" s="4">
        <v>75</v>
      </c>
      <c r="B6" s="4">
        <v>22</v>
      </c>
      <c r="C6" s="3">
        <v>1863</v>
      </c>
      <c r="D6" s="3">
        <v>11</v>
      </c>
      <c r="E6" s="3">
        <v>18</v>
      </c>
      <c r="F6" s="3">
        <v>5</v>
      </c>
      <c r="G6" s="3" t="s">
        <v>26</v>
      </c>
      <c r="H6" s="3">
        <v>0</v>
      </c>
      <c r="I6" s="3">
        <v>5</v>
      </c>
      <c r="J6" s="3">
        <v>53</v>
      </c>
      <c r="K6" s="3" t="s">
        <v>27</v>
      </c>
    </row>
    <row r="7" spans="1:11" x14ac:dyDescent="0.3">
      <c r="A7" s="4">
        <v>73</v>
      </c>
      <c r="B7" s="4">
        <v>25</v>
      </c>
      <c r="C7" s="3">
        <v>1906</v>
      </c>
      <c r="D7" s="3">
        <v>8</v>
      </c>
      <c r="E7" s="3">
        <v>15</v>
      </c>
      <c r="F7" s="3">
        <v>5</v>
      </c>
      <c r="G7" s="3" t="s">
        <v>26</v>
      </c>
      <c r="H7" s="3">
        <v>0</v>
      </c>
      <c r="I7" s="3">
        <v>5</v>
      </c>
      <c r="J7" s="3">
        <v>30</v>
      </c>
      <c r="K7" s="3" t="s">
        <v>27</v>
      </c>
    </row>
    <row r="8" spans="1:11" x14ac:dyDescent="0.3">
      <c r="A8" s="4">
        <v>71.2</v>
      </c>
      <c r="B8" s="4">
        <v>21.7</v>
      </c>
      <c r="C8" s="3">
        <v>1919</v>
      </c>
      <c r="D8" s="3">
        <v>4</v>
      </c>
      <c r="E8" s="3">
        <v>21</v>
      </c>
      <c r="F8" s="3">
        <v>6</v>
      </c>
      <c r="G8" s="3" t="s">
        <v>26</v>
      </c>
      <c r="H8" s="3">
        <v>0</v>
      </c>
      <c r="I8" s="3">
        <v>9</v>
      </c>
      <c r="J8" s="3">
        <v>53</v>
      </c>
      <c r="K8" s="3" t="s">
        <v>27</v>
      </c>
    </row>
    <row r="9" spans="1:11" x14ac:dyDescent="0.3">
      <c r="A9" s="4">
        <v>77.5</v>
      </c>
      <c r="B9" s="4">
        <v>25</v>
      </c>
      <c r="C9" s="3">
        <v>1926</v>
      </c>
      <c r="D9" s="3">
        <v>12</v>
      </c>
      <c r="E9" s="3">
        <v>31</v>
      </c>
      <c r="F9" s="3">
        <v>5.5</v>
      </c>
      <c r="G9" s="3" t="s">
        <v>26</v>
      </c>
      <c r="H9" s="3">
        <v>0</v>
      </c>
      <c r="I9" s="3">
        <v>22</v>
      </c>
      <c r="J9" s="3">
        <v>23</v>
      </c>
      <c r="K9" s="3" t="s">
        <v>27</v>
      </c>
    </row>
    <row r="10" spans="1:11" x14ac:dyDescent="0.3">
      <c r="A10" s="4">
        <v>77.5</v>
      </c>
      <c r="B10" s="4">
        <v>25</v>
      </c>
      <c r="C10" s="3">
        <v>1929</v>
      </c>
      <c r="D10" s="3">
        <v>4</v>
      </c>
      <c r="E10" s="3">
        <v>11</v>
      </c>
      <c r="F10" s="3">
        <v>5.5</v>
      </c>
      <c r="G10" s="3" t="s">
        <v>26</v>
      </c>
      <c r="H10" s="3">
        <v>0</v>
      </c>
      <c r="I10" s="3">
        <v>5</v>
      </c>
      <c r="J10" s="3">
        <v>23</v>
      </c>
      <c r="K10" s="3" t="s">
        <v>27</v>
      </c>
    </row>
    <row r="11" spans="1:11" x14ac:dyDescent="0.3">
      <c r="A11" s="4">
        <v>77.5</v>
      </c>
      <c r="B11" s="4">
        <v>25</v>
      </c>
      <c r="C11" s="3">
        <v>1930</v>
      </c>
      <c r="D11" s="3">
        <v>6</v>
      </c>
      <c r="E11" s="3">
        <v>25</v>
      </c>
      <c r="F11" s="3">
        <v>5.5</v>
      </c>
      <c r="G11" s="3" t="s">
        <v>26</v>
      </c>
      <c r="H11" s="3">
        <v>0</v>
      </c>
      <c r="I11" s="3">
        <v>6</v>
      </c>
      <c r="J11" s="3">
        <v>19</v>
      </c>
      <c r="K11" s="3" t="s">
        <v>27</v>
      </c>
    </row>
    <row r="12" spans="1:11" x14ac:dyDescent="0.3">
      <c r="A12" s="4">
        <v>75</v>
      </c>
      <c r="B12" s="4">
        <v>21.6</v>
      </c>
      <c r="C12" s="3">
        <v>1938</v>
      </c>
      <c r="D12" s="3">
        <v>3</v>
      </c>
      <c r="E12" s="3">
        <v>14</v>
      </c>
      <c r="F12" s="3">
        <v>6.3</v>
      </c>
      <c r="G12" s="3" t="s">
        <v>26</v>
      </c>
      <c r="H12" s="3">
        <v>0</v>
      </c>
      <c r="I12" s="3">
        <v>6</v>
      </c>
      <c r="J12" s="3">
        <v>18</v>
      </c>
      <c r="K12" s="3" t="s">
        <v>27</v>
      </c>
    </row>
    <row r="13" spans="1:11" x14ac:dyDescent="0.3">
      <c r="A13" s="4">
        <v>73</v>
      </c>
      <c r="B13" s="4">
        <v>24.2</v>
      </c>
      <c r="C13" s="3">
        <v>1962</v>
      </c>
      <c r="D13" s="3">
        <v>9</v>
      </c>
      <c r="E13" s="3">
        <v>2</v>
      </c>
      <c r="F13" s="3">
        <v>5</v>
      </c>
      <c r="G13" s="3" t="s">
        <v>26</v>
      </c>
      <c r="H13" s="3">
        <v>0</v>
      </c>
      <c r="I13" s="3">
        <v>4</v>
      </c>
      <c r="J13" s="3">
        <v>21</v>
      </c>
      <c r="K13" s="3" t="s">
        <v>27</v>
      </c>
    </row>
    <row r="14" spans="1:11" x14ac:dyDescent="0.3">
      <c r="A14" s="4">
        <v>72.540000000000006</v>
      </c>
      <c r="B14" s="4">
        <v>24.76</v>
      </c>
      <c r="C14" s="3">
        <v>1969</v>
      </c>
      <c r="D14" s="3">
        <v>10</v>
      </c>
      <c r="E14" s="3">
        <v>24</v>
      </c>
      <c r="F14" s="3">
        <v>4.9000000000000004</v>
      </c>
      <c r="G14" s="3" t="s">
        <v>26</v>
      </c>
      <c r="H14" s="3">
        <v>31</v>
      </c>
      <c r="I14" s="3">
        <v>17</v>
      </c>
      <c r="J14" s="3">
        <v>15</v>
      </c>
      <c r="K14" s="3" t="s">
        <v>27</v>
      </c>
    </row>
    <row r="15" spans="1:11" x14ac:dyDescent="0.3">
      <c r="A15" s="4">
        <v>72.959999999999994</v>
      </c>
      <c r="B15" s="4">
        <v>21.6</v>
      </c>
      <c r="C15" s="3">
        <v>1970</v>
      </c>
      <c r="D15" s="3">
        <v>3</v>
      </c>
      <c r="E15" s="3">
        <v>23</v>
      </c>
      <c r="F15" s="3">
        <v>5.2</v>
      </c>
      <c r="G15" s="3" t="s">
        <v>26</v>
      </c>
      <c r="H15" s="3">
        <v>8</v>
      </c>
      <c r="I15" s="3">
        <v>7</v>
      </c>
      <c r="J15" s="3">
        <v>23</v>
      </c>
      <c r="K15" s="3" t="s">
        <v>27</v>
      </c>
    </row>
    <row r="16" spans="1:11" x14ac:dyDescent="0.3">
      <c r="A16" s="4">
        <v>73.540000000000006</v>
      </c>
      <c r="B16" s="4">
        <v>19.64</v>
      </c>
      <c r="C16" s="3">
        <v>1983</v>
      </c>
      <c r="D16" s="3">
        <v>9</v>
      </c>
      <c r="E16" s="3">
        <v>15</v>
      </c>
      <c r="F16" s="3">
        <v>4.3</v>
      </c>
      <c r="G16" s="3" t="s">
        <v>26</v>
      </c>
      <c r="H16" s="3">
        <v>33</v>
      </c>
      <c r="I16" s="3">
        <v>3</v>
      </c>
      <c r="J16" s="3">
        <v>23</v>
      </c>
      <c r="K16" s="3" t="s">
        <v>27</v>
      </c>
    </row>
    <row r="17" spans="1:11" x14ac:dyDescent="0.3">
      <c r="A17" s="4">
        <v>74.84</v>
      </c>
      <c r="B17" s="4">
        <v>24.33</v>
      </c>
      <c r="C17" s="3">
        <v>1984</v>
      </c>
      <c r="D17" s="3">
        <v>12</v>
      </c>
      <c r="E17" s="3">
        <v>9</v>
      </c>
      <c r="F17" s="3">
        <v>4.3</v>
      </c>
      <c r="G17" s="3" t="s">
        <v>26</v>
      </c>
      <c r="H17" s="3">
        <v>107</v>
      </c>
      <c r="I17" s="3">
        <v>5</v>
      </c>
      <c r="J17" s="3">
        <v>17</v>
      </c>
      <c r="K17" s="3" t="s">
        <v>27</v>
      </c>
    </row>
    <row r="18" spans="1:11" x14ac:dyDescent="0.3">
      <c r="A18" s="4">
        <v>73.900000000000006</v>
      </c>
      <c r="B18" s="4">
        <v>20.58</v>
      </c>
      <c r="C18" s="3">
        <v>1986</v>
      </c>
      <c r="D18" s="3">
        <v>2</v>
      </c>
      <c r="E18" s="3">
        <v>26</v>
      </c>
      <c r="F18" s="3">
        <v>4.3</v>
      </c>
      <c r="G18" s="3" t="s">
        <v>26</v>
      </c>
      <c r="H18" s="3">
        <v>33</v>
      </c>
      <c r="I18" s="3">
        <v>18</v>
      </c>
      <c r="J18" s="3">
        <v>17</v>
      </c>
      <c r="K18" s="3" t="s">
        <v>27</v>
      </c>
    </row>
    <row r="19" spans="1:11" x14ac:dyDescent="0.3">
      <c r="A19" s="4">
        <v>73.599999999999994</v>
      </c>
      <c r="B19" s="4">
        <v>24.45</v>
      </c>
      <c r="C19" s="3">
        <v>1986</v>
      </c>
      <c r="D19" s="3">
        <v>11</v>
      </c>
      <c r="E19" s="3">
        <v>15</v>
      </c>
      <c r="F19" s="3">
        <v>4.0999999999999996</v>
      </c>
      <c r="G19" s="3" t="s">
        <v>26</v>
      </c>
      <c r="H19" s="3">
        <v>22</v>
      </c>
      <c r="I19" s="3">
        <v>5</v>
      </c>
      <c r="J19" s="3">
        <v>55</v>
      </c>
      <c r="K19" s="3" t="s">
        <v>27</v>
      </c>
    </row>
    <row r="20" spans="1:11" x14ac:dyDescent="0.3">
      <c r="A20" s="4">
        <v>79.239999999999995</v>
      </c>
      <c r="B20" s="4">
        <v>22.53</v>
      </c>
      <c r="C20" s="3">
        <v>1987</v>
      </c>
      <c r="D20" s="3">
        <v>4</v>
      </c>
      <c r="E20" s="3">
        <v>18</v>
      </c>
      <c r="F20" s="3">
        <v>4.8</v>
      </c>
      <c r="G20" s="3" t="s">
        <v>26</v>
      </c>
      <c r="H20" s="3">
        <v>20</v>
      </c>
      <c r="I20" s="3">
        <v>22</v>
      </c>
      <c r="J20" s="3">
        <v>29</v>
      </c>
      <c r="K20" s="3" t="s">
        <v>27</v>
      </c>
    </row>
    <row r="21" spans="1:11" x14ac:dyDescent="0.3">
      <c r="A21" s="4">
        <v>72.900000000000006</v>
      </c>
      <c r="B21" s="4">
        <v>20.100000000000001</v>
      </c>
      <c r="C21" s="3">
        <v>1989</v>
      </c>
      <c r="D21" s="3">
        <v>6</v>
      </c>
      <c r="E21" s="3">
        <v>21</v>
      </c>
      <c r="F21" s="3">
        <v>4.0999999999999996</v>
      </c>
      <c r="G21" s="3" t="s">
        <v>26</v>
      </c>
      <c r="H21" s="3">
        <v>33</v>
      </c>
      <c r="I21" s="3">
        <v>21</v>
      </c>
      <c r="J21" s="3">
        <v>5</v>
      </c>
      <c r="K21" s="3" t="s">
        <v>27</v>
      </c>
    </row>
    <row r="22" spans="1:11" x14ac:dyDescent="0.3">
      <c r="A22" s="4">
        <v>74.099999999999994</v>
      </c>
      <c r="B22" s="4">
        <v>24.1</v>
      </c>
      <c r="C22" s="3">
        <v>1992</v>
      </c>
      <c r="D22" s="3">
        <v>5</v>
      </c>
      <c r="E22" s="3">
        <v>31</v>
      </c>
      <c r="F22" s="3">
        <v>4.5</v>
      </c>
      <c r="G22" s="3" t="s">
        <v>26</v>
      </c>
      <c r="H22" s="3">
        <v>33</v>
      </c>
      <c r="I22" s="3">
        <v>1</v>
      </c>
      <c r="J22" s="3">
        <v>47</v>
      </c>
      <c r="K22" s="3" t="s">
        <v>27</v>
      </c>
    </row>
    <row r="23" spans="1:11" x14ac:dyDescent="0.3">
      <c r="A23" s="4">
        <v>76.62</v>
      </c>
      <c r="B23" s="4">
        <v>18.7</v>
      </c>
      <c r="C23" s="3">
        <v>1993</v>
      </c>
      <c r="D23" s="3">
        <v>9</v>
      </c>
      <c r="E23" s="3">
        <v>30</v>
      </c>
      <c r="F23" s="3">
        <v>6.3</v>
      </c>
      <c r="G23" s="3" t="s">
        <v>26</v>
      </c>
      <c r="H23" s="3">
        <v>12</v>
      </c>
      <c r="I23" s="3">
        <v>3</v>
      </c>
      <c r="J23" s="3">
        <v>55</v>
      </c>
      <c r="K23" s="3" t="s">
        <v>27</v>
      </c>
    </row>
    <row r="24" spans="1:11" x14ac:dyDescent="0.3">
      <c r="A24" s="4">
        <v>80</v>
      </c>
      <c r="B24" s="4">
        <v>23</v>
      </c>
      <c r="C24" s="3">
        <v>1993</v>
      </c>
      <c r="D24" s="3">
        <v>10</v>
      </c>
      <c r="E24" s="3">
        <v>31</v>
      </c>
      <c r="F24" s="3">
        <v>4.7</v>
      </c>
      <c r="G24" s="3" t="s">
        <v>26</v>
      </c>
      <c r="H24" s="3">
        <v>0</v>
      </c>
      <c r="I24" s="3">
        <v>9</v>
      </c>
      <c r="J24" s="3">
        <v>17</v>
      </c>
      <c r="K24" s="3" t="s">
        <v>27</v>
      </c>
    </row>
    <row r="25" spans="1:11" x14ac:dyDescent="0.3">
      <c r="A25" s="4">
        <v>78.599999999999994</v>
      </c>
      <c r="B25" s="4">
        <v>25.9</v>
      </c>
      <c r="C25" s="3">
        <v>1994</v>
      </c>
      <c r="D25" s="3">
        <v>9</v>
      </c>
      <c r="E25" s="3">
        <v>1</v>
      </c>
      <c r="F25" s="3">
        <v>4.7</v>
      </c>
      <c r="G25" s="3" t="s">
        <v>26</v>
      </c>
      <c r="H25" s="3">
        <v>33</v>
      </c>
      <c r="I25" s="3">
        <v>4</v>
      </c>
      <c r="J25" s="3">
        <v>59</v>
      </c>
      <c r="K25" s="3" t="s">
        <v>27</v>
      </c>
    </row>
    <row r="26" spans="1:11" x14ac:dyDescent="0.3">
      <c r="A26" s="4">
        <v>78.3</v>
      </c>
      <c r="B26" s="4">
        <v>22.7</v>
      </c>
      <c r="C26" s="3">
        <v>1995</v>
      </c>
      <c r="D26" s="3">
        <v>5</v>
      </c>
      <c r="E26" s="3">
        <v>2</v>
      </c>
      <c r="F26" s="3">
        <v>4.4000000000000004</v>
      </c>
      <c r="G26" s="3" t="s">
        <v>26</v>
      </c>
      <c r="H26" s="3">
        <v>33</v>
      </c>
      <c r="I26" s="3">
        <v>6</v>
      </c>
      <c r="J26" s="3">
        <v>16</v>
      </c>
      <c r="K26" s="3" t="s">
        <v>27</v>
      </c>
    </row>
    <row r="27" spans="1:11" x14ac:dyDescent="0.3">
      <c r="A27" s="4">
        <v>75.900000000000006</v>
      </c>
      <c r="B27" s="4">
        <v>19.899999999999999</v>
      </c>
      <c r="C27" s="3">
        <v>1995</v>
      </c>
      <c r="D27" s="3">
        <v>11</v>
      </c>
      <c r="E27" s="3">
        <v>7</v>
      </c>
      <c r="F27" s="3">
        <v>3.4</v>
      </c>
      <c r="G27" s="3" t="s">
        <v>26</v>
      </c>
      <c r="H27" s="3">
        <v>33</v>
      </c>
      <c r="I27" s="3">
        <v>11</v>
      </c>
      <c r="J27" s="3">
        <v>48</v>
      </c>
      <c r="K27" s="3" t="s">
        <v>27</v>
      </c>
    </row>
    <row r="28" spans="1:11" x14ac:dyDescent="0.3">
      <c r="A28" s="4">
        <v>74.400000000000006</v>
      </c>
      <c r="B28" s="4">
        <v>25.3</v>
      </c>
      <c r="C28" s="3">
        <v>1995</v>
      </c>
      <c r="D28" s="3">
        <v>12</v>
      </c>
      <c r="E28" s="3">
        <v>19</v>
      </c>
      <c r="F28" s="3">
        <v>3.3</v>
      </c>
      <c r="G28" s="3" t="s">
        <v>26</v>
      </c>
      <c r="H28" s="3">
        <v>33</v>
      </c>
      <c r="I28" s="3">
        <v>5</v>
      </c>
      <c r="J28" s="3">
        <v>15</v>
      </c>
      <c r="K28" s="3" t="s">
        <v>27</v>
      </c>
    </row>
    <row r="29" spans="1:11" x14ac:dyDescent="0.3">
      <c r="A29" s="4">
        <v>73.3</v>
      </c>
      <c r="B29" s="4">
        <v>24.7</v>
      </c>
      <c r="C29" s="3">
        <v>1996</v>
      </c>
      <c r="D29" s="3">
        <v>1</v>
      </c>
      <c r="E29" s="3">
        <v>4</v>
      </c>
      <c r="F29" s="3">
        <v>4.3</v>
      </c>
      <c r="G29" s="3" t="s">
        <v>26</v>
      </c>
      <c r="H29" s="3">
        <v>33</v>
      </c>
      <c r="I29" s="3">
        <v>13</v>
      </c>
      <c r="J29" s="3">
        <v>0</v>
      </c>
      <c r="K29" s="3" t="s">
        <v>27</v>
      </c>
    </row>
    <row r="30" spans="1:11" x14ac:dyDescent="0.3">
      <c r="A30" s="4">
        <v>77.599999999999994</v>
      </c>
      <c r="B30" s="4">
        <v>22.2</v>
      </c>
      <c r="C30" s="3">
        <v>1996</v>
      </c>
      <c r="D30" s="3">
        <v>1</v>
      </c>
      <c r="E30" s="3">
        <v>10</v>
      </c>
      <c r="F30" s="3">
        <v>4</v>
      </c>
      <c r="G30" s="3" t="s">
        <v>26</v>
      </c>
      <c r="H30" s="3">
        <v>33</v>
      </c>
      <c r="I30" s="3">
        <v>16</v>
      </c>
      <c r="J30" s="3">
        <v>7</v>
      </c>
      <c r="K30" s="3" t="s">
        <v>27</v>
      </c>
    </row>
    <row r="31" spans="1:11" x14ac:dyDescent="0.3">
      <c r="A31" s="4">
        <v>77.599999999999994</v>
      </c>
      <c r="B31" s="4">
        <v>22.4</v>
      </c>
      <c r="C31" s="3">
        <v>1996</v>
      </c>
      <c r="D31" s="3">
        <v>1</v>
      </c>
      <c r="E31" s="3">
        <v>10</v>
      </c>
      <c r="F31" s="3">
        <v>4.5</v>
      </c>
      <c r="G31" s="3" t="s">
        <v>26</v>
      </c>
      <c r="H31" s="3">
        <v>33</v>
      </c>
      <c r="I31" s="3">
        <v>16</v>
      </c>
      <c r="J31" s="3">
        <v>7</v>
      </c>
      <c r="K31" s="3" t="s">
        <v>27</v>
      </c>
    </row>
    <row r="32" spans="1:11" x14ac:dyDescent="0.3">
      <c r="A32" s="4">
        <v>76.099999999999994</v>
      </c>
      <c r="B32" s="4">
        <v>24.1</v>
      </c>
      <c r="C32" s="3">
        <v>1996</v>
      </c>
      <c r="D32" s="3">
        <v>2</v>
      </c>
      <c r="E32" s="3">
        <v>13</v>
      </c>
      <c r="F32" s="3">
        <v>3.6</v>
      </c>
      <c r="G32" s="3" t="s">
        <v>26</v>
      </c>
      <c r="H32" s="3">
        <v>33</v>
      </c>
      <c r="I32" s="3">
        <v>1</v>
      </c>
      <c r="J32" s="3">
        <v>50</v>
      </c>
      <c r="K32" s="3" t="s">
        <v>27</v>
      </c>
    </row>
    <row r="33" spans="1:11" x14ac:dyDescent="0.3">
      <c r="A33" s="4">
        <v>74.5</v>
      </c>
      <c r="B33" s="4">
        <v>22.1</v>
      </c>
      <c r="C33" s="3">
        <v>1996</v>
      </c>
      <c r="D33" s="3">
        <v>3</v>
      </c>
      <c r="E33" s="3">
        <v>12</v>
      </c>
      <c r="F33" s="3">
        <v>3.5</v>
      </c>
      <c r="G33" s="3" t="s">
        <v>26</v>
      </c>
      <c r="H33" s="3">
        <v>33</v>
      </c>
      <c r="I33" s="3">
        <v>9</v>
      </c>
      <c r="J33" s="3">
        <v>38</v>
      </c>
      <c r="K33" s="3" t="s">
        <v>27</v>
      </c>
    </row>
    <row r="34" spans="1:11" x14ac:dyDescent="0.3">
      <c r="A34" s="4">
        <v>77.2</v>
      </c>
      <c r="B34" s="4">
        <v>26.5</v>
      </c>
      <c r="C34" s="3">
        <v>1996</v>
      </c>
      <c r="D34" s="3">
        <v>7</v>
      </c>
      <c r="E34" s="3">
        <v>29</v>
      </c>
      <c r="F34" s="3">
        <v>3.5</v>
      </c>
      <c r="G34" s="3" t="s">
        <v>26</v>
      </c>
      <c r="H34" s="3">
        <v>0</v>
      </c>
      <c r="I34" s="3">
        <v>2</v>
      </c>
      <c r="J34" s="3">
        <v>24</v>
      </c>
      <c r="K34" s="3" t="s">
        <v>27</v>
      </c>
    </row>
    <row r="35" spans="1:11" x14ac:dyDescent="0.3">
      <c r="A35" s="4">
        <v>76.69</v>
      </c>
      <c r="B35" s="4">
        <v>18.3</v>
      </c>
      <c r="C35" s="3">
        <v>1996</v>
      </c>
      <c r="D35" s="3">
        <v>11</v>
      </c>
      <c r="E35" s="3">
        <v>10</v>
      </c>
      <c r="F35" s="3">
        <v>4.0999999999999996</v>
      </c>
      <c r="G35" s="3" t="s">
        <v>26</v>
      </c>
      <c r="H35" s="3">
        <v>33</v>
      </c>
      <c r="I35" s="3">
        <v>14</v>
      </c>
      <c r="J35" s="3">
        <v>30</v>
      </c>
      <c r="K35" s="3" t="s">
        <v>27</v>
      </c>
    </row>
    <row r="36" spans="1:11" x14ac:dyDescent="0.3">
      <c r="A36" s="4">
        <v>73</v>
      </c>
      <c r="B36" s="4">
        <v>21.5</v>
      </c>
      <c r="C36" s="3">
        <v>1996</v>
      </c>
      <c r="D36" s="3">
        <v>11</v>
      </c>
      <c r="E36" s="3">
        <v>17</v>
      </c>
      <c r="F36" s="3">
        <v>4.2</v>
      </c>
      <c r="G36" s="3" t="s">
        <v>26</v>
      </c>
      <c r="H36" s="3">
        <v>10</v>
      </c>
      <c r="I36" s="3">
        <v>18</v>
      </c>
      <c r="J36" s="3">
        <v>12</v>
      </c>
      <c r="K36" s="3" t="s">
        <v>27</v>
      </c>
    </row>
    <row r="37" spans="1:11" x14ac:dyDescent="0.3">
      <c r="A37" s="4">
        <v>80.14</v>
      </c>
      <c r="B37" s="4">
        <v>23.8</v>
      </c>
      <c r="C37" s="3">
        <v>1997</v>
      </c>
      <c r="D37" s="3">
        <v>5</v>
      </c>
      <c r="E37" s="3">
        <v>22</v>
      </c>
      <c r="F37" s="3">
        <v>5.8</v>
      </c>
      <c r="G37" s="3" t="s">
        <v>26</v>
      </c>
      <c r="H37" s="3">
        <v>36</v>
      </c>
      <c r="I37" s="3">
        <v>4</v>
      </c>
      <c r="J37" s="3">
        <v>21</v>
      </c>
      <c r="K37" s="3" t="s">
        <v>27</v>
      </c>
    </row>
    <row r="38" spans="1:11" x14ac:dyDescent="0.3">
      <c r="A38" s="4">
        <v>80.28</v>
      </c>
      <c r="B38" s="4">
        <v>22.93</v>
      </c>
      <c r="C38" s="3">
        <v>1997</v>
      </c>
      <c r="D38" s="3">
        <v>6</v>
      </c>
      <c r="E38" s="3">
        <v>4</v>
      </c>
      <c r="F38" s="3">
        <v>3.6</v>
      </c>
      <c r="G38" s="3" t="s">
        <v>26</v>
      </c>
      <c r="H38" s="3">
        <v>0</v>
      </c>
      <c r="I38" s="3">
        <v>19</v>
      </c>
      <c r="J38" s="3">
        <v>20</v>
      </c>
      <c r="K38" s="3" t="s">
        <v>27</v>
      </c>
    </row>
    <row r="39" spans="1:11" x14ac:dyDescent="0.3">
      <c r="A39" s="4">
        <v>73.599999999999994</v>
      </c>
      <c r="B39" s="4">
        <v>25</v>
      </c>
      <c r="C39" s="3">
        <v>1997</v>
      </c>
      <c r="D39" s="3">
        <v>7</v>
      </c>
      <c r="E39" s="3">
        <v>29</v>
      </c>
      <c r="F39" s="3">
        <v>4.5999999999999996</v>
      </c>
      <c r="G39" s="3" t="s">
        <v>26</v>
      </c>
      <c r="H39" s="3">
        <v>33</v>
      </c>
      <c r="I39" s="3">
        <v>15</v>
      </c>
      <c r="J39" s="3">
        <v>13</v>
      </c>
      <c r="K39" s="3" t="s">
        <v>27</v>
      </c>
    </row>
    <row r="40" spans="1:11" x14ac:dyDescent="0.3">
      <c r="A40" s="4">
        <v>78</v>
      </c>
      <c r="B40" s="4">
        <v>22.4</v>
      </c>
      <c r="C40" s="3">
        <v>1998</v>
      </c>
      <c r="D40" s="3">
        <v>3</v>
      </c>
      <c r="E40" s="3">
        <v>9</v>
      </c>
      <c r="F40" s="3">
        <v>4.3</v>
      </c>
      <c r="G40" s="3" t="s">
        <v>26</v>
      </c>
      <c r="H40" s="3">
        <v>10</v>
      </c>
      <c r="I40" s="3">
        <v>13</v>
      </c>
      <c r="J40" s="3">
        <v>11</v>
      </c>
      <c r="K40" s="3" t="s">
        <v>27</v>
      </c>
    </row>
    <row r="41" spans="1:11" x14ac:dyDescent="0.3">
      <c r="A41" s="4">
        <v>79.2</v>
      </c>
      <c r="B41" s="4">
        <v>22.5</v>
      </c>
      <c r="C41" s="3">
        <v>1998</v>
      </c>
      <c r="D41" s="3">
        <v>3</v>
      </c>
      <c r="E41" s="3">
        <v>30</v>
      </c>
      <c r="F41" s="3">
        <v>3.9</v>
      </c>
      <c r="G41" s="3" t="s">
        <v>26</v>
      </c>
      <c r="H41" s="3">
        <v>33</v>
      </c>
      <c r="I41" s="3">
        <v>0</v>
      </c>
      <c r="J41" s="3">
        <v>24</v>
      </c>
      <c r="K41" s="3" t="s">
        <v>27</v>
      </c>
    </row>
    <row r="42" spans="1:11" x14ac:dyDescent="0.3">
      <c r="A42" s="4">
        <v>76.92</v>
      </c>
      <c r="B42" s="4">
        <v>21.26</v>
      </c>
      <c r="C42" s="3">
        <v>1998</v>
      </c>
      <c r="D42" s="3">
        <v>4</v>
      </c>
      <c r="E42" s="3">
        <v>18</v>
      </c>
      <c r="F42" s="3">
        <v>3.1</v>
      </c>
      <c r="G42" s="3" t="s">
        <v>26</v>
      </c>
      <c r="H42" s="3">
        <v>15</v>
      </c>
      <c r="I42" s="3">
        <v>3</v>
      </c>
      <c r="J42" s="3">
        <v>39</v>
      </c>
      <c r="K42" s="3" t="s">
        <v>27</v>
      </c>
    </row>
    <row r="43" spans="1:11" x14ac:dyDescent="0.3">
      <c r="A43" s="4">
        <v>73.900000000000006</v>
      </c>
      <c r="B43" s="4">
        <v>19.2</v>
      </c>
      <c r="C43" s="3">
        <v>1998</v>
      </c>
      <c r="D43" s="3">
        <v>5</v>
      </c>
      <c r="E43" s="3">
        <v>31</v>
      </c>
      <c r="F43" s="3">
        <v>3.6</v>
      </c>
      <c r="G43" s="3" t="s">
        <v>26</v>
      </c>
      <c r="H43" s="3">
        <v>10</v>
      </c>
      <c r="I43" s="3">
        <v>18</v>
      </c>
      <c r="J43" s="3">
        <v>58</v>
      </c>
      <c r="K43" s="3" t="s">
        <v>27</v>
      </c>
    </row>
    <row r="44" spans="1:11" x14ac:dyDescent="0.3">
      <c r="A44" s="4">
        <v>78.2</v>
      </c>
      <c r="B44" s="4">
        <v>22.39</v>
      </c>
      <c r="C44" s="3">
        <v>1998</v>
      </c>
      <c r="D44" s="3">
        <v>7</v>
      </c>
      <c r="E44" s="3">
        <v>19</v>
      </c>
      <c r="F44" s="3">
        <v>4.4000000000000004</v>
      </c>
      <c r="G44" s="3" t="s">
        <v>28</v>
      </c>
      <c r="H44" s="3">
        <v>33</v>
      </c>
      <c r="I44" s="3">
        <v>18</v>
      </c>
      <c r="J44" s="3">
        <v>27</v>
      </c>
      <c r="K44" s="3" t="s">
        <v>27</v>
      </c>
    </row>
    <row r="45" spans="1:11" x14ac:dyDescent="0.3">
      <c r="A45" s="4">
        <v>76.680000000000007</v>
      </c>
      <c r="B45" s="4">
        <v>18.8</v>
      </c>
      <c r="C45" s="3">
        <v>1998</v>
      </c>
      <c r="D45" s="3">
        <v>8</v>
      </c>
      <c r="E45" s="3">
        <v>10</v>
      </c>
      <c r="F45" s="3">
        <v>3.4</v>
      </c>
      <c r="G45" s="3" t="s">
        <v>19</v>
      </c>
      <c r="H45" s="3">
        <v>10</v>
      </c>
      <c r="I45" s="3">
        <v>22</v>
      </c>
      <c r="J45" s="3">
        <v>50</v>
      </c>
      <c r="K45" s="3" t="s">
        <v>27</v>
      </c>
    </row>
    <row r="46" spans="1:11" x14ac:dyDescent="0.3">
      <c r="A46" s="4">
        <v>72.099999999999994</v>
      </c>
      <c r="B46" s="4">
        <v>20.46</v>
      </c>
      <c r="C46" s="3">
        <v>1998</v>
      </c>
      <c r="D46" s="3">
        <v>9</v>
      </c>
      <c r="E46" s="3">
        <v>3</v>
      </c>
      <c r="F46" s="3">
        <v>3.1</v>
      </c>
      <c r="G46" s="3" t="s">
        <v>19</v>
      </c>
      <c r="H46" s="3">
        <v>13</v>
      </c>
      <c r="I46" s="3">
        <v>4</v>
      </c>
      <c r="J46" s="3">
        <v>28</v>
      </c>
      <c r="K46" s="3" t="s">
        <v>27</v>
      </c>
    </row>
    <row r="47" spans="1:11" x14ac:dyDescent="0.3">
      <c r="A47" s="4">
        <v>75.75</v>
      </c>
      <c r="B47" s="4">
        <v>22.11</v>
      </c>
      <c r="C47" s="3">
        <v>1998</v>
      </c>
      <c r="D47" s="3">
        <v>9</v>
      </c>
      <c r="E47" s="3">
        <v>14</v>
      </c>
      <c r="F47" s="3">
        <v>3.3</v>
      </c>
      <c r="G47" s="3" t="s">
        <v>29</v>
      </c>
      <c r="H47" s="3">
        <v>15</v>
      </c>
      <c r="I47" s="3">
        <v>2</v>
      </c>
      <c r="J47" s="3">
        <v>12</v>
      </c>
      <c r="K47" s="3" t="s">
        <v>27</v>
      </c>
    </row>
    <row r="48" spans="1:11" x14ac:dyDescent="0.3">
      <c r="A48" s="4">
        <v>75.92</v>
      </c>
      <c r="B48" s="4">
        <v>21.87</v>
      </c>
      <c r="C48" s="3">
        <v>1998</v>
      </c>
      <c r="D48" s="3">
        <v>10</v>
      </c>
      <c r="E48" s="3">
        <v>11</v>
      </c>
      <c r="F48" s="3">
        <v>3</v>
      </c>
      <c r="G48" s="3" t="s">
        <v>19</v>
      </c>
      <c r="H48" s="3">
        <v>1</v>
      </c>
      <c r="I48" s="3">
        <v>17</v>
      </c>
      <c r="J48" s="3">
        <v>51</v>
      </c>
      <c r="K48" s="3" t="s">
        <v>27</v>
      </c>
    </row>
    <row r="49" spans="1:11" x14ac:dyDescent="0.3">
      <c r="A49" s="4">
        <v>76.28</v>
      </c>
      <c r="B49" s="4">
        <v>21.59</v>
      </c>
      <c r="C49" s="3">
        <v>1998</v>
      </c>
      <c r="D49" s="3">
        <v>10</v>
      </c>
      <c r="E49" s="3">
        <v>19</v>
      </c>
      <c r="F49" s="3">
        <v>3</v>
      </c>
      <c r="G49" s="3" t="s">
        <v>19</v>
      </c>
      <c r="H49" s="3">
        <v>1</v>
      </c>
      <c r="I49" s="3">
        <v>17</v>
      </c>
      <c r="J49" s="3">
        <v>51</v>
      </c>
      <c r="K49" s="3" t="s">
        <v>27</v>
      </c>
    </row>
    <row r="50" spans="1:11" x14ac:dyDescent="0.3">
      <c r="A50" s="4">
        <v>76.900000000000006</v>
      </c>
      <c r="B50" s="4">
        <v>21.69</v>
      </c>
      <c r="C50" s="3">
        <v>1998</v>
      </c>
      <c r="D50" s="3">
        <v>10</v>
      </c>
      <c r="E50" s="3">
        <v>20</v>
      </c>
      <c r="F50" s="3">
        <v>3.4</v>
      </c>
      <c r="G50" s="3" t="s">
        <v>19</v>
      </c>
      <c r="H50" s="3">
        <v>2</v>
      </c>
      <c r="I50" s="3">
        <v>14</v>
      </c>
      <c r="J50" s="3">
        <v>35</v>
      </c>
      <c r="K50" s="3" t="s">
        <v>27</v>
      </c>
    </row>
    <row r="51" spans="1:11" x14ac:dyDescent="0.3">
      <c r="A51" s="4">
        <v>76.23</v>
      </c>
      <c r="B51" s="4">
        <v>21.62</v>
      </c>
      <c r="C51" s="3">
        <v>1998</v>
      </c>
      <c r="D51" s="3">
        <v>10</v>
      </c>
      <c r="E51" s="3">
        <v>24</v>
      </c>
      <c r="F51" s="3">
        <v>3</v>
      </c>
      <c r="G51" s="3" t="s">
        <v>20</v>
      </c>
      <c r="H51" s="3">
        <v>1</v>
      </c>
      <c r="I51" s="3">
        <v>13</v>
      </c>
      <c r="J51" s="3">
        <v>18</v>
      </c>
      <c r="K51" s="3" t="s">
        <v>27</v>
      </c>
    </row>
    <row r="52" spans="1:11" x14ac:dyDescent="0.3">
      <c r="A52" s="4">
        <v>76.38</v>
      </c>
      <c r="B52" s="4">
        <v>21.63</v>
      </c>
      <c r="C52" s="3">
        <v>1998</v>
      </c>
      <c r="D52" s="3">
        <v>11</v>
      </c>
      <c r="E52" s="3">
        <v>5</v>
      </c>
      <c r="F52" s="3">
        <v>3.3</v>
      </c>
      <c r="G52" s="3" t="s">
        <v>19</v>
      </c>
      <c r="H52" s="3">
        <v>10</v>
      </c>
      <c r="I52" s="3">
        <v>11</v>
      </c>
      <c r="J52" s="3">
        <v>12</v>
      </c>
      <c r="K52" s="3" t="s">
        <v>27</v>
      </c>
    </row>
    <row r="53" spans="1:11" x14ac:dyDescent="0.3">
      <c r="A53" s="4">
        <v>71.599999999999994</v>
      </c>
      <c r="B53" s="4">
        <v>21.94</v>
      </c>
      <c r="C53" s="3">
        <v>1998</v>
      </c>
      <c r="D53" s="3">
        <v>11</v>
      </c>
      <c r="E53" s="3">
        <v>28</v>
      </c>
      <c r="F53" s="3">
        <v>3.2</v>
      </c>
      <c r="G53" s="3" t="s">
        <v>19</v>
      </c>
      <c r="H53" s="3">
        <v>15</v>
      </c>
      <c r="I53" s="3">
        <v>22</v>
      </c>
      <c r="J53" s="3">
        <v>29</v>
      </c>
      <c r="K53" s="3" t="s">
        <v>27</v>
      </c>
    </row>
    <row r="54" spans="1:11" x14ac:dyDescent="0.3">
      <c r="A54" s="4">
        <v>73.64</v>
      </c>
      <c r="B54" s="4">
        <v>24.88</v>
      </c>
      <c r="C54" s="3">
        <v>1998</v>
      </c>
      <c r="D54" s="3">
        <v>12</v>
      </c>
      <c r="E54" s="3">
        <v>27</v>
      </c>
      <c r="F54" s="3">
        <v>3.3</v>
      </c>
      <c r="G54" s="3" t="s">
        <v>19</v>
      </c>
      <c r="H54" s="3">
        <v>5</v>
      </c>
      <c r="I54" s="3">
        <v>1</v>
      </c>
      <c r="J54" s="3">
        <v>44</v>
      </c>
      <c r="K54" s="3" t="s">
        <v>27</v>
      </c>
    </row>
    <row r="55" spans="1:11" x14ac:dyDescent="0.3">
      <c r="A55" s="4">
        <v>76.5</v>
      </c>
      <c r="B55" s="4">
        <v>18.3</v>
      </c>
      <c r="C55" s="3">
        <v>1999</v>
      </c>
      <c r="D55" s="3">
        <v>2</v>
      </c>
      <c r="E55" s="3">
        <v>20</v>
      </c>
      <c r="F55" s="3">
        <v>3.8</v>
      </c>
      <c r="G55" s="3" t="s">
        <v>28</v>
      </c>
      <c r="H55" s="3">
        <v>10</v>
      </c>
      <c r="I55" s="3">
        <v>16</v>
      </c>
      <c r="J55" s="3">
        <v>50</v>
      </c>
      <c r="K55" s="3" t="s">
        <v>27</v>
      </c>
    </row>
    <row r="56" spans="1:11" x14ac:dyDescent="0.3">
      <c r="A56" s="4">
        <v>78.55</v>
      </c>
      <c r="B56" s="4">
        <v>21.46</v>
      </c>
      <c r="C56" s="3">
        <v>1999</v>
      </c>
      <c r="D56" s="3">
        <v>2</v>
      </c>
      <c r="E56" s="3">
        <v>27</v>
      </c>
      <c r="F56" s="3">
        <v>3.8</v>
      </c>
      <c r="G56" s="3" t="s">
        <v>19</v>
      </c>
      <c r="H56" s="3">
        <v>34</v>
      </c>
      <c r="I56" s="3">
        <v>3</v>
      </c>
      <c r="J56" s="3">
        <v>37</v>
      </c>
      <c r="K56" s="3" t="s">
        <v>27</v>
      </c>
    </row>
    <row r="57" spans="1:11" x14ac:dyDescent="0.3">
      <c r="A57" s="4">
        <v>75.17</v>
      </c>
      <c r="B57" s="4">
        <v>21.43</v>
      </c>
      <c r="C57" s="3">
        <v>1999</v>
      </c>
      <c r="D57" s="3">
        <v>3</v>
      </c>
      <c r="E57" s="3">
        <v>3</v>
      </c>
      <c r="F57" s="3">
        <v>3.3</v>
      </c>
      <c r="G57" s="3" t="s">
        <v>29</v>
      </c>
      <c r="H57" s="3">
        <v>20</v>
      </c>
      <c r="I57" s="3">
        <v>12</v>
      </c>
      <c r="J57" s="3">
        <v>13</v>
      </c>
      <c r="K57" s="3" t="s">
        <v>27</v>
      </c>
    </row>
    <row r="58" spans="1:11" x14ac:dyDescent="0.3">
      <c r="A58" s="4">
        <v>78.099999999999994</v>
      </c>
      <c r="B58" s="4">
        <v>23.54</v>
      </c>
      <c r="C58" s="3">
        <v>1999</v>
      </c>
      <c r="D58" s="3">
        <v>4</v>
      </c>
      <c r="E58" s="3">
        <v>3</v>
      </c>
      <c r="F58" s="3">
        <v>4.2</v>
      </c>
      <c r="G58" s="3" t="s">
        <v>29</v>
      </c>
      <c r="H58" s="3">
        <v>30</v>
      </c>
      <c r="I58" s="3">
        <v>15</v>
      </c>
      <c r="J58" s="3">
        <v>8</v>
      </c>
      <c r="K58" s="3" t="s">
        <v>27</v>
      </c>
    </row>
    <row r="59" spans="1:11" x14ac:dyDescent="0.3">
      <c r="A59" s="4">
        <v>77.19</v>
      </c>
      <c r="B59" s="4">
        <v>22.12</v>
      </c>
      <c r="C59" s="3">
        <v>1999</v>
      </c>
      <c r="D59" s="3">
        <v>5</v>
      </c>
      <c r="E59" s="3">
        <v>11</v>
      </c>
      <c r="F59" s="3">
        <v>2.9</v>
      </c>
      <c r="G59" s="3" t="s">
        <v>19</v>
      </c>
      <c r="H59" s="3">
        <v>5</v>
      </c>
      <c r="I59" s="3">
        <v>7</v>
      </c>
      <c r="J59" s="3">
        <v>26</v>
      </c>
      <c r="K59" s="3" t="s">
        <v>27</v>
      </c>
    </row>
    <row r="60" spans="1:11" x14ac:dyDescent="0.3">
      <c r="A60" s="4">
        <v>76.45</v>
      </c>
      <c r="B60" s="4">
        <v>26.4</v>
      </c>
      <c r="C60" s="3">
        <v>1999</v>
      </c>
      <c r="D60" s="3">
        <v>7</v>
      </c>
      <c r="E60" s="3">
        <v>3</v>
      </c>
      <c r="F60" s="3">
        <v>3.5</v>
      </c>
      <c r="G60" s="3" t="s">
        <v>19</v>
      </c>
      <c r="H60" s="3">
        <v>10</v>
      </c>
      <c r="I60" s="3">
        <v>21</v>
      </c>
      <c r="J60" s="3">
        <v>29</v>
      </c>
      <c r="K60" s="3" t="s">
        <v>27</v>
      </c>
    </row>
    <row r="61" spans="1:11" x14ac:dyDescent="0.3">
      <c r="A61" s="4">
        <v>74.16</v>
      </c>
      <c r="B61" s="4">
        <v>21.84</v>
      </c>
      <c r="C61" s="3">
        <v>1999</v>
      </c>
      <c r="D61" s="3">
        <v>7</v>
      </c>
      <c r="E61" s="3">
        <v>18</v>
      </c>
      <c r="F61" s="3">
        <v>3</v>
      </c>
      <c r="G61" s="3" t="s">
        <v>19</v>
      </c>
      <c r="H61" s="3">
        <v>5</v>
      </c>
      <c r="I61" s="3">
        <v>3</v>
      </c>
      <c r="J61" s="3">
        <v>18</v>
      </c>
      <c r="K61" s="3" t="s">
        <v>27</v>
      </c>
    </row>
    <row r="62" spans="1:11" x14ac:dyDescent="0.3">
      <c r="A62" s="4">
        <v>71.930000000000007</v>
      </c>
      <c r="B62" s="4">
        <v>21.81</v>
      </c>
      <c r="C62" s="3">
        <v>1999</v>
      </c>
      <c r="D62" s="3">
        <v>9</v>
      </c>
      <c r="E62" s="3">
        <v>21</v>
      </c>
      <c r="F62" s="3">
        <v>3</v>
      </c>
      <c r="G62" s="3" t="s">
        <v>19</v>
      </c>
      <c r="H62" s="3">
        <v>2</v>
      </c>
      <c r="I62" s="3">
        <v>11</v>
      </c>
      <c r="J62" s="3">
        <v>53</v>
      </c>
      <c r="K62" s="3" t="s">
        <v>27</v>
      </c>
    </row>
    <row r="63" spans="1:11" x14ac:dyDescent="0.3">
      <c r="A63" s="4">
        <v>77.459999999999994</v>
      </c>
      <c r="B63" s="4">
        <v>19.18</v>
      </c>
      <c r="C63" s="3">
        <v>1999</v>
      </c>
      <c r="D63" s="3">
        <v>10</v>
      </c>
      <c r="E63" s="3">
        <v>9</v>
      </c>
      <c r="F63" s="3">
        <v>2.4</v>
      </c>
      <c r="G63" s="3" t="s">
        <v>19</v>
      </c>
      <c r="H63" s="3">
        <v>15</v>
      </c>
      <c r="I63" s="3">
        <v>11</v>
      </c>
      <c r="J63" s="3">
        <v>28</v>
      </c>
      <c r="K63" s="3" t="s">
        <v>27</v>
      </c>
    </row>
    <row r="64" spans="1:11" x14ac:dyDescent="0.3">
      <c r="A64" s="4">
        <v>77.739999999999995</v>
      </c>
      <c r="B64" s="4">
        <v>19.63</v>
      </c>
      <c r="C64" s="3">
        <v>2000</v>
      </c>
      <c r="D64" s="3">
        <v>3</v>
      </c>
      <c r="E64" s="3">
        <v>27</v>
      </c>
      <c r="F64" s="3">
        <v>3.2</v>
      </c>
      <c r="G64" s="3" t="s">
        <v>29</v>
      </c>
      <c r="H64" s="3">
        <v>15</v>
      </c>
      <c r="I64" s="3">
        <v>15</v>
      </c>
      <c r="J64" s="3">
        <v>29</v>
      </c>
      <c r="K64" s="3" t="s">
        <v>27</v>
      </c>
    </row>
    <row r="65" spans="1:11" x14ac:dyDescent="0.3">
      <c r="A65" s="4">
        <v>74.510000000000005</v>
      </c>
      <c r="B65" s="4">
        <v>21.86</v>
      </c>
      <c r="C65" s="3">
        <v>2000</v>
      </c>
      <c r="D65" s="3">
        <v>4</v>
      </c>
      <c r="E65" s="3">
        <v>15</v>
      </c>
      <c r="F65" s="3">
        <v>3.4</v>
      </c>
      <c r="G65" s="3" t="s">
        <v>29</v>
      </c>
      <c r="H65" s="3">
        <v>10</v>
      </c>
      <c r="I65" s="3">
        <v>3</v>
      </c>
      <c r="J65" s="3">
        <v>11</v>
      </c>
      <c r="K65" s="3" t="s">
        <v>27</v>
      </c>
    </row>
    <row r="66" spans="1:11" x14ac:dyDescent="0.3">
      <c r="A66" s="4">
        <v>79</v>
      </c>
      <c r="B66" s="4">
        <v>22.54</v>
      </c>
      <c r="C66" s="3">
        <v>2000</v>
      </c>
      <c r="D66" s="3">
        <v>5</v>
      </c>
      <c r="E66" s="3">
        <v>2</v>
      </c>
      <c r="F66" s="3">
        <v>3.1</v>
      </c>
      <c r="G66" s="3" t="s">
        <v>19</v>
      </c>
      <c r="H66" s="3">
        <v>15</v>
      </c>
      <c r="I66" s="3">
        <v>14</v>
      </c>
      <c r="J66" s="3">
        <v>55</v>
      </c>
      <c r="K66" s="3" t="s">
        <v>27</v>
      </c>
    </row>
    <row r="67" spans="1:11" x14ac:dyDescent="0.3">
      <c r="A67" s="4">
        <v>78.81</v>
      </c>
      <c r="B67" s="4">
        <v>19.84</v>
      </c>
      <c r="C67" s="3">
        <v>2000</v>
      </c>
      <c r="D67" s="3">
        <v>6</v>
      </c>
      <c r="E67" s="3">
        <v>22</v>
      </c>
      <c r="F67" s="3">
        <v>4.2</v>
      </c>
      <c r="G67" s="3" t="s">
        <v>19</v>
      </c>
      <c r="H67" s="3">
        <v>5</v>
      </c>
      <c r="I67" s="3">
        <v>15</v>
      </c>
      <c r="J67" s="3">
        <v>40</v>
      </c>
      <c r="K67" s="3" t="s">
        <v>27</v>
      </c>
    </row>
    <row r="68" spans="1:11" x14ac:dyDescent="0.3">
      <c r="A68" s="4">
        <v>78.87</v>
      </c>
      <c r="B68" s="4">
        <v>21.95</v>
      </c>
      <c r="C68" s="3">
        <v>2000</v>
      </c>
      <c r="D68" s="3">
        <v>6</v>
      </c>
      <c r="E68" s="3">
        <v>30</v>
      </c>
      <c r="F68" s="3">
        <v>3.3</v>
      </c>
      <c r="G68" s="3" t="s">
        <v>19</v>
      </c>
      <c r="H68" s="3">
        <v>15</v>
      </c>
      <c r="I68" s="3">
        <v>19</v>
      </c>
      <c r="J68" s="3">
        <v>27</v>
      </c>
      <c r="K68" s="3" t="s">
        <v>27</v>
      </c>
    </row>
    <row r="69" spans="1:11" x14ac:dyDescent="0.3">
      <c r="A69" s="4">
        <v>75.510000000000005</v>
      </c>
      <c r="B69" s="4">
        <v>21.51</v>
      </c>
      <c r="C69" s="3">
        <v>2000</v>
      </c>
      <c r="D69" s="3">
        <v>7</v>
      </c>
      <c r="E69" s="3">
        <v>10</v>
      </c>
      <c r="F69" s="3">
        <v>3.3</v>
      </c>
      <c r="G69" s="3" t="s">
        <v>19</v>
      </c>
      <c r="H69" s="3">
        <v>20</v>
      </c>
      <c r="I69" s="3">
        <v>17</v>
      </c>
      <c r="J69" s="3">
        <v>36</v>
      </c>
      <c r="K69" s="3" t="s">
        <v>27</v>
      </c>
    </row>
    <row r="70" spans="1:11" x14ac:dyDescent="0.3">
      <c r="A70" s="4">
        <v>75.17</v>
      </c>
      <c r="B70" s="4">
        <v>21.72</v>
      </c>
      <c r="C70" s="3">
        <v>2000</v>
      </c>
      <c r="D70" s="3">
        <v>7</v>
      </c>
      <c r="E70" s="3">
        <v>24</v>
      </c>
      <c r="F70" s="3">
        <v>3</v>
      </c>
      <c r="G70" s="3" t="s">
        <v>19</v>
      </c>
      <c r="H70" s="3">
        <v>15</v>
      </c>
      <c r="I70" s="3">
        <v>14</v>
      </c>
      <c r="J70" s="3">
        <v>49</v>
      </c>
      <c r="K70" s="3" t="s">
        <v>27</v>
      </c>
    </row>
    <row r="71" spans="1:11" x14ac:dyDescent="0.3">
      <c r="A71" s="4">
        <v>72.25</v>
      </c>
      <c r="B71" s="4">
        <v>21.76</v>
      </c>
      <c r="C71" s="3">
        <v>2000</v>
      </c>
      <c r="D71" s="3">
        <v>8</v>
      </c>
      <c r="E71" s="3">
        <v>10</v>
      </c>
      <c r="F71" s="3">
        <v>2.9</v>
      </c>
      <c r="G71" s="3" t="s">
        <v>19</v>
      </c>
      <c r="H71" s="3">
        <v>5</v>
      </c>
      <c r="I71" s="3">
        <v>19</v>
      </c>
      <c r="J71" s="3">
        <v>0</v>
      </c>
      <c r="K71" s="3" t="s">
        <v>27</v>
      </c>
    </row>
    <row r="72" spans="1:11" x14ac:dyDescent="0.3">
      <c r="A72" s="4">
        <v>72.19</v>
      </c>
      <c r="B72" s="4">
        <v>21.81</v>
      </c>
      <c r="C72" s="3">
        <v>2000</v>
      </c>
      <c r="D72" s="3">
        <v>8</v>
      </c>
      <c r="E72" s="3">
        <v>13</v>
      </c>
      <c r="F72" s="3">
        <v>3.1</v>
      </c>
      <c r="G72" s="3" t="s">
        <v>19</v>
      </c>
      <c r="H72" s="3">
        <v>27</v>
      </c>
      <c r="I72" s="3">
        <v>9</v>
      </c>
      <c r="J72" s="3">
        <v>54</v>
      </c>
      <c r="K72" s="3" t="s">
        <v>27</v>
      </c>
    </row>
    <row r="73" spans="1:11" x14ac:dyDescent="0.3">
      <c r="A73" s="4">
        <v>72.12</v>
      </c>
      <c r="B73" s="4">
        <v>21.68</v>
      </c>
      <c r="C73" s="3">
        <v>2000</v>
      </c>
      <c r="D73" s="3">
        <v>9</v>
      </c>
      <c r="E73" s="3">
        <v>12</v>
      </c>
      <c r="F73" s="3">
        <v>3.8</v>
      </c>
      <c r="G73" s="3" t="s">
        <v>19</v>
      </c>
      <c r="H73" s="3">
        <v>10</v>
      </c>
      <c r="I73" s="3">
        <v>6</v>
      </c>
      <c r="J73" s="3">
        <v>23</v>
      </c>
      <c r="K73" s="3" t="s">
        <v>27</v>
      </c>
    </row>
    <row r="74" spans="1:11" x14ac:dyDescent="0.3">
      <c r="A74" s="4">
        <v>72.150000000000006</v>
      </c>
      <c r="B74" s="4">
        <v>21.7</v>
      </c>
      <c r="C74" s="3">
        <v>2000</v>
      </c>
      <c r="D74" s="3">
        <v>9</v>
      </c>
      <c r="E74" s="3">
        <v>13</v>
      </c>
      <c r="F74" s="3">
        <v>3.2</v>
      </c>
      <c r="G74" s="3" t="s">
        <v>19</v>
      </c>
      <c r="H74" s="3">
        <v>5</v>
      </c>
      <c r="I74" s="3">
        <v>18</v>
      </c>
      <c r="J74" s="3">
        <v>10</v>
      </c>
      <c r="K74" s="3" t="s">
        <v>27</v>
      </c>
    </row>
    <row r="75" spans="1:11" x14ac:dyDescent="0.3">
      <c r="A75" s="4">
        <v>72.14</v>
      </c>
      <c r="B75" s="4">
        <v>21.7</v>
      </c>
      <c r="C75" s="3">
        <v>2000</v>
      </c>
      <c r="D75" s="3">
        <v>9</v>
      </c>
      <c r="E75" s="3">
        <v>13</v>
      </c>
      <c r="F75" s="3">
        <v>3.1</v>
      </c>
      <c r="G75" s="3" t="s">
        <v>19</v>
      </c>
      <c r="H75" s="3">
        <v>5</v>
      </c>
      <c r="I75" s="3">
        <v>18</v>
      </c>
      <c r="J75" s="3">
        <v>35</v>
      </c>
      <c r="K75" s="3" t="s">
        <v>27</v>
      </c>
    </row>
    <row r="76" spans="1:11" x14ac:dyDescent="0.3">
      <c r="A76" s="4">
        <v>72.14</v>
      </c>
      <c r="B76" s="4">
        <v>21.73</v>
      </c>
      <c r="C76" s="3">
        <v>2000</v>
      </c>
      <c r="D76" s="3">
        <v>9</v>
      </c>
      <c r="E76" s="3">
        <v>14</v>
      </c>
      <c r="F76" s="3">
        <v>3.1</v>
      </c>
      <c r="G76" s="3" t="s">
        <v>19</v>
      </c>
      <c r="H76" s="3">
        <v>1</v>
      </c>
      <c r="I76" s="3">
        <v>22</v>
      </c>
      <c r="J76" s="3">
        <v>5</v>
      </c>
      <c r="K76" s="3" t="s">
        <v>27</v>
      </c>
    </row>
    <row r="77" spans="1:11" x14ac:dyDescent="0.3">
      <c r="A77" s="4">
        <v>79.2</v>
      </c>
      <c r="B77" s="4">
        <v>25.69</v>
      </c>
      <c r="C77" s="3">
        <v>2000</v>
      </c>
      <c r="D77" s="3">
        <v>10</v>
      </c>
      <c r="E77" s="3">
        <v>7</v>
      </c>
      <c r="F77" s="3">
        <v>3.4</v>
      </c>
      <c r="G77" s="3" t="s">
        <v>19</v>
      </c>
      <c r="H77" s="3">
        <v>33</v>
      </c>
      <c r="I77" s="3">
        <v>21</v>
      </c>
      <c r="J77" s="3">
        <v>2</v>
      </c>
      <c r="K77" s="3" t="s">
        <v>27</v>
      </c>
    </row>
    <row r="78" spans="1:11" x14ac:dyDescent="0.3">
      <c r="A78" s="4">
        <v>76.34</v>
      </c>
      <c r="B78" s="4">
        <v>19.29</v>
      </c>
      <c r="C78" s="3">
        <v>2000</v>
      </c>
      <c r="D78" s="3">
        <v>10</v>
      </c>
      <c r="E78" s="3">
        <v>9</v>
      </c>
      <c r="F78" s="3">
        <v>3.1</v>
      </c>
      <c r="G78" s="3" t="s">
        <v>29</v>
      </c>
      <c r="H78" s="3">
        <v>15</v>
      </c>
      <c r="I78" s="3">
        <v>8</v>
      </c>
      <c r="J78" s="3">
        <v>17</v>
      </c>
      <c r="K78" s="3" t="s">
        <v>27</v>
      </c>
    </row>
    <row r="79" spans="1:11" x14ac:dyDescent="0.3">
      <c r="A79" s="4">
        <v>80.33</v>
      </c>
      <c r="B79" s="4">
        <v>23.22</v>
      </c>
      <c r="C79" s="3">
        <v>2000</v>
      </c>
      <c r="D79" s="3">
        <v>10</v>
      </c>
      <c r="E79" s="3">
        <v>17</v>
      </c>
      <c r="F79" s="3">
        <v>5.2</v>
      </c>
      <c r="G79" s="3" t="s">
        <v>19</v>
      </c>
      <c r="H79" s="3">
        <v>33</v>
      </c>
      <c r="I79" s="3">
        <v>4</v>
      </c>
      <c r="J79" s="3">
        <v>3</v>
      </c>
      <c r="K79" s="3" t="s">
        <v>27</v>
      </c>
    </row>
    <row r="80" spans="1:11" x14ac:dyDescent="0.3">
      <c r="A80" s="4">
        <v>79.510000000000005</v>
      </c>
      <c r="B80" s="4">
        <v>22.47</v>
      </c>
      <c r="C80" s="3">
        <v>2001</v>
      </c>
      <c r="D80" s="3">
        <v>1</v>
      </c>
      <c r="E80" s="3">
        <v>3</v>
      </c>
      <c r="F80" s="3">
        <v>3</v>
      </c>
      <c r="G80" s="3" t="s">
        <v>19</v>
      </c>
      <c r="H80" s="3">
        <v>33</v>
      </c>
      <c r="I80" s="3">
        <v>22</v>
      </c>
      <c r="J80" s="3">
        <v>15</v>
      </c>
      <c r="K80" s="3" t="s">
        <v>27</v>
      </c>
    </row>
    <row r="81" spans="1:11" x14ac:dyDescent="0.3">
      <c r="A81" s="4">
        <v>75.400000000000006</v>
      </c>
      <c r="B81" s="4">
        <v>22.73</v>
      </c>
      <c r="C81" s="3">
        <v>2001</v>
      </c>
      <c r="D81" s="3">
        <v>1</v>
      </c>
      <c r="E81" s="3">
        <v>13</v>
      </c>
      <c r="F81" s="3">
        <v>3.3</v>
      </c>
      <c r="G81" s="3" t="s">
        <v>19</v>
      </c>
      <c r="H81" s="3">
        <v>2</v>
      </c>
      <c r="I81" s="3">
        <v>5</v>
      </c>
      <c r="J81" s="3">
        <v>6</v>
      </c>
      <c r="K81" s="3" t="s">
        <v>27</v>
      </c>
    </row>
    <row r="82" spans="1:11" x14ac:dyDescent="0.3">
      <c r="A82" s="4">
        <v>79.77</v>
      </c>
      <c r="B82" s="4">
        <v>23.16</v>
      </c>
      <c r="C82" s="3">
        <v>2001</v>
      </c>
      <c r="D82" s="3">
        <v>1</v>
      </c>
      <c r="E82" s="3">
        <v>23</v>
      </c>
      <c r="F82" s="3">
        <v>3.4</v>
      </c>
      <c r="G82" s="3" t="s">
        <v>20</v>
      </c>
      <c r="H82" s="3">
        <v>13</v>
      </c>
      <c r="I82" s="3">
        <v>23</v>
      </c>
      <c r="J82" s="3">
        <v>22</v>
      </c>
      <c r="K82" s="3" t="s">
        <v>27</v>
      </c>
    </row>
    <row r="83" spans="1:11" x14ac:dyDescent="0.3">
      <c r="A83" s="4">
        <v>71.599999999999994</v>
      </c>
      <c r="B83" s="4">
        <v>23.53</v>
      </c>
      <c r="C83" s="3">
        <v>2001</v>
      </c>
      <c r="D83" s="3">
        <v>1</v>
      </c>
      <c r="E83" s="3">
        <v>26</v>
      </c>
      <c r="F83" s="3">
        <v>3.3</v>
      </c>
      <c r="G83" s="3" t="s">
        <v>19</v>
      </c>
      <c r="H83" s="3">
        <v>33</v>
      </c>
      <c r="I83" s="3">
        <v>17</v>
      </c>
      <c r="J83" s="3">
        <v>53</v>
      </c>
      <c r="K83" s="3" t="s">
        <v>27</v>
      </c>
    </row>
    <row r="84" spans="1:11" x14ac:dyDescent="0.3">
      <c r="A84" s="4">
        <v>71.25</v>
      </c>
      <c r="B84" s="4">
        <v>23.33</v>
      </c>
      <c r="C84" s="3">
        <v>2001</v>
      </c>
      <c r="D84" s="3">
        <v>1</v>
      </c>
      <c r="E84" s="3">
        <v>27</v>
      </c>
      <c r="F84" s="3">
        <v>3.7</v>
      </c>
      <c r="G84" s="3" t="s">
        <v>19</v>
      </c>
      <c r="H84" s="3">
        <v>5</v>
      </c>
      <c r="I84" s="3">
        <v>0</v>
      </c>
      <c r="J84" s="3">
        <v>14</v>
      </c>
      <c r="K84" s="3" t="s">
        <v>27</v>
      </c>
    </row>
    <row r="85" spans="1:11" x14ac:dyDescent="0.3">
      <c r="A85" s="4">
        <v>71.099999999999994</v>
      </c>
      <c r="B85" s="4">
        <v>23.37</v>
      </c>
      <c r="C85" s="3">
        <v>2001</v>
      </c>
      <c r="D85" s="3">
        <v>1</v>
      </c>
      <c r="E85" s="3">
        <v>27</v>
      </c>
      <c r="F85" s="3">
        <v>3.9</v>
      </c>
      <c r="G85" s="3" t="s">
        <v>19</v>
      </c>
      <c r="H85" s="3">
        <v>5</v>
      </c>
      <c r="I85" s="3">
        <v>4</v>
      </c>
      <c r="J85" s="3">
        <v>44</v>
      </c>
      <c r="K85" s="3" t="s">
        <v>27</v>
      </c>
    </row>
    <row r="86" spans="1:11" x14ac:dyDescent="0.3">
      <c r="A86" s="4">
        <v>80.31</v>
      </c>
      <c r="B86" s="4">
        <v>22.68</v>
      </c>
      <c r="C86" s="3">
        <v>2001</v>
      </c>
      <c r="D86" s="3">
        <v>2</v>
      </c>
      <c r="E86" s="3">
        <v>21</v>
      </c>
      <c r="F86" s="3">
        <v>3.1</v>
      </c>
      <c r="G86" s="3" t="s">
        <v>19</v>
      </c>
      <c r="H86" s="3">
        <v>33</v>
      </c>
      <c r="I86" s="3">
        <v>23</v>
      </c>
      <c r="J86" s="3">
        <v>52</v>
      </c>
      <c r="K86" s="3" t="s">
        <v>27</v>
      </c>
    </row>
    <row r="87" spans="1:11" x14ac:dyDescent="0.3">
      <c r="A87" s="4">
        <v>71.58</v>
      </c>
      <c r="B87" s="4">
        <v>21.4</v>
      </c>
      <c r="C87" s="3">
        <v>2001</v>
      </c>
      <c r="D87" s="3">
        <v>2</v>
      </c>
      <c r="E87" s="3">
        <v>27</v>
      </c>
      <c r="F87" s="3">
        <v>3.7</v>
      </c>
      <c r="G87" s="3" t="s">
        <v>29</v>
      </c>
      <c r="H87" s="3">
        <v>7</v>
      </c>
      <c r="I87" s="3">
        <v>7</v>
      </c>
      <c r="J87" s="3">
        <v>56</v>
      </c>
      <c r="K87" s="3" t="s">
        <v>27</v>
      </c>
    </row>
    <row r="88" spans="1:11" x14ac:dyDescent="0.3">
      <c r="A88" s="4">
        <v>71.81</v>
      </c>
      <c r="B88" s="4">
        <v>24.18</v>
      </c>
      <c r="C88" s="3">
        <v>2001</v>
      </c>
      <c r="D88" s="3">
        <v>3</v>
      </c>
      <c r="E88" s="3">
        <v>15</v>
      </c>
      <c r="F88" s="3">
        <v>3.1</v>
      </c>
      <c r="G88" s="3" t="s">
        <v>19</v>
      </c>
      <c r="H88" s="3">
        <v>15</v>
      </c>
      <c r="I88" s="3">
        <v>8</v>
      </c>
      <c r="J88" s="3">
        <v>33</v>
      </c>
      <c r="K88" s="3" t="s">
        <v>27</v>
      </c>
    </row>
    <row r="89" spans="1:11" x14ac:dyDescent="0.3">
      <c r="A89" s="4">
        <v>71.400000000000006</v>
      </c>
      <c r="B89" s="4">
        <v>23.74</v>
      </c>
      <c r="C89" s="3">
        <v>2001</v>
      </c>
      <c r="D89" s="3">
        <v>3</v>
      </c>
      <c r="E89" s="3">
        <v>30</v>
      </c>
      <c r="F89" s="3">
        <v>3.1</v>
      </c>
      <c r="G89" s="3" t="s">
        <v>19</v>
      </c>
      <c r="H89" s="3">
        <v>15</v>
      </c>
      <c r="I89" s="3">
        <v>19</v>
      </c>
      <c r="J89" s="3">
        <v>17</v>
      </c>
      <c r="K89" s="3" t="s">
        <v>27</v>
      </c>
    </row>
    <row r="90" spans="1:11" x14ac:dyDescent="0.3">
      <c r="A90" s="4">
        <v>76.37</v>
      </c>
      <c r="B90" s="4">
        <v>18.7</v>
      </c>
      <c r="C90" s="3">
        <v>2001</v>
      </c>
      <c r="D90" s="3">
        <v>5</v>
      </c>
      <c r="E90" s="3">
        <v>15</v>
      </c>
      <c r="F90" s="3">
        <v>3.2</v>
      </c>
      <c r="G90" s="3" t="s">
        <v>19</v>
      </c>
      <c r="H90" s="3">
        <v>9</v>
      </c>
      <c r="I90" s="3">
        <v>22</v>
      </c>
      <c r="J90" s="3">
        <v>35</v>
      </c>
      <c r="K90" s="3" t="s">
        <v>27</v>
      </c>
    </row>
    <row r="91" spans="1:11" x14ac:dyDescent="0.3">
      <c r="A91" s="4">
        <v>70.97</v>
      </c>
      <c r="B91" s="4">
        <v>22.89</v>
      </c>
      <c r="C91" s="3">
        <v>2001</v>
      </c>
      <c r="D91" s="3">
        <v>8</v>
      </c>
      <c r="E91" s="3">
        <v>7</v>
      </c>
      <c r="F91" s="3">
        <v>3.2</v>
      </c>
      <c r="G91" s="3" t="s">
        <v>19</v>
      </c>
      <c r="H91" s="3">
        <v>4</v>
      </c>
      <c r="I91" s="3">
        <v>16</v>
      </c>
      <c r="J91" s="3">
        <v>44</v>
      </c>
      <c r="K91" s="3" t="s">
        <v>27</v>
      </c>
    </row>
    <row r="92" spans="1:11" x14ac:dyDescent="0.3">
      <c r="A92" s="4">
        <v>76.73</v>
      </c>
      <c r="B92" s="4">
        <v>19.7</v>
      </c>
      <c r="C92" s="3">
        <v>2001</v>
      </c>
      <c r="D92" s="3">
        <v>11</v>
      </c>
      <c r="E92" s="3">
        <v>6</v>
      </c>
      <c r="F92" s="3">
        <v>3.1</v>
      </c>
      <c r="G92" s="3" t="s">
        <v>28</v>
      </c>
      <c r="H92" s="3">
        <v>15</v>
      </c>
      <c r="I92" s="3">
        <v>4</v>
      </c>
      <c r="J92" s="3">
        <v>1</v>
      </c>
      <c r="K92" s="3" t="s">
        <v>27</v>
      </c>
    </row>
    <row r="93" spans="1:11" x14ac:dyDescent="0.3">
      <c r="A93" s="4">
        <v>77.17</v>
      </c>
      <c r="B93" s="4">
        <v>19.39</v>
      </c>
      <c r="C93" s="3">
        <v>2001</v>
      </c>
      <c r="D93" s="3">
        <v>11</v>
      </c>
      <c r="E93" s="3">
        <v>8</v>
      </c>
      <c r="F93" s="3">
        <v>3.1</v>
      </c>
      <c r="G93" s="3" t="s">
        <v>19</v>
      </c>
      <c r="H93" s="3">
        <v>15</v>
      </c>
      <c r="I93" s="3">
        <v>12</v>
      </c>
      <c r="J93" s="3">
        <v>6</v>
      </c>
      <c r="K93" s="3" t="s">
        <v>27</v>
      </c>
    </row>
    <row r="94" spans="1:11" x14ac:dyDescent="0.3">
      <c r="A94" s="4">
        <v>72.760000000000005</v>
      </c>
      <c r="B94" s="4">
        <v>19.73</v>
      </c>
      <c r="C94" s="3">
        <v>2001</v>
      </c>
      <c r="D94" s="3">
        <v>12</v>
      </c>
      <c r="E94" s="3">
        <v>22</v>
      </c>
      <c r="F94" s="3">
        <v>3.3</v>
      </c>
      <c r="G94" s="3" t="s">
        <v>19</v>
      </c>
      <c r="H94" s="3">
        <v>10</v>
      </c>
      <c r="I94" s="3">
        <v>18</v>
      </c>
      <c r="J94" s="3">
        <v>25</v>
      </c>
      <c r="K94" s="3" t="s">
        <v>27</v>
      </c>
    </row>
    <row r="95" spans="1:11" x14ac:dyDescent="0.3">
      <c r="A95" s="4">
        <v>73.52</v>
      </c>
      <c r="B95" s="4">
        <v>24.99</v>
      </c>
      <c r="C95" s="3">
        <v>2002</v>
      </c>
      <c r="D95" s="3">
        <v>1</v>
      </c>
      <c r="E95" s="3">
        <v>22</v>
      </c>
      <c r="F95" s="3">
        <v>3.2</v>
      </c>
      <c r="G95" s="3" t="s">
        <v>19</v>
      </c>
      <c r="H95" s="3">
        <v>5</v>
      </c>
      <c r="I95" s="3">
        <v>16</v>
      </c>
      <c r="J95" s="3">
        <v>59</v>
      </c>
      <c r="K95" s="3" t="s">
        <v>27</v>
      </c>
    </row>
    <row r="96" spans="1:11" x14ac:dyDescent="0.3">
      <c r="A96" s="4">
        <v>73.900000000000006</v>
      </c>
      <c r="B96" s="4">
        <v>22.94</v>
      </c>
      <c r="C96" s="3">
        <v>2002</v>
      </c>
      <c r="D96" s="3">
        <v>1</v>
      </c>
      <c r="E96" s="3">
        <v>23</v>
      </c>
      <c r="F96" s="3">
        <v>3</v>
      </c>
      <c r="G96" s="3" t="s">
        <v>19</v>
      </c>
      <c r="H96" s="3">
        <v>19</v>
      </c>
      <c r="I96" s="3">
        <v>15</v>
      </c>
      <c r="J96" s="3">
        <v>41</v>
      </c>
      <c r="K96" s="3" t="s">
        <v>27</v>
      </c>
    </row>
    <row r="97" spans="1:11" x14ac:dyDescent="0.3">
      <c r="A97" s="4">
        <v>71.31</v>
      </c>
      <c r="B97" s="4">
        <v>23.41</v>
      </c>
      <c r="C97" s="3">
        <v>2002</v>
      </c>
      <c r="D97" s="3">
        <v>1</v>
      </c>
      <c r="E97" s="3">
        <v>29</v>
      </c>
      <c r="F97" s="3">
        <v>3.2</v>
      </c>
      <c r="G97" s="3" t="s">
        <v>19</v>
      </c>
      <c r="H97" s="3">
        <v>10</v>
      </c>
      <c r="I97" s="3">
        <v>23</v>
      </c>
      <c r="J97" s="3">
        <v>12</v>
      </c>
      <c r="K97" s="3" t="s">
        <v>27</v>
      </c>
    </row>
    <row r="98" spans="1:11" x14ac:dyDescent="0.3">
      <c r="A98" s="4">
        <v>74.78</v>
      </c>
      <c r="B98" s="4">
        <v>20.63</v>
      </c>
      <c r="C98" s="3">
        <v>2002</v>
      </c>
      <c r="D98" s="3">
        <v>2</v>
      </c>
      <c r="E98" s="3">
        <v>6</v>
      </c>
      <c r="F98" s="3">
        <v>3</v>
      </c>
      <c r="G98" s="3" t="s">
        <v>19</v>
      </c>
      <c r="H98" s="3">
        <v>5</v>
      </c>
      <c r="I98" s="3">
        <v>9</v>
      </c>
      <c r="J98" s="3">
        <v>45</v>
      </c>
      <c r="K98" s="3" t="s">
        <v>27</v>
      </c>
    </row>
    <row r="99" spans="1:11" x14ac:dyDescent="0.3">
      <c r="A99" s="4">
        <v>79.31</v>
      </c>
      <c r="B99" s="4">
        <v>22.31</v>
      </c>
      <c r="C99" s="3">
        <v>2002</v>
      </c>
      <c r="D99" s="3">
        <v>3</v>
      </c>
      <c r="E99" s="3">
        <v>7</v>
      </c>
      <c r="F99" s="3">
        <v>3</v>
      </c>
      <c r="G99" s="3" t="s">
        <v>19</v>
      </c>
      <c r="H99" s="3">
        <v>37</v>
      </c>
      <c r="I99" s="3">
        <v>0</v>
      </c>
      <c r="J99" s="3">
        <v>54</v>
      </c>
      <c r="K99" s="3" t="s">
        <v>27</v>
      </c>
    </row>
    <row r="100" spans="1:11" x14ac:dyDescent="0.3">
      <c r="A100" s="4">
        <v>72.459999999999994</v>
      </c>
      <c r="B100" s="4">
        <v>25.19</v>
      </c>
      <c r="C100" s="3">
        <v>2002</v>
      </c>
      <c r="D100" s="3">
        <v>3</v>
      </c>
      <c r="E100" s="3">
        <v>14</v>
      </c>
      <c r="F100" s="3">
        <v>3.7</v>
      </c>
      <c r="G100" s="3" t="s">
        <v>19</v>
      </c>
      <c r="H100" s="3">
        <v>15</v>
      </c>
      <c r="I100" s="3">
        <v>1</v>
      </c>
      <c r="J100" s="3">
        <v>6</v>
      </c>
      <c r="K100" s="3" t="s">
        <v>27</v>
      </c>
    </row>
    <row r="101" spans="1:11" x14ac:dyDescent="0.3">
      <c r="A101" s="4">
        <v>79.48</v>
      </c>
      <c r="B101" s="4">
        <v>22.6</v>
      </c>
      <c r="C101" s="3">
        <v>2002</v>
      </c>
      <c r="D101" s="3">
        <v>4</v>
      </c>
      <c r="E101" s="3">
        <v>17</v>
      </c>
      <c r="F101" s="3">
        <v>3.2</v>
      </c>
      <c r="G101" s="3" t="s">
        <v>19</v>
      </c>
      <c r="H101" s="3">
        <v>18</v>
      </c>
      <c r="I101" s="3">
        <v>9</v>
      </c>
      <c r="J101" s="3">
        <v>17</v>
      </c>
      <c r="K101" s="3" t="s">
        <v>27</v>
      </c>
    </row>
    <row r="102" spans="1:11" x14ac:dyDescent="0.3">
      <c r="A102" s="4">
        <v>72.89</v>
      </c>
      <c r="B102" s="4">
        <v>21.14</v>
      </c>
      <c r="C102" s="3">
        <v>2002</v>
      </c>
      <c r="D102" s="3">
        <v>5</v>
      </c>
      <c r="E102" s="3">
        <v>5</v>
      </c>
      <c r="F102" s="3">
        <v>2.8</v>
      </c>
      <c r="G102" s="3" t="s">
        <v>19</v>
      </c>
      <c r="H102" s="3">
        <v>15</v>
      </c>
      <c r="I102" s="3">
        <v>16</v>
      </c>
      <c r="J102" s="3">
        <v>2</v>
      </c>
      <c r="K102" s="3" t="s">
        <v>27</v>
      </c>
    </row>
    <row r="103" spans="1:11" x14ac:dyDescent="0.3">
      <c r="A103" s="4">
        <v>75.209999999999994</v>
      </c>
      <c r="B103" s="4">
        <v>21.37</v>
      </c>
      <c r="C103" s="3">
        <v>2002</v>
      </c>
      <c r="D103" s="3">
        <v>5</v>
      </c>
      <c r="E103" s="3">
        <v>20</v>
      </c>
      <c r="F103" s="3">
        <v>3.7</v>
      </c>
      <c r="G103" s="3" t="s">
        <v>19</v>
      </c>
      <c r="H103" s="3">
        <v>15</v>
      </c>
      <c r="I103" s="3">
        <v>0</v>
      </c>
      <c r="J103" s="3">
        <v>55</v>
      </c>
      <c r="K103" s="3" t="s">
        <v>27</v>
      </c>
    </row>
    <row r="104" spans="1:11" x14ac:dyDescent="0.3">
      <c r="A104" s="4">
        <v>75.66</v>
      </c>
      <c r="B104" s="4">
        <v>21.37</v>
      </c>
      <c r="C104" s="3">
        <v>2002</v>
      </c>
      <c r="D104" s="3">
        <v>8</v>
      </c>
      <c r="E104" s="3">
        <v>31</v>
      </c>
      <c r="F104" s="3">
        <v>3</v>
      </c>
      <c r="G104" s="3" t="s">
        <v>19</v>
      </c>
      <c r="H104" s="3">
        <v>10</v>
      </c>
      <c r="I104" s="3">
        <v>17</v>
      </c>
      <c r="J104" s="3">
        <v>12</v>
      </c>
      <c r="K104" s="3" t="s">
        <v>27</v>
      </c>
    </row>
    <row r="105" spans="1:11" x14ac:dyDescent="0.3">
      <c r="A105" s="4">
        <v>73.709999999999994</v>
      </c>
      <c r="B105" s="4">
        <v>24.68</v>
      </c>
      <c r="C105" s="3">
        <v>2002</v>
      </c>
      <c r="D105" s="3">
        <v>9</v>
      </c>
      <c r="E105" s="3">
        <v>13</v>
      </c>
      <c r="F105" s="3">
        <v>3.4</v>
      </c>
      <c r="G105" s="3" t="s">
        <v>19</v>
      </c>
      <c r="H105" s="3">
        <v>10</v>
      </c>
      <c r="I105" s="3">
        <v>19</v>
      </c>
      <c r="J105" s="3">
        <v>5</v>
      </c>
      <c r="K105" s="3" t="s">
        <v>27</v>
      </c>
    </row>
    <row r="106" spans="1:11" x14ac:dyDescent="0.3">
      <c r="A106" s="4">
        <v>80.400000000000006</v>
      </c>
      <c r="B106" s="4">
        <v>23.75</v>
      </c>
      <c r="C106" s="3">
        <v>2002</v>
      </c>
      <c r="D106" s="3">
        <v>9</v>
      </c>
      <c r="E106" s="3">
        <v>21</v>
      </c>
      <c r="F106" s="3">
        <v>3.3</v>
      </c>
      <c r="G106" s="3" t="s">
        <v>19</v>
      </c>
      <c r="H106" s="3">
        <v>10</v>
      </c>
      <c r="I106" s="3">
        <v>16</v>
      </c>
      <c r="J106" s="3">
        <v>17</v>
      </c>
      <c r="K106" s="3" t="s">
        <v>27</v>
      </c>
    </row>
    <row r="107" spans="1:11" x14ac:dyDescent="0.3">
      <c r="A107" s="4">
        <v>78.28</v>
      </c>
      <c r="B107" s="4">
        <v>19.64</v>
      </c>
      <c r="C107" s="3">
        <v>2002</v>
      </c>
      <c r="D107" s="3">
        <v>9</v>
      </c>
      <c r="E107" s="3">
        <v>24</v>
      </c>
      <c r="F107" s="3">
        <v>3</v>
      </c>
      <c r="G107" s="3" t="s">
        <v>19</v>
      </c>
      <c r="H107" s="3">
        <v>10</v>
      </c>
      <c r="I107" s="3">
        <v>22</v>
      </c>
      <c r="J107" s="3">
        <v>49</v>
      </c>
      <c r="K107" s="3" t="s">
        <v>27</v>
      </c>
    </row>
    <row r="108" spans="1:11" x14ac:dyDescent="0.3">
      <c r="A108" s="4">
        <v>76.36</v>
      </c>
      <c r="B108" s="4">
        <v>21.28</v>
      </c>
      <c r="C108" s="3">
        <v>2002</v>
      </c>
      <c r="D108" s="3">
        <v>11</v>
      </c>
      <c r="E108" s="3">
        <v>3</v>
      </c>
      <c r="F108" s="3">
        <v>2.9</v>
      </c>
      <c r="G108" s="3" t="s">
        <v>19</v>
      </c>
      <c r="H108" s="3">
        <v>10</v>
      </c>
      <c r="I108" s="3">
        <v>3</v>
      </c>
      <c r="J108" s="3">
        <v>27</v>
      </c>
      <c r="K108" s="3" t="s">
        <v>27</v>
      </c>
    </row>
    <row r="109" spans="1:11" x14ac:dyDescent="0.3">
      <c r="A109" s="4">
        <v>73.62</v>
      </c>
      <c r="B109" s="4">
        <v>20.71</v>
      </c>
      <c r="C109" s="3">
        <v>2002</v>
      </c>
      <c r="D109" s="3">
        <v>12</v>
      </c>
      <c r="E109" s="3">
        <v>1</v>
      </c>
      <c r="F109" s="3">
        <v>3</v>
      </c>
      <c r="G109" s="3" t="s">
        <v>19</v>
      </c>
      <c r="H109" s="3">
        <v>1</v>
      </c>
      <c r="I109" s="3">
        <v>13</v>
      </c>
      <c r="J109" s="3">
        <v>3</v>
      </c>
      <c r="K109" s="3" t="s">
        <v>27</v>
      </c>
    </row>
    <row r="110" spans="1:11" x14ac:dyDescent="0.3">
      <c r="A110" s="4">
        <v>77.41</v>
      </c>
      <c r="B110" s="4">
        <v>20.61</v>
      </c>
      <c r="C110" s="3">
        <v>2003</v>
      </c>
      <c r="D110" s="3">
        <v>1</v>
      </c>
      <c r="E110" s="3">
        <v>19</v>
      </c>
      <c r="F110" s="3">
        <v>3.1</v>
      </c>
      <c r="G110" s="3" t="s">
        <v>29</v>
      </c>
      <c r="H110" s="3">
        <v>7</v>
      </c>
      <c r="I110" s="3">
        <v>15</v>
      </c>
      <c r="J110" s="3">
        <v>18</v>
      </c>
      <c r="K110" s="3" t="s">
        <v>27</v>
      </c>
    </row>
    <row r="111" spans="1:11" x14ac:dyDescent="0.3">
      <c r="A111" s="4">
        <v>72.5</v>
      </c>
      <c r="B111" s="4">
        <v>20.14</v>
      </c>
      <c r="C111" s="3">
        <v>2003</v>
      </c>
      <c r="D111" s="3">
        <v>2</v>
      </c>
      <c r="E111" s="3">
        <v>13</v>
      </c>
      <c r="F111" s="3">
        <v>3.1</v>
      </c>
      <c r="G111" s="3" t="s">
        <v>29</v>
      </c>
      <c r="H111" s="3">
        <v>13</v>
      </c>
      <c r="I111" s="3">
        <v>2</v>
      </c>
      <c r="J111" s="3">
        <v>0</v>
      </c>
      <c r="K111" s="3" t="s">
        <v>27</v>
      </c>
    </row>
    <row r="112" spans="1:11" x14ac:dyDescent="0.3">
      <c r="A112" s="4">
        <v>77.19</v>
      </c>
      <c r="B112" s="4">
        <v>21.27</v>
      </c>
      <c r="C112" s="3">
        <v>2003</v>
      </c>
      <c r="D112" s="3">
        <v>3</v>
      </c>
      <c r="E112" s="3">
        <v>11</v>
      </c>
      <c r="F112" s="3">
        <v>3.8</v>
      </c>
      <c r="G112" s="3" t="s">
        <v>19</v>
      </c>
      <c r="H112" s="3">
        <v>9</v>
      </c>
      <c r="I112" s="3">
        <v>4</v>
      </c>
      <c r="J112" s="3">
        <v>15</v>
      </c>
      <c r="K112" s="3" t="s">
        <v>27</v>
      </c>
    </row>
    <row r="113" spans="1:11" x14ac:dyDescent="0.3">
      <c r="A113" s="4">
        <v>74.180000000000007</v>
      </c>
      <c r="B113" s="4">
        <v>21.71</v>
      </c>
      <c r="C113" s="3">
        <v>2003</v>
      </c>
      <c r="D113" s="3">
        <v>7</v>
      </c>
      <c r="E113" s="3">
        <v>27</v>
      </c>
      <c r="F113" s="3">
        <v>3.8</v>
      </c>
      <c r="G113" s="3" t="s">
        <v>19</v>
      </c>
      <c r="H113" s="3">
        <v>12</v>
      </c>
      <c r="I113" s="3">
        <v>10</v>
      </c>
      <c r="J113" s="3">
        <v>5</v>
      </c>
      <c r="K113" s="3" t="s">
        <v>27</v>
      </c>
    </row>
    <row r="114" spans="1:11" x14ac:dyDescent="0.3">
      <c r="A114" s="4">
        <v>76.099999999999994</v>
      </c>
      <c r="B114" s="4">
        <v>21.47</v>
      </c>
      <c r="C114" s="3">
        <v>2003</v>
      </c>
      <c r="D114" s="3">
        <v>11</v>
      </c>
      <c r="E114" s="3">
        <v>22</v>
      </c>
      <c r="F114" s="3">
        <v>3.5</v>
      </c>
      <c r="G114" s="3" t="s">
        <v>19</v>
      </c>
      <c r="H114" s="3">
        <v>3</v>
      </c>
      <c r="I114" s="3">
        <v>5</v>
      </c>
      <c r="J114" s="3">
        <v>48</v>
      </c>
      <c r="K114" s="3" t="s">
        <v>27</v>
      </c>
    </row>
    <row r="115" spans="1:11" x14ac:dyDescent="0.3">
      <c r="A115" s="4">
        <v>80.239999999999995</v>
      </c>
      <c r="B115" s="4">
        <v>21.24</v>
      </c>
      <c r="C115" s="3">
        <v>2003</v>
      </c>
      <c r="D115" s="3">
        <v>11</v>
      </c>
      <c r="E115" s="3">
        <v>29</v>
      </c>
      <c r="F115" s="3">
        <v>3.1</v>
      </c>
      <c r="G115" s="3" t="s">
        <v>19</v>
      </c>
      <c r="H115" s="3">
        <v>13</v>
      </c>
      <c r="I115" s="3">
        <v>12</v>
      </c>
      <c r="J115" s="3">
        <v>35</v>
      </c>
      <c r="K115" s="3" t="s">
        <v>27</v>
      </c>
    </row>
    <row r="116" spans="1:11" x14ac:dyDescent="0.3">
      <c r="A116" s="4">
        <v>74.55</v>
      </c>
      <c r="B116" s="4">
        <v>22.1</v>
      </c>
      <c r="C116" s="3">
        <v>2003</v>
      </c>
      <c r="D116" s="3">
        <v>12</v>
      </c>
      <c r="E116" s="3">
        <v>24</v>
      </c>
      <c r="F116" s="3">
        <v>3.4</v>
      </c>
      <c r="G116" s="3" t="s">
        <v>19</v>
      </c>
      <c r="H116" s="3">
        <v>5</v>
      </c>
      <c r="I116" s="3">
        <v>0</v>
      </c>
      <c r="J116" s="3">
        <v>39</v>
      </c>
      <c r="K116" s="3" t="s">
        <v>27</v>
      </c>
    </row>
    <row r="117" spans="1:11" x14ac:dyDescent="0.3">
      <c r="A117" s="4">
        <v>74.7</v>
      </c>
      <c r="B117" s="4">
        <v>22.15</v>
      </c>
      <c r="C117" s="3">
        <v>2003</v>
      </c>
      <c r="D117" s="3">
        <v>12</v>
      </c>
      <c r="E117" s="3">
        <v>24</v>
      </c>
      <c r="F117" s="3">
        <v>2.7</v>
      </c>
      <c r="G117" s="3" t="s">
        <v>19</v>
      </c>
      <c r="H117" s="3">
        <v>40</v>
      </c>
      <c r="I117" s="3">
        <v>21</v>
      </c>
      <c r="J117" s="3">
        <v>17</v>
      </c>
      <c r="K117" s="3" t="s">
        <v>27</v>
      </c>
    </row>
    <row r="118" spans="1:11" x14ac:dyDescent="0.3">
      <c r="A118" s="4">
        <v>76.89</v>
      </c>
      <c r="B118" s="4">
        <v>20.67</v>
      </c>
      <c r="C118" s="3">
        <v>2003</v>
      </c>
      <c r="D118" s="3">
        <v>12</v>
      </c>
      <c r="E118" s="3">
        <v>27</v>
      </c>
      <c r="F118" s="3">
        <v>3.1</v>
      </c>
      <c r="G118" s="3" t="s">
        <v>19</v>
      </c>
      <c r="H118" s="3">
        <v>13</v>
      </c>
      <c r="I118" s="3">
        <v>0</v>
      </c>
      <c r="J118" s="3">
        <v>7</v>
      </c>
      <c r="K118" s="3" t="s">
        <v>27</v>
      </c>
    </row>
    <row r="119" spans="1:11" x14ac:dyDescent="0.3">
      <c r="A119" s="4">
        <v>72.66</v>
      </c>
      <c r="B119" s="4">
        <v>25.3</v>
      </c>
      <c r="C119" s="3">
        <v>2004</v>
      </c>
      <c r="D119" s="3">
        <v>2</v>
      </c>
      <c r="E119" s="3">
        <v>19</v>
      </c>
      <c r="F119" s="3">
        <v>4.0999999999999996</v>
      </c>
      <c r="G119" s="3" t="s">
        <v>19</v>
      </c>
      <c r="H119" s="3">
        <v>7</v>
      </c>
      <c r="I119" s="3">
        <v>8</v>
      </c>
      <c r="J119" s="3">
        <v>10</v>
      </c>
      <c r="K119" s="3" t="s">
        <v>27</v>
      </c>
    </row>
    <row r="120" spans="1:11" x14ac:dyDescent="0.3">
      <c r="A120" s="4">
        <v>75.8</v>
      </c>
      <c r="B120" s="4">
        <v>21.69</v>
      </c>
      <c r="C120" s="3">
        <v>2004</v>
      </c>
      <c r="D120" s="3">
        <v>3</v>
      </c>
      <c r="E120" s="3">
        <v>1</v>
      </c>
      <c r="F120" s="3">
        <v>3</v>
      </c>
      <c r="G120" s="3" t="s">
        <v>19</v>
      </c>
      <c r="H120" s="3">
        <v>10</v>
      </c>
      <c r="I120" s="3">
        <v>12</v>
      </c>
      <c r="J120" s="3">
        <v>8</v>
      </c>
      <c r="K120" s="3" t="s">
        <v>27</v>
      </c>
    </row>
    <row r="121" spans="1:11" x14ac:dyDescent="0.3">
      <c r="A121" s="4">
        <v>78.98</v>
      </c>
      <c r="B121" s="4">
        <v>21.2</v>
      </c>
      <c r="C121" s="3">
        <v>2004</v>
      </c>
      <c r="D121" s="3">
        <v>5</v>
      </c>
      <c r="E121" s="3">
        <v>12</v>
      </c>
      <c r="F121" s="3">
        <v>3</v>
      </c>
      <c r="G121" s="3" t="s">
        <v>19</v>
      </c>
      <c r="H121" s="3">
        <v>4</v>
      </c>
      <c r="I121" s="3">
        <v>5</v>
      </c>
      <c r="J121" s="3">
        <v>59</v>
      </c>
      <c r="K121" s="3" t="s">
        <v>27</v>
      </c>
    </row>
    <row r="122" spans="1:11" x14ac:dyDescent="0.3">
      <c r="A122" s="4">
        <v>73.61</v>
      </c>
      <c r="B122" s="4">
        <v>24.94</v>
      </c>
      <c r="C122" s="3">
        <v>2004</v>
      </c>
      <c r="D122" s="3">
        <v>6</v>
      </c>
      <c r="E122" s="3">
        <v>17</v>
      </c>
      <c r="F122" s="3">
        <v>3.9</v>
      </c>
      <c r="G122" s="3" t="s">
        <v>19</v>
      </c>
      <c r="H122" s="3">
        <v>6</v>
      </c>
      <c r="I122" s="3">
        <v>14</v>
      </c>
      <c r="J122" s="3">
        <v>11</v>
      </c>
      <c r="K122" s="3" t="s">
        <v>27</v>
      </c>
    </row>
    <row r="123" spans="1:11" x14ac:dyDescent="0.3">
      <c r="A123" s="4">
        <v>77.930000000000007</v>
      </c>
      <c r="B123" s="4">
        <v>20.14</v>
      </c>
      <c r="C123" s="3">
        <v>2004</v>
      </c>
      <c r="D123" s="3">
        <v>12</v>
      </c>
      <c r="E123" s="3">
        <v>2</v>
      </c>
      <c r="F123" s="3">
        <v>3.1</v>
      </c>
      <c r="G123" s="3" t="s">
        <v>19</v>
      </c>
      <c r="H123" s="3">
        <v>19</v>
      </c>
      <c r="I123" s="3">
        <v>15</v>
      </c>
      <c r="J123" s="3">
        <v>18</v>
      </c>
      <c r="K123" s="3" t="s">
        <v>27</v>
      </c>
    </row>
    <row r="124" spans="1:11" x14ac:dyDescent="0.3">
      <c r="A124" s="4">
        <v>71.650000000000006</v>
      </c>
      <c r="B124" s="4">
        <v>22.81</v>
      </c>
      <c r="C124" s="3">
        <v>2005</v>
      </c>
      <c r="D124" s="3">
        <v>1</v>
      </c>
      <c r="E124" s="3">
        <v>3</v>
      </c>
      <c r="F124" s="3">
        <v>3.1</v>
      </c>
      <c r="G124" s="3" t="s">
        <v>19</v>
      </c>
      <c r="H124" s="3">
        <v>20</v>
      </c>
      <c r="I124" s="3">
        <v>6</v>
      </c>
      <c r="J124" s="3">
        <v>6</v>
      </c>
      <c r="K124" s="3" t="s">
        <v>27</v>
      </c>
    </row>
    <row r="125" spans="1:11" x14ac:dyDescent="0.3">
      <c r="A125" s="4">
        <v>72.260000000000005</v>
      </c>
      <c r="B125" s="4">
        <v>23.39</v>
      </c>
      <c r="C125" s="3">
        <v>2005</v>
      </c>
      <c r="D125" s="3">
        <v>1</v>
      </c>
      <c r="E125" s="3">
        <v>6</v>
      </c>
      <c r="F125" s="3">
        <v>2.9</v>
      </c>
      <c r="G125" s="3" t="s">
        <v>19</v>
      </c>
      <c r="H125" s="3">
        <v>3</v>
      </c>
      <c r="I125" s="3">
        <v>16</v>
      </c>
      <c r="J125" s="3">
        <v>57</v>
      </c>
      <c r="K125" s="3" t="s">
        <v>27</v>
      </c>
    </row>
    <row r="126" spans="1:11" x14ac:dyDescent="0.3">
      <c r="A126" s="4">
        <v>78.7</v>
      </c>
      <c r="B126" s="4">
        <v>22.46</v>
      </c>
      <c r="C126" s="3">
        <v>2005</v>
      </c>
      <c r="D126" s="3">
        <v>3</v>
      </c>
      <c r="E126" s="3">
        <v>25</v>
      </c>
      <c r="F126" s="3">
        <v>3.8</v>
      </c>
      <c r="G126" s="3" t="s">
        <v>19</v>
      </c>
      <c r="H126" s="3">
        <v>10</v>
      </c>
      <c r="I126" s="3">
        <v>19</v>
      </c>
      <c r="J126" s="3">
        <v>33</v>
      </c>
      <c r="K126" s="3" t="s">
        <v>27</v>
      </c>
    </row>
    <row r="127" spans="1:11" x14ac:dyDescent="0.3">
      <c r="A127" s="4">
        <v>76.28</v>
      </c>
      <c r="B127" s="4">
        <v>21.46</v>
      </c>
      <c r="C127" s="3">
        <v>2005</v>
      </c>
      <c r="D127" s="3">
        <v>4</v>
      </c>
      <c r="E127" s="3">
        <v>1</v>
      </c>
      <c r="F127" s="3">
        <v>3.2</v>
      </c>
      <c r="G127" s="3" t="s">
        <v>19</v>
      </c>
      <c r="H127" s="3">
        <v>17</v>
      </c>
      <c r="I127" s="3">
        <v>22</v>
      </c>
      <c r="J127" s="3">
        <v>10</v>
      </c>
      <c r="K127" s="3" t="s">
        <v>27</v>
      </c>
    </row>
    <row r="128" spans="1:11" x14ac:dyDescent="0.3">
      <c r="A128" s="4">
        <v>76.62</v>
      </c>
      <c r="B128" s="4">
        <v>18.600000000000001</v>
      </c>
      <c r="C128" s="3">
        <v>2005</v>
      </c>
      <c r="D128" s="3">
        <v>4</v>
      </c>
      <c r="E128" s="3">
        <v>13</v>
      </c>
      <c r="F128" s="3">
        <v>3.5</v>
      </c>
      <c r="G128" s="3" t="s">
        <v>19</v>
      </c>
      <c r="H128" s="3">
        <v>5</v>
      </c>
      <c r="I128" s="3">
        <v>11</v>
      </c>
      <c r="J128" s="3">
        <v>37</v>
      </c>
      <c r="K128" s="3" t="s">
        <v>27</v>
      </c>
    </row>
    <row r="129" spans="1:11" x14ac:dyDescent="0.3">
      <c r="A129" s="4">
        <v>73.55</v>
      </c>
      <c r="B129" s="4">
        <v>25.3</v>
      </c>
      <c r="C129" s="3">
        <v>2005</v>
      </c>
      <c r="D129" s="3">
        <v>6</v>
      </c>
      <c r="E129" s="3">
        <v>1</v>
      </c>
      <c r="F129" s="3">
        <v>3.8</v>
      </c>
      <c r="G129" s="3" t="s">
        <v>19</v>
      </c>
      <c r="H129" s="3">
        <v>10</v>
      </c>
      <c r="I129" s="3">
        <v>16</v>
      </c>
      <c r="J129" s="3">
        <v>58</v>
      </c>
      <c r="K129" s="3" t="s">
        <v>27</v>
      </c>
    </row>
    <row r="130" spans="1:11" x14ac:dyDescent="0.3">
      <c r="A130" s="4">
        <v>73.2</v>
      </c>
      <c r="B130" s="4">
        <v>19.239999999999998</v>
      </c>
      <c r="C130" s="3">
        <v>2005</v>
      </c>
      <c r="D130" s="3">
        <v>6</v>
      </c>
      <c r="E130" s="3">
        <v>14</v>
      </c>
      <c r="F130" s="3">
        <v>3.7</v>
      </c>
      <c r="G130" s="3" t="s">
        <v>20</v>
      </c>
      <c r="H130" s="3">
        <v>2</v>
      </c>
      <c r="I130" s="3">
        <v>17</v>
      </c>
      <c r="J130" s="3">
        <v>46</v>
      </c>
      <c r="K130" s="3" t="s">
        <v>27</v>
      </c>
    </row>
    <row r="131" spans="1:11" x14ac:dyDescent="0.3">
      <c r="A131" s="4">
        <v>73.209999999999994</v>
      </c>
      <c r="B131" s="4">
        <v>19.14</v>
      </c>
      <c r="C131" s="3">
        <v>2005</v>
      </c>
      <c r="D131" s="3">
        <v>6</v>
      </c>
      <c r="E131" s="3">
        <v>18</v>
      </c>
      <c r="F131" s="3">
        <v>3.1</v>
      </c>
      <c r="G131" s="3" t="s">
        <v>19</v>
      </c>
      <c r="H131" s="3">
        <v>5</v>
      </c>
      <c r="I131" s="3">
        <v>8</v>
      </c>
      <c r="J131" s="3">
        <v>38</v>
      </c>
      <c r="K131" s="3" t="s">
        <v>27</v>
      </c>
    </row>
    <row r="132" spans="1:11" x14ac:dyDescent="0.3">
      <c r="A132" s="4">
        <v>73.41</v>
      </c>
      <c r="B132" s="4">
        <v>20.18</v>
      </c>
      <c r="C132" s="3">
        <v>2005</v>
      </c>
      <c r="D132" s="3">
        <v>11</v>
      </c>
      <c r="E132" s="3">
        <v>4</v>
      </c>
      <c r="F132" s="3">
        <v>3.1</v>
      </c>
      <c r="G132" s="3" t="s">
        <v>19</v>
      </c>
      <c r="H132" s="3">
        <v>5</v>
      </c>
      <c r="I132" s="3">
        <v>17</v>
      </c>
      <c r="J132" s="3">
        <v>3</v>
      </c>
      <c r="K132" s="3" t="s">
        <v>27</v>
      </c>
    </row>
    <row r="133" spans="1:11" x14ac:dyDescent="0.3">
      <c r="A133" s="4">
        <v>73.680000000000007</v>
      </c>
      <c r="B133" s="4">
        <v>25.12</v>
      </c>
      <c r="C133" s="3">
        <v>2005</v>
      </c>
      <c r="D133" s="3">
        <v>11</v>
      </c>
      <c r="E133" s="3">
        <v>29</v>
      </c>
      <c r="F133" s="3">
        <v>3</v>
      </c>
      <c r="G133" s="3" t="s">
        <v>19</v>
      </c>
      <c r="H133" s="3">
        <v>3</v>
      </c>
      <c r="I133" s="3">
        <v>1</v>
      </c>
      <c r="J133" s="3">
        <v>57</v>
      </c>
      <c r="K133" s="3" t="s">
        <v>27</v>
      </c>
    </row>
    <row r="134" spans="1:11" x14ac:dyDescent="0.3">
      <c r="A134" s="4">
        <v>76.39</v>
      </c>
      <c r="B134" s="4">
        <v>18.22</v>
      </c>
      <c r="C134" s="3">
        <v>2006</v>
      </c>
      <c r="D134" s="3">
        <v>1</v>
      </c>
      <c r="E134" s="3">
        <v>4</v>
      </c>
      <c r="F134" s="3">
        <v>3.5</v>
      </c>
      <c r="G134" s="3" t="s">
        <v>19</v>
      </c>
      <c r="H134" s="3">
        <v>7</v>
      </c>
      <c r="I134" s="3">
        <v>16</v>
      </c>
      <c r="J134" s="3">
        <v>31</v>
      </c>
      <c r="K134" s="3" t="s">
        <v>27</v>
      </c>
    </row>
    <row r="135" spans="1:11" x14ac:dyDescent="0.3">
      <c r="A135" s="4">
        <v>77.77</v>
      </c>
      <c r="B135" s="4">
        <v>22.43</v>
      </c>
      <c r="C135" s="3">
        <v>2006</v>
      </c>
      <c r="D135" s="3">
        <v>3</v>
      </c>
      <c r="E135" s="3">
        <v>7</v>
      </c>
      <c r="F135" s="3">
        <v>3.1</v>
      </c>
      <c r="G135" s="3" t="s">
        <v>19</v>
      </c>
      <c r="H135" s="3">
        <v>15</v>
      </c>
      <c r="I135" s="3">
        <v>10</v>
      </c>
      <c r="J135" s="3">
        <v>9</v>
      </c>
      <c r="K135" s="3" t="s">
        <v>27</v>
      </c>
    </row>
    <row r="136" spans="1:11" x14ac:dyDescent="0.3">
      <c r="A136" s="4">
        <v>72.27</v>
      </c>
      <c r="B136" s="4">
        <v>24.2</v>
      </c>
      <c r="C136" s="3">
        <v>2006</v>
      </c>
      <c r="D136" s="3">
        <v>5</v>
      </c>
      <c r="E136" s="3">
        <v>7</v>
      </c>
      <c r="F136" s="3">
        <v>3.8</v>
      </c>
      <c r="G136" s="3" t="s">
        <v>19</v>
      </c>
      <c r="H136" s="3">
        <v>5</v>
      </c>
      <c r="I136" s="3">
        <v>10</v>
      </c>
      <c r="J136" s="3">
        <v>54</v>
      </c>
      <c r="K136" s="3" t="s">
        <v>27</v>
      </c>
    </row>
    <row r="137" spans="1:11" x14ac:dyDescent="0.3">
      <c r="A137" s="4">
        <v>79.39</v>
      </c>
      <c r="B137" s="4">
        <v>22.3</v>
      </c>
      <c r="C137" s="3">
        <v>2006</v>
      </c>
      <c r="D137" s="3">
        <v>8</v>
      </c>
      <c r="E137" s="3">
        <v>5</v>
      </c>
      <c r="F137" s="3">
        <v>3.4</v>
      </c>
      <c r="G137" s="3" t="s">
        <v>19</v>
      </c>
      <c r="H137" s="3">
        <v>10</v>
      </c>
      <c r="I137" s="3">
        <v>8</v>
      </c>
      <c r="J137" s="3">
        <v>27</v>
      </c>
      <c r="K137" s="3" t="s">
        <v>27</v>
      </c>
    </row>
    <row r="138" spans="1:11" x14ac:dyDescent="0.3">
      <c r="A138" s="4">
        <v>75.81</v>
      </c>
      <c r="B138" s="4">
        <v>26.64</v>
      </c>
      <c r="C138" s="3">
        <v>2006</v>
      </c>
      <c r="D138" s="3">
        <v>12</v>
      </c>
      <c r="E138" s="3">
        <v>24</v>
      </c>
      <c r="F138" s="3">
        <v>3.7</v>
      </c>
      <c r="G138" s="3" t="s">
        <v>19</v>
      </c>
      <c r="H138" s="3">
        <v>15</v>
      </c>
      <c r="I138" s="3">
        <v>4</v>
      </c>
      <c r="J138" s="3">
        <v>13</v>
      </c>
      <c r="K138" s="3" t="s">
        <v>27</v>
      </c>
    </row>
    <row r="139" spans="1:11" x14ac:dyDescent="0.3">
      <c r="A139" s="4">
        <v>78.66</v>
      </c>
      <c r="B139" s="4">
        <v>22.77</v>
      </c>
      <c r="C139" s="3">
        <v>2007</v>
      </c>
      <c r="D139" s="3">
        <v>6</v>
      </c>
      <c r="E139" s="3">
        <v>6</v>
      </c>
      <c r="F139" s="3">
        <v>3.3</v>
      </c>
      <c r="G139" s="3" t="s">
        <v>19</v>
      </c>
      <c r="H139" s="3">
        <v>8</v>
      </c>
      <c r="I139" s="3">
        <v>13</v>
      </c>
      <c r="J139" s="3">
        <v>45</v>
      </c>
      <c r="K139" s="3" t="s">
        <v>27</v>
      </c>
    </row>
    <row r="140" spans="1:11" x14ac:dyDescent="0.3">
      <c r="A140" s="4">
        <v>76.66</v>
      </c>
      <c r="B140" s="4">
        <v>18.7</v>
      </c>
      <c r="C140" s="3">
        <v>2007</v>
      </c>
      <c r="D140" s="3">
        <v>9</v>
      </c>
      <c r="E140" s="3">
        <v>6</v>
      </c>
      <c r="F140" s="3">
        <v>3.8</v>
      </c>
      <c r="G140" s="3" t="s">
        <v>19</v>
      </c>
      <c r="H140" s="3">
        <v>10</v>
      </c>
      <c r="I140" s="3">
        <v>12</v>
      </c>
      <c r="J140" s="3">
        <v>39</v>
      </c>
      <c r="K140" s="3" t="s">
        <v>27</v>
      </c>
    </row>
    <row r="141" spans="1:11" x14ac:dyDescent="0.3">
      <c r="A141" s="4">
        <v>78.67</v>
      </c>
      <c r="B141" s="4">
        <v>22.79</v>
      </c>
      <c r="C141" s="3">
        <v>2008</v>
      </c>
      <c r="D141" s="3">
        <v>1</v>
      </c>
      <c r="E141" s="3">
        <v>11</v>
      </c>
      <c r="F141" s="3">
        <v>3.3</v>
      </c>
      <c r="G141" s="3" t="s">
        <v>19</v>
      </c>
      <c r="H141" s="3">
        <v>10</v>
      </c>
      <c r="I141" s="3">
        <v>5</v>
      </c>
      <c r="J141" s="3">
        <v>18</v>
      </c>
      <c r="K141" s="3" t="s">
        <v>27</v>
      </c>
    </row>
    <row r="142" spans="1:11" x14ac:dyDescent="0.3">
      <c r="A142" s="4">
        <v>72.849999999999994</v>
      </c>
      <c r="B142" s="4">
        <v>21.22</v>
      </c>
      <c r="C142" s="3">
        <v>2008</v>
      </c>
      <c r="D142" s="3">
        <v>5</v>
      </c>
      <c r="E142" s="3">
        <v>3</v>
      </c>
      <c r="F142" s="3">
        <v>3.1</v>
      </c>
      <c r="G142" s="3" t="s">
        <v>19</v>
      </c>
      <c r="H142" s="3">
        <v>10</v>
      </c>
      <c r="I142" s="3">
        <v>3</v>
      </c>
      <c r="J142" s="3">
        <v>23</v>
      </c>
      <c r="K142" s="3" t="s">
        <v>27</v>
      </c>
    </row>
    <row r="143" spans="1:11" x14ac:dyDescent="0.3">
      <c r="A143" s="4">
        <v>72.77</v>
      </c>
      <c r="B143" s="4">
        <v>21.23</v>
      </c>
      <c r="C143" s="3">
        <v>2008</v>
      </c>
      <c r="D143" s="3">
        <v>5</v>
      </c>
      <c r="E143" s="3">
        <v>3</v>
      </c>
      <c r="F143" s="3">
        <v>3</v>
      </c>
      <c r="G143" s="3" t="s">
        <v>19</v>
      </c>
      <c r="H143" s="3">
        <v>10</v>
      </c>
      <c r="I143" s="3">
        <v>4</v>
      </c>
      <c r="J143" s="3">
        <v>1</v>
      </c>
      <c r="K143" s="3" t="s">
        <v>27</v>
      </c>
    </row>
    <row r="144" spans="1:11" x14ac:dyDescent="0.3">
      <c r="A144" s="4">
        <v>72.84</v>
      </c>
      <c r="B144" s="4">
        <v>21.5</v>
      </c>
      <c r="C144" s="3">
        <v>2008</v>
      </c>
      <c r="D144" s="3">
        <v>5</v>
      </c>
      <c r="E144" s="3">
        <v>20</v>
      </c>
      <c r="F144" s="3">
        <v>3.1</v>
      </c>
      <c r="G144" s="3" t="s">
        <v>19</v>
      </c>
      <c r="H144" s="3">
        <v>10</v>
      </c>
      <c r="I144" s="3">
        <v>14</v>
      </c>
      <c r="J144" s="3">
        <v>27</v>
      </c>
      <c r="K144" s="3" t="s">
        <v>27</v>
      </c>
    </row>
    <row r="145" spans="1:11" x14ac:dyDescent="0.3">
      <c r="A145" s="4">
        <v>73.63</v>
      </c>
      <c r="B145" s="4">
        <v>25.8</v>
      </c>
      <c r="C145" s="3">
        <v>2008</v>
      </c>
      <c r="D145" s="3">
        <v>6</v>
      </c>
      <c r="E145" s="3">
        <v>27</v>
      </c>
      <c r="F145" s="3">
        <v>3.7</v>
      </c>
      <c r="G145" s="3" t="s">
        <v>19</v>
      </c>
      <c r="H145" s="3">
        <v>12</v>
      </c>
      <c r="I145" s="3">
        <v>13</v>
      </c>
      <c r="J145" s="3">
        <v>23</v>
      </c>
      <c r="K145" s="3" t="s">
        <v>27</v>
      </c>
    </row>
    <row r="146" spans="1:11" x14ac:dyDescent="0.3">
      <c r="A146" s="4">
        <v>74.23</v>
      </c>
      <c r="B146" s="4">
        <v>25.76</v>
      </c>
      <c r="C146" s="3">
        <v>2008</v>
      </c>
      <c r="D146" s="3">
        <v>7</v>
      </c>
      <c r="E146" s="3">
        <v>5</v>
      </c>
      <c r="F146" s="3">
        <v>3.6</v>
      </c>
      <c r="G146" s="3" t="s">
        <v>19</v>
      </c>
      <c r="H146" s="3">
        <v>9</v>
      </c>
      <c r="I146" s="3">
        <v>17</v>
      </c>
      <c r="J146" s="3">
        <v>29</v>
      </c>
      <c r="K146" s="3" t="s">
        <v>27</v>
      </c>
    </row>
    <row r="147" spans="1:11" x14ac:dyDescent="0.3">
      <c r="A147" s="4">
        <v>72</v>
      </c>
      <c r="B147" s="4">
        <v>23</v>
      </c>
      <c r="C147" s="3">
        <v>2008</v>
      </c>
      <c r="D147" s="3">
        <v>12</v>
      </c>
      <c r="E147" s="3">
        <v>27</v>
      </c>
      <c r="F147" s="3">
        <v>3.2</v>
      </c>
      <c r="G147" s="3" t="s">
        <v>19</v>
      </c>
      <c r="H147" s="3">
        <v>10</v>
      </c>
      <c r="I147" s="3">
        <v>7</v>
      </c>
      <c r="J147" s="3">
        <v>42</v>
      </c>
      <c r="K147" s="3" t="s">
        <v>27</v>
      </c>
    </row>
    <row r="148" spans="1:11" x14ac:dyDescent="0.3">
      <c r="A148" s="4">
        <v>72.58</v>
      </c>
      <c r="B148" s="4">
        <v>25.85</v>
      </c>
      <c r="C148" s="3">
        <v>2008</v>
      </c>
      <c r="D148" s="3">
        <v>12</v>
      </c>
      <c r="E148" s="3">
        <v>28</v>
      </c>
      <c r="F148" s="3">
        <v>3.2</v>
      </c>
      <c r="G148" s="3" t="s">
        <v>19</v>
      </c>
      <c r="H148" s="3">
        <v>10</v>
      </c>
      <c r="I148" s="3">
        <v>13</v>
      </c>
      <c r="J148" s="3">
        <v>9</v>
      </c>
      <c r="K148" s="3" t="s">
        <v>27</v>
      </c>
    </row>
    <row r="149" spans="1:11" x14ac:dyDescent="0.3">
      <c r="A149" s="4">
        <v>75.31</v>
      </c>
      <c r="B149" s="4">
        <v>21.57</v>
      </c>
      <c r="C149" s="3">
        <v>2009</v>
      </c>
      <c r="D149" s="3">
        <v>1</v>
      </c>
      <c r="E149" s="3">
        <v>4</v>
      </c>
      <c r="F149" s="3">
        <v>4.2</v>
      </c>
      <c r="G149" s="3" t="s">
        <v>19</v>
      </c>
      <c r="H149" s="3">
        <v>10</v>
      </c>
      <c r="I149" s="3">
        <v>10</v>
      </c>
      <c r="J149" s="3">
        <v>50</v>
      </c>
      <c r="K149" s="3" t="s">
        <v>27</v>
      </c>
    </row>
    <row r="150" spans="1:11" x14ac:dyDescent="0.3">
      <c r="A150" s="4">
        <v>79.7</v>
      </c>
      <c r="B150" s="4">
        <v>22.3</v>
      </c>
      <c r="C150" s="3">
        <v>2009</v>
      </c>
      <c r="D150" s="3">
        <v>8</v>
      </c>
      <c r="E150" s="3">
        <v>2</v>
      </c>
      <c r="F150" s="3">
        <v>3.5</v>
      </c>
      <c r="G150" s="3" t="s">
        <v>19</v>
      </c>
      <c r="H150" s="3">
        <v>10</v>
      </c>
      <c r="I150" s="3">
        <v>0</v>
      </c>
      <c r="J150" s="3">
        <v>19</v>
      </c>
      <c r="K150" s="3" t="s">
        <v>27</v>
      </c>
    </row>
    <row r="151" spans="1:11" x14ac:dyDescent="0.3">
      <c r="A151" s="4">
        <v>76.930000000000007</v>
      </c>
      <c r="B151" s="4">
        <v>21.56</v>
      </c>
      <c r="C151" s="3">
        <v>2010</v>
      </c>
      <c r="D151" s="3">
        <v>1</v>
      </c>
      <c r="E151" s="3">
        <v>25</v>
      </c>
      <c r="F151" s="3">
        <v>3.2</v>
      </c>
      <c r="G151" s="3" t="s">
        <v>19</v>
      </c>
      <c r="H151" s="3">
        <v>10</v>
      </c>
      <c r="I151" s="3">
        <v>22</v>
      </c>
      <c r="J151" s="3">
        <v>30</v>
      </c>
      <c r="K151" s="3" t="s">
        <v>27</v>
      </c>
    </row>
    <row r="152" spans="1:11" x14ac:dyDescent="0.3">
      <c r="A152" s="4">
        <v>74.31</v>
      </c>
      <c r="B152" s="4">
        <v>18.690000000000001</v>
      </c>
      <c r="C152" s="3">
        <v>2010</v>
      </c>
      <c r="D152" s="3">
        <v>4</v>
      </c>
      <c r="E152" s="3">
        <v>16</v>
      </c>
      <c r="F152" s="3">
        <v>3.3</v>
      </c>
      <c r="G152" s="3" t="s">
        <v>19</v>
      </c>
      <c r="H152" s="3">
        <v>10</v>
      </c>
      <c r="I152" s="3">
        <v>1</v>
      </c>
      <c r="J152" s="3">
        <v>52</v>
      </c>
      <c r="K152" s="3" t="s">
        <v>27</v>
      </c>
    </row>
    <row r="153" spans="1:11" x14ac:dyDescent="0.3">
      <c r="A153" s="4">
        <v>74.34</v>
      </c>
      <c r="B153" s="4">
        <v>26.43</v>
      </c>
      <c r="C153" s="3">
        <v>2010</v>
      </c>
      <c r="D153" s="3">
        <v>8</v>
      </c>
      <c r="E153" s="3">
        <v>15</v>
      </c>
      <c r="F153" s="3">
        <v>4</v>
      </c>
      <c r="G153" s="3" t="s">
        <v>19</v>
      </c>
      <c r="H153" s="3">
        <v>10</v>
      </c>
      <c r="I153" s="3">
        <v>11</v>
      </c>
      <c r="J153" s="3">
        <v>38</v>
      </c>
      <c r="K153" s="3" t="s">
        <v>27</v>
      </c>
    </row>
    <row r="154" spans="1:11" x14ac:dyDescent="0.3">
      <c r="A154" s="4">
        <v>71.959999999999994</v>
      </c>
      <c r="B154" s="4">
        <v>23.65</v>
      </c>
      <c r="C154" s="3">
        <v>2010</v>
      </c>
      <c r="D154" s="3">
        <v>9</v>
      </c>
      <c r="E154" s="3">
        <v>2</v>
      </c>
      <c r="F154" s="3">
        <v>4.0999999999999996</v>
      </c>
      <c r="G154" s="3" t="s">
        <v>19</v>
      </c>
      <c r="H154" s="3">
        <v>10</v>
      </c>
      <c r="I154" s="3">
        <v>8</v>
      </c>
      <c r="J154" s="3">
        <v>39</v>
      </c>
      <c r="K154" s="3" t="s">
        <v>27</v>
      </c>
    </row>
    <row r="155" spans="1:11" x14ac:dyDescent="0.3">
      <c r="A155" s="4">
        <v>72.53</v>
      </c>
      <c r="B155" s="4">
        <v>24.61</v>
      </c>
      <c r="C155" s="3">
        <v>2010</v>
      </c>
      <c r="D155" s="3">
        <v>11</v>
      </c>
      <c r="E155" s="3">
        <v>5</v>
      </c>
      <c r="F155" s="3">
        <v>3</v>
      </c>
      <c r="G155" s="3" t="s">
        <v>19</v>
      </c>
      <c r="H155" s="3">
        <v>10</v>
      </c>
      <c r="I155" s="3">
        <v>21</v>
      </c>
      <c r="J155" s="3">
        <v>27</v>
      </c>
      <c r="K155" s="3" t="s">
        <v>27</v>
      </c>
    </row>
    <row r="156" spans="1:11" x14ac:dyDescent="0.3">
      <c r="A156" s="4">
        <v>73.72</v>
      </c>
      <c r="B156" s="4">
        <v>25.22</v>
      </c>
      <c r="C156" s="3">
        <v>2010</v>
      </c>
      <c r="D156" s="3">
        <v>11</v>
      </c>
      <c r="E156" s="3">
        <v>10</v>
      </c>
      <c r="F156" s="3">
        <v>4.7</v>
      </c>
      <c r="G156" s="3" t="s">
        <v>19</v>
      </c>
      <c r="H156" s="3">
        <v>10</v>
      </c>
      <c r="I156" s="3">
        <v>4</v>
      </c>
      <c r="J156" s="3">
        <v>16</v>
      </c>
      <c r="K156" s="3" t="s">
        <v>27</v>
      </c>
    </row>
    <row r="157" spans="1:11" x14ac:dyDescent="0.3">
      <c r="A157" s="4">
        <v>79.8</v>
      </c>
      <c r="B157" s="4">
        <v>22.66</v>
      </c>
      <c r="C157" s="3">
        <v>2011</v>
      </c>
      <c r="D157" s="3">
        <v>2</v>
      </c>
      <c r="E157" s="3">
        <v>8</v>
      </c>
      <c r="F157" s="3">
        <v>3.5</v>
      </c>
      <c r="G157" s="3" t="s">
        <v>19</v>
      </c>
      <c r="H157" s="3">
        <v>10</v>
      </c>
      <c r="I157" s="3">
        <v>12</v>
      </c>
      <c r="J157" s="3">
        <v>53</v>
      </c>
      <c r="K157" s="3" t="s">
        <v>27</v>
      </c>
    </row>
    <row r="158" spans="1:11" x14ac:dyDescent="0.3">
      <c r="A158" s="4">
        <v>78.86</v>
      </c>
      <c r="B158" s="4">
        <v>22.32</v>
      </c>
      <c r="C158" s="3">
        <v>2012</v>
      </c>
      <c r="D158" s="3">
        <v>6</v>
      </c>
      <c r="E158" s="3">
        <v>12</v>
      </c>
      <c r="F158" s="3">
        <v>3.4</v>
      </c>
      <c r="G158" s="3" t="s">
        <v>19</v>
      </c>
      <c r="H158" s="3">
        <v>15</v>
      </c>
      <c r="I158" s="3">
        <v>6</v>
      </c>
      <c r="J158" s="3">
        <v>39</v>
      </c>
      <c r="K158" s="3" t="s">
        <v>27</v>
      </c>
    </row>
    <row r="159" spans="1:11" x14ac:dyDescent="0.3">
      <c r="A159" s="4">
        <v>72.8</v>
      </c>
      <c r="B159" s="4">
        <v>21.23</v>
      </c>
      <c r="C159" s="3">
        <v>2012</v>
      </c>
      <c r="D159" s="3">
        <v>7</v>
      </c>
      <c r="E159" s="3">
        <v>30</v>
      </c>
      <c r="F159" s="3">
        <v>3.2</v>
      </c>
      <c r="G159" s="3" t="s">
        <v>19</v>
      </c>
      <c r="H159" s="3">
        <v>11</v>
      </c>
      <c r="I159" s="3">
        <v>13</v>
      </c>
      <c r="J159" s="3">
        <v>33</v>
      </c>
      <c r="K159" s="3" t="s">
        <v>27</v>
      </c>
    </row>
    <row r="160" spans="1:11" x14ac:dyDescent="0.3">
      <c r="A160" s="4">
        <v>76.510000000000005</v>
      </c>
      <c r="B160" s="4">
        <v>21.3</v>
      </c>
      <c r="C160" s="3">
        <v>2012</v>
      </c>
      <c r="D160" s="3">
        <v>9</v>
      </c>
      <c r="E160" s="3">
        <v>12</v>
      </c>
      <c r="F160" s="3">
        <v>3</v>
      </c>
      <c r="G160" s="3" t="s">
        <v>19</v>
      </c>
      <c r="H160" s="3">
        <v>20</v>
      </c>
      <c r="I160" s="3">
        <v>22</v>
      </c>
      <c r="J160" s="3">
        <v>4</v>
      </c>
      <c r="K160" s="3" t="s">
        <v>27</v>
      </c>
    </row>
    <row r="161" spans="1:11" x14ac:dyDescent="0.3">
      <c r="A161" s="4">
        <v>76.3</v>
      </c>
      <c r="B161" s="4">
        <v>22.6</v>
      </c>
      <c r="C161" s="3">
        <v>2012</v>
      </c>
      <c r="D161" s="3">
        <v>11</v>
      </c>
      <c r="E161" s="3">
        <v>20</v>
      </c>
      <c r="F161" s="3">
        <v>3.3</v>
      </c>
      <c r="G161" s="3" t="s">
        <v>19</v>
      </c>
      <c r="H161" s="3">
        <v>15</v>
      </c>
      <c r="I161" s="3">
        <v>9</v>
      </c>
      <c r="J161" s="3">
        <v>45</v>
      </c>
      <c r="K161" s="3" t="s">
        <v>27</v>
      </c>
    </row>
    <row r="162" spans="1:11" x14ac:dyDescent="0.3">
      <c r="A162" s="4">
        <v>76.599999999999994</v>
      </c>
      <c r="B162" s="4">
        <v>26.19</v>
      </c>
      <c r="C162" s="3">
        <v>2013</v>
      </c>
      <c r="D162" s="3">
        <v>2</v>
      </c>
      <c r="E162" s="3">
        <v>24</v>
      </c>
      <c r="F162" s="3">
        <v>4.0999999999999996</v>
      </c>
      <c r="G162" s="3" t="s">
        <v>19</v>
      </c>
      <c r="H162" s="3">
        <v>10</v>
      </c>
      <c r="I162" s="3">
        <v>6</v>
      </c>
      <c r="J162" s="3">
        <v>27</v>
      </c>
      <c r="K162" s="3" t="s">
        <v>27</v>
      </c>
    </row>
    <row r="163" spans="1:11" x14ac:dyDescent="0.3">
      <c r="A163" s="4">
        <v>73.38</v>
      </c>
      <c r="B163" s="4">
        <v>19.8</v>
      </c>
      <c r="C163" s="3">
        <v>2013</v>
      </c>
      <c r="D163" s="3">
        <v>2</v>
      </c>
      <c r="E163" s="3">
        <v>25</v>
      </c>
      <c r="F163" s="3">
        <v>3</v>
      </c>
      <c r="G163" s="3" t="s">
        <v>19</v>
      </c>
      <c r="H163" s="3">
        <v>10</v>
      </c>
      <c r="I163" s="3">
        <v>22</v>
      </c>
      <c r="J163" s="3">
        <v>51</v>
      </c>
      <c r="K163" s="3" t="s">
        <v>27</v>
      </c>
    </row>
    <row r="164" spans="1:11" x14ac:dyDescent="0.3">
      <c r="A164" s="4">
        <v>74.83</v>
      </c>
      <c r="B164" s="4">
        <v>21.99</v>
      </c>
      <c r="C164" s="3">
        <v>2013</v>
      </c>
      <c r="D164" s="3">
        <v>6</v>
      </c>
      <c r="E164" s="3">
        <v>30</v>
      </c>
      <c r="F164" s="3">
        <v>3.3</v>
      </c>
      <c r="G164" s="3" t="s">
        <v>19</v>
      </c>
      <c r="H164" s="3">
        <v>19</v>
      </c>
      <c r="I164" s="3">
        <v>8</v>
      </c>
      <c r="J164" s="3">
        <v>14</v>
      </c>
      <c r="K164" s="3" t="s">
        <v>27</v>
      </c>
    </row>
    <row r="165" spans="1:11" x14ac:dyDescent="0.3">
      <c r="A165" s="4">
        <v>75.52</v>
      </c>
      <c r="B165" s="4">
        <v>26.62</v>
      </c>
      <c r="C165" s="3">
        <v>2013</v>
      </c>
      <c r="D165" s="3">
        <v>9</v>
      </c>
      <c r="E165" s="3">
        <v>5</v>
      </c>
      <c r="F165" s="3">
        <v>3.1</v>
      </c>
      <c r="G165" s="3" t="s">
        <v>19</v>
      </c>
      <c r="H165" s="3">
        <v>11</v>
      </c>
      <c r="I165" s="3">
        <v>16</v>
      </c>
      <c r="J165" s="3">
        <v>59</v>
      </c>
      <c r="K165" s="3" t="s">
        <v>27</v>
      </c>
    </row>
    <row r="166" spans="1:11" x14ac:dyDescent="0.3">
      <c r="A166" s="4">
        <v>73.099999999999994</v>
      </c>
      <c r="B166" s="4">
        <v>20.7</v>
      </c>
      <c r="C166" s="3">
        <v>2014</v>
      </c>
      <c r="D166" s="3">
        <v>1</v>
      </c>
      <c r="E166" s="3">
        <v>7</v>
      </c>
      <c r="F166" s="3">
        <v>3.5</v>
      </c>
      <c r="G166" s="3" t="s">
        <v>19</v>
      </c>
      <c r="H166" s="3">
        <v>15</v>
      </c>
      <c r="I166" s="3">
        <v>19</v>
      </c>
      <c r="J166" s="3">
        <v>20</v>
      </c>
      <c r="K166" s="3" t="s">
        <v>27</v>
      </c>
    </row>
    <row r="167" spans="1:11" x14ac:dyDescent="0.3">
      <c r="A167" s="4">
        <v>75.14</v>
      </c>
      <c r="B167" s="4">
        <v>21.87</v>
      </c>
      <c r="C167" s="3">
        <v>2014</v>
      </c>
      <c r="D167" s="3">
        <v>8</v>
      </c>
      <c r="E167" s="3">
        <v>20</v>
      </c>
      <c r="F167" s="3">
        <v>3.5</v>
      </c>
      <c r="G167" s="3" t="s">
        <v>19</v>
      </c>
      <c r="H167" s="3">
        <v>6</v>
      </c>
      <c r="I167" s="3">
        <v>6</v>
      </c>
      <c r="J167" s="3">
        <v>59</v>
      </c>
      <c r="K167" s="3" t="s">
        <v>27</v>
      </c>
    </row>
    <row r="168" spans="1:11" x14ac:dyDescent="0.3">
      <c r="A168" s="4">
        <v>80.3</v>
      </c>
      <c r="B168" s="4">
        <v>23.5</v>
      </c>
      <c r="C168" s="3">
        <v>2014</v>
      </c>
      <c r="D168" s="3">
        <v>10</v>
      </c>
      <c r="E168" s="3">
        <v>22</v>
      </c>
      <c r="F168" s="3">
        <v>3.5</v>
      </c>
      <c r="G168" s="3" t="s">
        <v>19</v>
      </c>
      <c r="H168" s="3">
        <v>6</v>
      </c>
      <c r="I168" s="3">
        <v>10</v>
      </c>
      <c r="J168" s="3">
        <v>48</v>
      </c>
      <c r="K168" s="3" t="s">
        <v>27</v>
      </c>
    </row>
    <row r="169" spans="1:11" x14ac:dyDescent="0.3">
      <c r="A169" s="4">
        <v>72.400000000000006</v>
      </c>
      <c r="B169" s="4">
        <v>24.41</v>
      </c>
      <c r="C169" s="3">
        <v>2014</v>
      </c>
      <c r="D169" s="3">
        <v>11</v>
      </c>
      <c r="E169" s="3">
        <v>19</v>
      </c>
      <c r="F169" s="3">
        <v>3.5</v>
      </c>
      <c r="G169" s="3" t="s">
        <v>19</v>
      </c>
      <c r="H169" s="3">
        <v>10</v>
      </c>
      <c r="I169" s="3">
        <v>20</v>
      </c>
      <c r="J169" s="3">
        <v>56</v>
      </c>
      <c r="K169" s="3" t="s">
        <v>27</v>
      </c>
    </row>
    <row r="170" spans="1:11" x14ac:dyDescent="0.3">
      <c r="A170" s="4">
        <v>72.72</v>
      </c>
      <c r="B170" s="4">
        <v>24.2</v>
      </c>
      <c r="C170" s="3">
        <v>2015</v>
      </c>
      <c r="D170" s="3">
        <v>3</v>
      </c>
      <c r="E170" s="3">
        <v>19</v>
      </c>
      <c r="F170" s="3">
        <v>3.6</v>
      </c>
      <c r="G170" s="3" t="s">
        <v>19</v>
      </c>
      <c r="H170" s="3">
        <v>10</v>
      </c>
      <c r="I170" s="3">
        <v>15</v>
      </c>
      <c r="J170" s="3">
        <v>11</v>
      </c>
      <c r="K170" s="3" t="s">
        <v>27</v>
      </c>
    </row>
    <row r="171" spans="1:11" x14ac:dyDescent="0.3">
      <c r="A171" s="4">
        <v>80.11</v>
      </c>
      <c r="B171" s="4">
        <v>21.35</v>
      </c>
      <c r="C171" s="3">
        <v>2015</v>
      </c>
      <c r="D171" s="3">
        <v>7</v>
      </c>
      <c r="E171" s="3">
        <v>23</v>
      </c>
      <c r="F171" s="3">
        <v>4</v>
      </c>
      <c r="G171" s="3" t="s">
        <v>19</v>
      </c>
      <c r="H171" s="3">
        <v>10</v>
      </c>
      <c r="I171" s="3">
        <v>20</v>
      </c>
      <c r="J171" s="3">
        <v>6</v>
      </c>
      <c r="K171" s="3" t="s">
        <v>27</v>
      </c>
    </row>
    <row r="172" spans="1:11" x14ac:dyDescent="0.3">
      <c r="A172" s="4">
        <v>73</v>
      </c>
      <c r="B172" s="4">
        <v>20.43</v>
      </c>
      <c r="C172" s="3">
        <v>2015</v>
      </c>
      <c r="D172" s="3">
        <v>11</v>
      </c>
      <c r="E172" s="3">
        <v>3</v>
      </c>
      <c r="F172" s="3">
        <v>3</v>
      </c>
      <c r="G172" s="3" t="s">
        <v>19</v>
      </c>
      <c r="H172" s="3">
        <v>18</v>
      </c>
      <c r="I172" s="3">
        <v>2</v>
      </c>
      <c r="J172" s="3">
        <v>9</v>
      </c>
      <c r="K172" s="3" t="s">
        <v>27</v>
      </c>
    </row>
    <row r="173" spans="1:11" x14ac:dyDescent="0.3">
      <c r="A173" s="4">
        <v>75.400000000000006</v>
      </c>
      <c r="B173" s="4">
        <v>27.12</v>
      </c>
      <c r="C173" s="3">
        <v>2016</v>
      </c>
      <c r="D173" s="3">
        <v>1</v>
      </c>
      <c r="E173" s="3">
        <v>29</v>
      </c>
      <c r="F173" s="3">
        <v>3.7</v>
      </c>
      <c r="G173" s="3" t="s">
        <v>19</v>
      </c>
      <c r="H173" s="3">
        <v>10</v>
      </c>
      <c r="I173" s="3">
        <v>4</v>
      </c>
      <c r="J173" s="3">
        <v>17</v>
      </c>
      <c r="K173" s="3" t="s">
        <v>27</v>
      </c>
    </row>
    <row r="174" spans="1:11" x14ac:dyDescent="0.3">
      <c r="A174" s="4">
        <v>72.19</v>
      </c>
      <c r="B174" s="4">
        <v>24.84</v>
      </c>
      <c r="C174" s="3">
        <v>2016</v>
      </c>
      <c r="D174" s="3">
        <v>2</v>
      </c>
      <c r="E174" s="3">
        <v>24</v>
      </c>
      <c r="F174" s="3">
        <v>3.3</v>
      </c>
      <c r="G174" s="3" t="s">
        <v>19</v>
      </c>
      <c r="H174" s="3">
        <v>10</v>
      </c>
      <c r="I174" s="3">
        <v>7</v>
      </c>
      <c r="J174" s="3">
        <v>36</v>
      </c>
      <c r="K174" s="3" t="s">
        <v>27</v>
      </c>
    </row>
    <row r="175" spans="1:11" x14ac:dyDescent="0.3">
      <c r="A175" s="4">
        <v>73.209999999999994</v>
      </c>
      <c r="B175" s="4">
        <v>25.81</v>
      </c>
      <c r="C175" s="3">
        <v>2016</v>
      </c>
      <c r="D175" s="3">
        <v>3</v>
      </c>
      <c r="E175" s="3">
        <v>18</v>
      </c>
      <c r="F175" s="3">
        <v>3.6</v>
      </c>
      <c r="G175" s="3" t="s">
        <v>19</v>
      </c>
      <c r="H175" s="3">
        <v>7</v>
      </c>
      <c r="I175" s="3">
        <v>9</v>
      </c>
      <c r="J175" s="3">
        <v>7</v>
      </c>
      <c r="K175" s="3" t="s">
        <v>27</v>
      </c>
    </row>
    <row r="176" spans="1:11" x14ac:dyDescent="0.3">
      <c r="A176" s="4">
        <v>75.25</v>
      </c>
      <c r="B176" s="4">
        <v>26.94</v>
      </c>
      <c r="C176" s="3">
        <v>2016</v>
      </c>
      <c r="D176" s="3">
        <v>4</v>
      </c>
      <c r="E176" s="3">
        <v>8</v>
      </c>
      <c r="F176" s="3">
        <v>3.4</v>
      </c>
      <c r="G176" s="3" t="s">
        <v>19</v>
      </c>
      <c r="H176" s="3">
        <v>10</v>
      </c>
      <c r="I176" s="3">
        <v>1</v>
      </c>
      <c r="J176" s="3">
        <v>33</v>
      </c>
      <c r="K176" s="3" t="s">
        <v>27</v>
      </c>
    </row>
    <row r="177" spans="1:11" x14ac:dyDescent="0.3">
      <c r="A177" s="4">
        <v>72.58</v>
      </c>
      <c r="B177" s="4">
        <v>24.36</v>
      </c>
      <c r="C177" s="3">
        <v>2016</v>
      </c>
      <c r="D177" s="3">
        <v>5</v>
      </c>
      <c r="E177" s="3">
        <v>12</v>
      </c>
      <c r="F177" s="3">
        <v>3.1</v>
      </c>
      <c r="G177" s="3" t="s">
        <v>19</v>
      </c>
      <c r="H177" s="3">
        <v>39</v>
      </c>
      <c r="I177" s="3">
        <v>22</v>
      </c>
      <c r="J177" s="3">
        <v>29</v>
      </c>
      <c r="K177" s="3" t="s">
        <v>27</v>
      </c>
    </row>
    <row r="178" spans="1:11" x14ac:dyDescent="0.3">
      <c r="A178" s="4">
        <v>72.489999999999995</v>
      </c>
      <c r="B178" s="4">
        <v>21.64</v>
      </c>
      <c r="C178" s="3">
        <v>2016</v>
      </c>
      <c r="D178" s="3">
        <v>7</v>
      </c>
      <c r="E178" s="3">
        <v>17</v>
      </c>
      <c r="F178" s="3">
        <v>4.2</v>
      </c>
      <c r="G178" s="3" t="s">
        <v>19</v>
      </c>
      <c r="H178" s="3">
        <v>7</v>
      </c>
      <c r="I178" s="3">
        <v>9</v>
      </c>
      <c r="J178" s="3">
        <v>25</v>
      </c>
      <c r="K178" s="3" t="s">
        <v>27</v>
      </c>
    </row>
    <row r="179" spans="1:11" x14ac:dyDescent="0.3">
      <c r="A179" s="4">
        <v>74.239999999999995</v>
      </c>
      <c r="B179" s="4">
        <v>25.73</v>
      </c>
      <c r="C179" s="3">
        <v>2016</v>
      </c>
      <c r="D179" s="3">
        <v>12</v>
      </c>
      <c r="E179" s="3">
        <v>26</v>
      </c>
      <c r="F179" s="3">
        <v>3.3</v>
      </c>
      <c r="G179" s="3" t="s">
        <v>19</v>
      </c>
      <c r="H179" s="3">
        <v>10</v>
      </c>
      <c r="I179" s="3">
        <v>21</v>
      </c>
      <c r="J179" s="3">
        <v>47</v>
      </c>
      <c r="K179" s="3" t="s">
        <v>27</v>
      </c>
    </row>
    <row r="180" spans="1:11" x14ac:dyDescent="0.3">
      <c r="A180" s="4">
        <v>72.900000000000006</v>
      </c>
      <c r="B180" s="4">
        <v>24.54</v>
      </c>
      <c r="C180" s="3">
        <v>2017</v>
      </c>
      <c r="D180" s="3">
        <v>3</v>
      </c>
      <c r="E180" s="3">
        <v>13</v>
      </c>
      <c r="F180" s="3">
        <v>4.3</v>
      </c>
      <c r="G180" s="3" t="s">
        <v>19</v>
      </c>
      <c r="H180" s="3">
        <v>10</v>
      </c>
      <c r="I180" s="3">
        <v>15</v>
      </c>
      <c r="J180" s="3">
        <v>52</v>
      </c>
      <c r="K180" s="3" t="s">
        <v>27</v>
      </c>
    </row>
    <row r="181" spans="1:11" x14ac:dyDescent="0.3">
      <c r="A181" s="4">
        <v>77.13</v>
      </c>
      <c r="B181" s="4">
        <v>19.510000000000002</v>
      </c>
      <c r="C181" s="3">
        <v>2017</v>
      </c>
      <c r="D181" s="3">
        <v>8</v>
      </c>
      <c r="E181" s="3">
        <v>16</v>
      </c>
      <c r="F181" s="3">
        <v>3</v>
      </c>
      <c r="G181" s="3" t="s">
        <v>19</v>
      </c>
      <c r="H181" s="3">
        <v>10</v>
      </c>
      <c r="I181" s="3">
        <v>12</v>
      </c>
      <c r="J181" s="3">
        <v>5</v>
      </c>
      <c r="K181" s="3" t="s">
        <v>27</v>
      </c>
    </row>
    <row r="182" spans="1:11" x14ac:dyDescent="0.3">
      <c r="A182" s="4">
        <v>73.86</v>
      </c>
      <c r="B182" s="4">
        <v>26.29</v>
      </c>
      <c r="C182" s="3">
        <v>2017</v>
      </c>
      <c r="D182" s="3">
        <v>11</v>
      </c>
      <c r="E182" s="3">
        <v>18</v>
      </c>
      <c r="F182" s="3">
        <v>3.9</v>
      </c>
      <c r="G182" s="3" t="s">
        <v>19</v>
      </c>
      <c r="H182" s="3">
        <v>12</v>
      </c>
      <c r="I182" s="3">
        <v>15</v>
      </c>
      <c r="J182" s="3">
        <v>21</v>
      </c>
      <c r="K182" s="3" t="s">
        <v>27</v>
      </c>
    </row>
    <row r="183" spans="1:11" x14ac:dyDescent="0.3">
      <c r="A183" s="4">
        <v>73.19</v>
      </c>
      <c r="B183" s="4">
        <v>19.8</v>
      </c>
      <c r="C183" s="3">
        <v>2017</v>
      </c>
      <c r="D183" s="3">
        <v>12</v>
      </c>
      <c r="E183" s="3">
        <v>25</v>
      </c>
      <c r="F183" s="3">
        <v>3</v>
      </c>
      <c r="G183" s="3" t="s">
        <v>19</v>
      </c>
      <c r="H183" s="3">
        <v>10</v>
      </c>
      <c r="I183" s="3">
        <v>9</v>
      </c>
      <c r="J183" s="3">
        <v>44</v>
      </c>
      <c r="K183" s="3" t="s">
        <v>27</v>
      </c>
    </row>
    <row r="184" spans="1:11" x14ac:dyDescent="0.3">
      <c r="A184" s="4">
        <v>73.27</v>
      </c>
      <c r="B184" s="4">
        <v>19.829999999999998</v>
      </c>
      <c r="C184" s="3">
        <v>2018</v>
      </c>
      <c r="D184" s="3">
        <v>1</v>
      </c>
      <c r="E184" s="3">
        <v>2</v>
      </c>
      <c r="F184" s="3">
        <v>3.5</v>
      </c>
      <c r="G184" s="3" t="s">
        <v>20</v>
      </c>
      <c r="H184" s="3">
        <v>10</v>
      </c>
      <c r="I184" s="3">
        <v>2</v>
      </c>
      <c r="J184" s="3">
        <v>21</v>
      </c>
      <c r="K184" s="3" t="s">
        <v>27</v>
      </c>
    </row>
    <row r="185" spans="1:11" x14ac:dyDescent="0.3">
      <c r="A185" s="4">
        <v>73.17</v>
      </c>
      <c r="B185" s="4">
        <v>21.59</v>
      </c>
      <c r="C185" s="3">
        <v>2018</v>
      </c>
      <c r="D185" s="3">
        <v>4</v>
      </c>
      <c r="E185" s="3">
        <v>21</v>
      </c>
      <c r="F185" s="3">
        <v>3.8</v>
      </c>
      <c r="G185" s="3" t="s">
        <v>20</v>
      </c>
      <c r="H185" s="3">
        <v>6</v>
      </c>
      <c r="I185" s="3">
        <v>16</v>
      </c>
      <c r="J185" s="3">
        <v>56</v>
      </c>
      <c r="K185" s="3" t="s">
        <v>27</v>
      </c>
    </row>
    <row r="186" spans="1:11" x14ac:dyDescent="0.3">
      <c r="A186" s="4">
        <v>73.19</v>
      </c>
      <c r="B186" s="4">
        <v>19.14</v>
      </c>
      <c r="C186" s="3">
        <v>2018</v>
      </c>
      <c r="D186" s="3">
        <v>7</v>
      </c>
      <c r="E186" s="3">
        <v>13</v>
      </c>
      <c r="F186" s="3">
        <v>3.1</v>
      </c>
      <c r="G186" s="3" t="s">
        <v>20</v>
      </c>
      <c r="H186" s="3">
        <v>17</v>
      </c>
      <c r="I186" s="3">
        <v>21</v>
      </c>
      <c r="J186" s="3">
        <v>31</v>
      </c>
      <c r="K186" s="3" t="s">
        <v>27</v>
      </c>
    </row>
    <row r="187" spans="1:11" x14ac:dyDescent="0.3">
      <c r="A187" s="4">
        <v>76.599999999999994</v>
      </c>
      <c r="B187" s="4">
        <v>20.2</v>
      </c>
      <c r="C187" s="3">
        <v>2018</v>
      </c>
      <c r="D187" s="3">
        <v>11</v>
      </c>
      <c r="E187" s="3">
        <v>5</v>
      </c>
      <c r="F187" s="3">
        <v>3.1</v>
      </c>
      <c r="G187" s="3" t="s">
        <v>19</v>
      </c>
      <c r="H187" s="3">
        <v>10</v>
      </c>
      <c r="I187" s="3">
        <v>0</v>
      </c>
      <c r="J187" s="3">
        <v>22</v>
      </c>
      <c r="K187" s="3" t="s">
        <v>27</v>
      </c>
    </row>
    <row r="188" spans="1:11" x14ac:dyDescent="0.3">
      <c r="A188" s="4">
        <v>77.16</v>
      </c>
      <c r="B188" s="4">
        <v>19.87</v>
      </c>
      <c r="C188" s="3">
        <v>2018</v>
      </c>
      <c r="D188" s="3">
        <v>11</v>
      </c>
      <c r="E188" s="3">
        <v>10</v>
      </c>
      <c r="F188" s="3">
        <v>3.1</v>
      </c>
      <c r="G188" s="3" t="s">
        <v>19</v>
      </c>
      <c r="H188" s="3">
        <v>10</v>
      </c>
      <c r="I188" s="3">
        <v>5</v>
      </c>
      <c r="J188" s="3">
        <v>49</v>
      </c>
      <c r="K188" s="3" t="s">
        <v>27</v>
      </c>
    </row>
    <row r="189" spans="1:11" x14ac:dyDescent="0.3">
      <c r="A189" s="4">
        <v>72.73</v>
      </c>
      <c r="B189" s="4">
        <v>19.98</v>
      </c>
      <c r="C189" s="3">
        <v>2018</v>
      </c>
      <c r="D189" s="3">
        <v>11</v>
      </c>
      <c r="E189" s="3">
        <v>11</v>
      </c>
      <c r="F189" s="3">
        <v>3.5</v>
      </c>
      <c r="G189" s="3" t="s">
        <v>19</v>
      </c>
      <c r="H189" s="3">
        <v>10</v>
      </c>
      <c r="I189" s="3">
        <v>18</v>
      </c>
      <c r="J189" s="3">
        <v>25</v>
      </c>
      <c r="K189" s="3" t="s">
        <v>27</v>
      </c>
    </row>
    <row r="190" spans="1:11" x14ac:dyDescent="0.3">
      <c r="A190" s="4">
        <v>72.739999999999995</v>
      </c>
      <c r="B190" s="4">
        <v>19.86</v>
      </c>
      <c r="C190" s="3">
        <v>2018</v>
      </c>
      <c r="D190" s="3">
        <v>11</v>
      </c>
      <c r="E190" s="3">
        <v>24</v>
      </c>
      <c r="F190" s="3">
        <v>3.2</v>
      </c>
      <c r="G190" s="3" t="s">
        <v>19</v>
      </c>
      <c r="H190" s="3">
        <v>5</v>
      </c>
      <c r="I190" s="3">
        <v>15</v>
      </c>
      <c r="J190" s="3">
        <v>15</v>
      </c>
      <c r="K190" s="3" t="s">
        <v>27</v>
      </c>
    </row>
    <row r="191" spans="1:11" x14ac:dyDescent="0.3">
      <c r="A191" s="4">
        <v>72.87</v>
      </c>
      <c r="B191" s="4">
        <v>19.89</v>
      </c>
      <c r="C191" s="3">
        <v>2018</v>
      </c>
      <c r="D191" s="3">
        <v>12</v>
      </c>
      <c r="E191" s="3">
        <v>2</v>
      </c>
      <c r="F191" s="3">
        <v>2.9</v>
      </c>
      <c r="G191" s="3" t="s">
        <v>20</v>
      </c>
      <c r="H191" s="3">
        <v>5</v>
      </c>
      <c r="I191" s="3">
        <v>2</v>
      </c>
      <c r="J191" s="3">
        <v>5</v>
      </c>
      <c r="K191" s="3" t="s">
        <v>27</v>
      </c>
    </row>
    <row r="192" spans="1:11" x14ac:dyDescent="0.3">
      <c r="A192" s="4">
        <v>72.66</v>
      </c>
      <c r="B192" s="4">
        <v>19.920000000000002</v>
      </c>
      <c r="C192" s="3">
        <v>2018</v>
      </c>
      <c r="D192" s="3">
        <v>12</v>
      </c>
      <c r="E192" s="3">
        <v>4</v>
      </c>
      <c r="F192" s="3">
        <v>2.9</v>
      </c>
      <c r="G192" s="3" t="s">
        <v>20</v>
      </c>
      <c r="H192" s="3">
        <v>10</v>
      </c>
      <c r="I192" s="3">
        <v>21</v>
      </c>
      <c r="J192" s="3">
        <v>24</v>
      </c>
      <c r="K192" s="3" t="s">
        <v>27</v>
      </c>
    </row>
    <row r="193" spans="1:11" x14ac:dyDescent="0.3">
      <c r="A193" s="4">
        <v>72.83</v>
      </c>
      <c r="B193" s="4">
        <v>19.97</v>
      </c>
      <c r="C193" s="3">
        <v>2018</v>
      </c>
      <c r="D193" s="3">
        <v>12</v>
      </c>
      <c r="E193" s="3">
        <v>8</v>
      </c>
      <c r="F193" s="3">
        <v>3</v>
      </c>
      <c r="G193" s="3" t="s">
        <v>20</v>
      </c>
      <c r="H193" s="3">
        <v>10</v>
      </c>
      <c r="I193" s="3">
        <v>3</v>
      </c>
      <c r="J193" s="3">
        <v>48</v>
      </c>
      <c r="K193" s="3" t="s">
        <v>27</v>
      </c>
    </row>
    <row r="194" spans="1:11" x14ac:dyDescent="0.3">
      <c r="A194" s="4">
        <v>72.69</v>
      </c>
      <c r="B194" s="4">
        <v>20</v>
      </c>
      <c r="C194" s="3">
        <v>2018</v>
      </c>
      <c r="D194" s="3">
        <v>12</v>
      </c>
      <c r="E194" s="3">
        <v>29</v>
      </c>
      <c r="F194" s="3">
        <v>3</v>
      </c>
      <c r="G194" s="3" t="s">
        <v>20</v>
      </c>
      <c r="H194" s="3">
        <v>19</v>
      </c>
      <c r="I194" s="3">
        <v>18</v>
      </c>
      <c r="J194" s="3">
        <v>29</v>
      </c>
      <c r="K194" s="3" t="s">
        <v>27</v>
      </c>
    </row>
    <row r="195" spans="1:11" x14ac:dyDescent="0.3">
      <c r="A195" s="4">
        <v>72.98</v>
      </c>
      <c r="B195" s="4">
        <v>20.100000000000001</v>
      </c>
      <c r="C195" s="3">
        <v>2019</v>
      </c>
      <c r="D195" s="3">
        <v>1</v>
      </c>
      <c r="E195" s="3">
        <v>20</v>
      </c>
      <c r="F195" s="3">
        <v>3.6</v>
      </c>
      <c r="G195" s="3" t="s">
        <v>20</v>
      </c>
      <c r="H195" s="3">
        <v>10</v>
      </c>
      <c r="I195" s="3">
        <v>18</v>
      </c>
      <c r="J195" s="3">
        <v>38</v>
      </c>
      <c r="K195" s="3" t="s">
        <v>27</v>
      </c>
    </row>
    <row r="196" spans="1:11" x14ac:dyDescent="0.3">
      <c r="A196" s="4">
        <v>72.709999999999994</v>
      </c>
      <c r="B196" s="4">
        <v>19.78</v>
      </c>
      <c r="C196" s="3">
        <v>2019</v>
      </c>
      <c r="D196" s="3">
        <v>1</v>
      </c>
      <c r="E196" s="3">
        <v>20</v>
      </c>
      <c r="F196" s="3">
        <v>3</v>
      </c>
      <c r="G196" s="3" t="s">
        <v>20</v>
      </c>
      <c r="H196" s="3">
        <v>7</v>
      </c>
      <c r="I196" s="3">
        <v>20</v>
      </c>
      <c r="J196" s="3">
        <v>59</v>
      </c>
      <c r="K196" s="3" t="s">
        <v>27</v>
      </c>
    </row>
    <row r="197" spans="1:11" x14ac:dyDescent="0.3">
      <c r="A197" s="4">
        <v>72.790000000000006</v>
      </c>
      <c r="B197" s="4">
        <v>19.899999999999999</v>
      </c>
      <c r="C197" s="3">
        <v>2019</v>
      </c>
      <c r="D197" s="3">
        <v>1</v>
      </c>
      <c r="E197" s="3">
        <v>24</v>
      </c>
      <c r="F197" s="3">
        <v>3.4</v>
      </c>
      <c r="G197" s="3" t="s">
        <v>20</v>
      </c>
      <c r="H197" s="3">
        <v>3</v>
      </c>
      <c r="I197" s="3">
        <v>9</v>
      </c>
      <c r="J197" s="3">
        <v>15</v>
      </c>
      <c r="K197" s="3" t="s">
        <v>27</v>
      </c>
    </row>
    <row r="198" spans="1:11" x14ac:dyDescent="0.3">
      <c r="A198" s="4">
        <v>72.819999999999993</v>
      </c>
      <c r="B198" s="4">
        <v>20.100000000000001</v>
      </c>
      <c r="C198" s="3">
        <v>2019</v>
      </c>
      <c r="D198" s="3">
        <v>2</v>
      </c>
      <c r="E198" s="3">
        <v>1</v>
      </c>
      <c r="F198" s="3">
        <v>3.4</v>
      </c>
      <c r="G198" s="3" t="s">
        <v>20</v>
      </c>
      <c r="H198" s="3">
        <v>16</v>
      </c>
      <c r="I198" s="3">
        <v>6</v>
      </c>
      <c r="J198" s="3">
        <v>58</v>
      </c>
      <c r="K198" s="3" t="s">
        <v>27</v>
      </c>
    </row>
    <row r="199" spans="1:11" x14ac:dyDescent="0.3">
      <c r="A199" s="4">
        <v>72.81</v>
      </c>
      <c r="B199" s="4">
        <v>20.2</v>
      </c>
      <c r="C199" s="3">
        <v>2019</v>
      </c>
      <c r="D199" s="3">
        <v>2</v>
      </c>
      <c r="E199" s="3">
        <v>1</v>
      </c>
      <c r="F199" s="3">
        <v>3.5</v>
      </c>
      <c r="G199" s="3" t="s">
        <v>20</v>
      </c>
      <c r="H199" s="3">
        <v>5</v>
      </c>
      <c r="I199" s="3">
        <v>10</v>
      </c>
      <c r="J199" s="3">
        <v>3</v>
      </c>
      <c r="K199" s="3" t="s">
        <v>27</v>
      </c>
    </row>
    <row r="200" spans="1:11" x14ac:dyDescent="0.3">
      <c r="A200" s="4">
        <v>72.75</v>
      </c>
      <c r="B200" s="4">
        <v>20.7</v>
      </c>
      <c r="C200" s="3">
        <v>2019</v>
      </c>
      <c r="D200" s="3">
        <v>2</v>
      </c>
      <c r="E200" s="3">
        <v>1</v>
      </c>
      <c r="F200" s="3">
        <v>3.1</v>
      </c>
      <c r="G200" s="3" t="s">
        <v>20</v>
      </c>
      <c r="H200" s="3">
        <v>14</v>
      </c>
      <c r="I200" s="3">
        <v>10</v>
      </c>
      <c r="J200" s="3">
        <v>29</v>
      </c>
      <c r="K200" s="3" t="s">
        <v>27</v>
      </c>
    </row>
    <row r="201" spans="1:11" x14ac:dyDescent="0.3">
      <c r="A201" s="4">
        <v>72.849999999999994</v>
      </c>
      <c r="B201" s="4">
        <v>19.98</v>
      </c>
      <c r="C201" s="3">
        <v>2019</v>
      </c>
      <c r="D201" s="3">
        <v>2</v>
      </c>
      <c r="E201" s="3">
        <v>1</v>
      </c>
      <c r="F201" s="3">
        <v>3.5</v>
      </c>
      <c r="G201" s="3" t="s">
        <v>20</v>
      </c>
      <c r="H201" s="3">
        <v>6</v>
      </c>
      <c r="I201" s="3">
        <v>14</v>
      </c>
      <c r="J201" s="3">
        <v>6</v>
      </c>
      <c r="K201" s="3" t="s">
        <v>27</v>
      </c>
    </row>
    <row r="202" spans="1:11" x14ac:dyDescent="0.3">
      <c r="A202" s="4">
        <v>72.760000000000005</v>
      </c>
      <c r="B202" s="4">
        <v>19.920000000000002</v>
      </c>
      <c r="C202" s="3">
        <v>2019</v>
      </c>
      <c r="D202" s="3">
        <v>2</v>
      </c>
      <c r="E202" s="3">
        <v>1</v>
      </c>
      <c r="F202" s="3">
        <v>3.7</v>
      </c>
      <c r="G202" s="3" t="s">
        <v>20</v>
      </c>
      <c r="H202" s="3">
        <v>9</v>
      </c>
      <c r="I202" s="3">
        <v>15</v>
      </c>
      <c r="J202" s="3">
        <v>53</v>
      </c>
      <c r="K202" s="3" t="s">
        <v>27</v>
      </c>
    </row>
    <row r="203" spans="1:11" x14ac:dyDescent="0.3">
      <c r="A203" s="4">
        <v>72.78</v>
      </c>
      <c r="B203" s="4">
        <v>19.989999999999998</v>
      </c>
      <c r="C203" s="3">
        <v>2019</v>
      </c>
      <c r="D203" s="3">
        <v>2</v>
      </c>
      <c r="E203" s="3">
        <v>1</v>
      </c>
      <c r="F203" s="3">
        <v>3.5</v>
      </c>
      <c r="G203" s="3" t="s">
        <v>20</v>
      </c>
      <c r="H203" s="3">
        <v>11</v>
      </c>
      <c r="I203" s="3">
        <v>16</v>
      </c>
      <c r="J203" s="3">
        <v>57</v>
      </c>
      <c r="K203" s="3" t="s">
        <v>27</v>
      </c>
    </row>
    <row r="204" spans="1:11" x14ac:dyDescent="0.3">
      <c r="A204" s="4">
        <v>72.8</v>
      </c>
      <c r="B204" s="4">
        <v>19.96</v>
      </c>
      <c r="C204" s="3">
        <v>2019</v>
      </c>
      <c r="D204" s="3">
        <v>2</v>
      </c>
      <c r="E204" s="3">
        <v>7</v>
      </c>
      <c r="F204" s="3">
        <v>3</v>
      </c>
      <c r="G204" s="3" t="s">
        <v>20</v>
      </c>
      <c r="H204" s="3">
        <v>10</v>
      </c>
      <c r="I204" s="3">
        <v>18</v>
      </c>
      <c r="J204" s="3">
        <v>19</v>
      </c>
      <c r="K204" s="3" t="s">
        <v>27</v>
      </c>
    </row>
    <row r="205" spans="1:11" x14ac:dyDescent="0.3">
      <c r="A205" s="4">
        <v>72.73</v>
      </c>
      <c r="B205" s="4">
        <v>19.95</v>
      </c>
      <c r="C205" s="3">
        <v>2019</v>
      </c>
      <c r="D205" s="3">
        <v>2</v>
      </c>
      <c r="E205" s="3">
        <v>13</v>
      </c>
      <c r="F205" s="3">
        <v>3.1</v>
      </c>
      <c r="G205" s="3" t="s">
        <v>20</v>
      </c>
      <c r="H205" s="3">
        <v>10</v>
      </c>
      <c r="I205" s="3">
        <v>3</v>
      </c>
      <c r="J205" s="3">
        <v>56</v>
      </c>
      <c r="K205" s="3" t="s">
        <v>27</v>
      </c>
    </row>
    <row r="206" spans="1:11" x14ac:dyDescent="0.3">
      <c r="A206" s="4">
        <v>72.819999999999993</v>
      </c>
      <c r="B206" s="4">
        <v>19.95</v>
      </c>
      <c r="C206" s="3">
        <v>2019</v>
      </c>
      <c r="D206" s="3">
        <v>2</v>
      </c>
      <c r="E206" s="3">
        <v>13</v>
      </c>
      <c r="F206" s="3">
        <v>3.3</v>
      </c>
      <c r="G206" s="3" t="s">
        <v>20</v>
      </c>
      <c r="H206" s="3">
        <v>10</v>
      </c>
      <c r="I206" s="3">
        <v>10</v>
      </c>
      <c r="J206" s="3">
        <v>44</v>
      </c>
      <c r="K206" s="3" t="s">
        <v>27</v>
      </c>
    </row>
    <row r="207" spans="1:11" x14ac:dyDescent="0.3">
      <c r="A207" s="4">
        <v>72.78</v>
      </c>
      <c r="B207" s="4">
        <v>19.940000000000001</v>
      </c>
      <c r="C207" s="3">
        <v>2019</v>
      </c>
      <c r="D207" s="3">
        <v>2</v>
      </c>
      <c r="E207" s="3">
        <v>13</v>
      </c>
      <c r="F207" s="3">
        <v>3.2</v>
      </c>
      <c r="G207" s="3" t="s">
        <v>20</v>
      </c>
      <c r="H207" s="3">
        <v>10</v>
      </c>
      <c r="I207" s="3">
        <v>13</v>
      </c>
      <c r="J207" s="3">
        <v>12</v>
      </c>
      <c r="K207" s="3" t="s">
        <v>27</v>
      </c>
    </row>
    <row r="208" spans="1:11" x14ac:dyDescent="0.3">
      <c r="A208" s="4">
        <v>72.819999999999993</v>
      </c>
      <c r="B208" s="4">
        <v>19.96</v>
      </c>
      <c r="C208" s="3">
        <v>2019</v>
      </c>
      <c r="D208" s="3">
        <v>2</v>
      </c>
      <c r="E208" s="3">
        <v>20</v>
      </c>
      <c r="F208" s="3">
        <v>3.2</v>
      </c>
      <c r="G208" s="3" t="s">
        <v>20</v>
      </c>
      <c r="H208" s="3">
        <v>10</v>
      </c>
      <c r="I208" s="3">
        <v>10</v>
      </c>
      <c r="J208" s="3">
        <v>13</v>
      </c>
      <c r="K208" s="3" t="s">
        <v>27</v>
      </c>
    </row>
    <row r="209" spans="1:11" x14ac:dyDescent="0.3">
      <c r="A209" s="4">
        <v>72.67</v>
      </c>
      <c r="B209" s="4">
        <v>19.940000000000001</v>
      </c>
      <c r="C209" s="3">
        <v>2019</v>
      </c>
      <c r="D209" s="3">
        <v>2</v>
      </c>
      <c r="E209" s="3">
        <v>20</v>
      </c>
      <c r="F209" s="3">
        <v>3.1</v>
      </c>
      <c r="G209" s="3" t="s">
        <v>20</v>
      </c>
      <c r="H209" s="3">
        <v>10</v>
      </c>
      <c r="I209" s="3">
        <v>13</v>
      </c>
      <c r="J209" s="3">
        <v>24</v>
      </c>
      <c r="K209" s="3" t="s">
        <v>27</v>
      </c>
    </row>
    <row r="210" spans="1:11" x14ac:dyDescent="0.3">
      <c r="A210" s="4">
        <v>72.819999999999993</v>
      </c>
      <c r="B210" s="4">
        <v>19.93</v>
      </c>
      <c r="C210" s="3">
        <v>2019</v>
      </c>
      <c r="D210" s="3">
        <v>2</v>
      </c>
      <c r="E210" s="3">
        <v>20</v>
      </c>
      <c r="F210" s="3">
        <v>3.7</v>
      </c>
      <c r="G210" s="3" t="s">
        <v>20</v>
      </c>
      <c r="H210" s="3">
        <v>10</v>
      </c>
      <c r="I210" s="3">
        <v>13</v>
      </c>
      <c r="J210" s="3">
        <v>28</v>
      </c>
      <c r="K210" s="3" t="s">
        <v>27</v>
      </c>
    </row>
    <row r="211" spans="1:11" x14ac:dyDescent="0.3">
      <c r="A211" s="4">
        <v>72.739999999999995</v>
      </c>
      <c r="B211" s="4">
        <v>19.96</v>
      </c>
      <c r="C211" s="3">
        <v>2019</v>
      </c>
      <c r="D211" s="3">
        <v>3</v>
      </c>
      <c r="E211" s="3">
        <v>1</v>
      </c>
      <c r="F211" s="3">
        <v>2.9</v>
      </c>
      <c r="G211" s="3" t="s">
        <v>20</v>
      </c>
      <c r="H211" s="3">
        <v>10</v>
      </c>
      <c r="I211" s="3">
        <v>11</v>
      </c>
      <c r="J211" s="3">
        <v>8</v>
      </c>
      <c r="K211" s="3" t="s">
        <v>27</v>
      </c>
    </row>
    <row r="212" spans="1:11" x14ac:dyDescent="0.3">
      <c r="A212" s="4">
        <v>72.900000000000006</v>
      </c>
      <c r="B212" s="4">
        <v>19.88</v>
      </c>
      <c r="C212" s="3">
        <v>2019</v>
      </c>
      <c r="D212" s="3">
        <v>3</v>
      </c>
      <c r="E212" s="3">
        <v>1</v>
      </c>
      <c r="F212" s="3">
        <v>3.9</v>
      </c>
      <c r="G212" s="3" t="s">
        <v>20</v>
      </c>
      <c r="H212" s="3">
        <v>10</v>
      </c>
      <c r="I212" s="3">
        <v>11</v>
      </c>
      <c r="J212" s="3">
        <v>14</v>
      </c>
      <c r="K212" s="3" t="s">
        <v>27</v>
      </c>
    </row>
    <row r="213" spans="1:11" x14ac:dyDescent="0.3">
      <c r="A213" s="4">
        <v>72.819999999999993</v>
      </c>
      <c r="B213" s="4">
        <v>19.98</v>
      </c>
      <c r="C213" s="3">
        <v>2019</v>
      </c>
      <c r="D213" s="3">
        <v>3</v>
      </c>
      <c r="E213" s="3">
        <v>11</v>
      </c>
      <c r="F213" s="3">
        <v>3.3</v>
      </c>
      <c r="G213" s="3" t="s">
        <v>20</v>
      </c>
      <c r="H213" s="3">
        <v>10</v>
      </c>
      <c r="I213" s="3">
        <v>1</v>
      </c>
      <c r="J213" s="3">
        <v>0</v>
      </c>
      <c r="K213" s="3" t="s">
        <v>27</v>
      </c>
    </row>
    <row r="214" spans="1:11" x14ac:dyDescent="0.3">
      <c r="A214" s="4">
        <v>72.959999999999994</v>
      </c>
      <c r="B214" s="4">
        <v>20.100000000000001</v>
      </c>
      <c r="C214" s="3">
        <v>2019</v>
      </c>
      <c r="D214" s="3">
        <v>3</v>
      </c>
      <c r="E214" s="3">
        <v>31</v>
      </c>
      <c r="F214" s="3">
        <v>3.1</v>
      </c>
      <c r="G214" s="3" t="s">
        <v>20</v>
      </c>
      <c r="H214" s="3">
        <v>5</v>
      </c>
      <c r="I214" s="3">
        <v>17</v>
      </c>
      <c r="J214" s="3">
        <v>51</v>
      </c>
      <c r="K214" s="3" t="s">
        <v>27</v>
      </c>
    </row>
    <row r="215" spans="1:11" x14ac:dyDescent="0.3">
      <c r="A215" s="4">
        <v>72.709999999999994</v>
      </c>
      <c r="B215" s="4">
        <v>20.350000000000001</v>
      </c>
      <c r="C215" s="3">
        <v>2019</v>
      </c>
      <c r="D215" s="3">
        <v>4</v>
      </c>
      <c r="E215" s="3">
        <v>2</v>
      </c>
      <c r="F215" s="3">
        <v>3.3</v>
      </c>
      <c r="G215" s="3" t="s">
        <v>20</v>
      </c>
      <c r="H215" s="3">
        <v>5</v>
      </c>
      <c r="I215" s="3">
        <v>13</v>
      </c>
      <c r="J215" s="3">
        <v>51</v>
      </c>
      <c r="K215" s="3" t="s">
        <v>27</v>
      </c>
    </row>
    <row r="216" spans="1:11" x14ac:dyDescent="0.3">
      <c r="A216" s="4">
        <v>72.28</v>
      </c>
      <c r="B216" s="4">
        <v>20.7</v>
      </c>
      <c r="C216" s="3">
        <v>2019</v>
      </c>
      <c r="D216" s="3">
        <v>4</v>
      </c>
      <c r="E216" s="3">
        <v>2</v>
      </c>
      <c r="F216" s="3">
        <v>3.5</v>
      </c>
      <c r="G216" s="3" t="s">
        <v>20</v>
      </c>
      <c r="H216" s="3">
        <v>5</v>
      </c>
      <c r="I216" s="3">
        <v>14</v>
      </c>
      <c r="J216" s="3">
        <v>2</v>
      </c>
      <c r="K216" s="3" t="s">
        <v>27</v>
      </c>
    </row>
    <row r="217" spans="1:11" x14ac:dyDescent="0.3">
      <c r="A217" s="4">
        <v>76.290000000000006</v>
      </c>
      <c r="B217" s="4">
        <v>21.35</v>
      </c>
      <c r="C217" s="3">
        <v>2019</v>
      </c>
      <c r="D217" s="3">
        <v>4</v>
      </c>
      <c r="E217" s="3">
        <v>8</v>
      </c>
      <c r="F217" s="3">
        <v>3.1</v>
      </c>
      <c r="G217" s="3" t="s">
        <v>20</v>
      </c>
      <c r="H217" s="3">
        <v>10</v>
      </c>
      <c r="I217" s="3">
        <v>19</v>
      </c>
      <c r="J217" s="3">
        <v>39</v>
      </c>
      <c r="K217" s="3" t="s">
        <v>27</v>
      </c>
    </row>
    <row r="218" spans="1:11" x14ac:dyDescent="0.3">
      <c r="A218" s="4">
        <v>72.2</v>
      </c>
      <c r="B218" s="4">
        <v>19.77</v>
      </c>
      <c r="C218" s="3">
        <v>2019</v>
      </c>
      <c r="D218" s="3">
        <v>4</v>
      </c>
      <c r="E218" s="3">
        <v>9</v>
      </c>
      <c r="F218" s="3">
        <v>3.4</v>
      </c>
      <c r="G218" s="3" t="s">
        <v>20</v>
      </c>
      <c r="H218" s="3">
        <v>10</v>
      </c>
      <c r="I218" s="3">
        <v>19</v>
      </c>
      <c r="J218" s="3">
        <v>9</v>
      </c>
      <c r="K218" s="3" t="s">
        <v>27</v>
      </c>
    </row>
    <row r="219" spans="1:11" x14ac:dyDescent="0.3">
      <c r="A219" s="4">
        <v>72.98</v>
      </c>
      <c r="B219" s="4">
        <v>20.8</v>
      </c>
      <c r="C219" s="3">
        <v>2019</v>
      </c>
      <c r="D219" s="3">
        <v>5</v>
      </c>
      <c r="E219" s="3">
        <v>24</v>
      </c>
      <c r="F219" s="3">
        <v>3.1</v>
      </c>
      <c r="G219" s="3" t="s">
        <v>20</v>
      </c>
      <c r="H219" s="3">
        <v>3</v>
      </c>
      <c r="I219" s="3">
        <v>5</v>
      </c>
      <c r="J219" s="3">
        <v>41</v>
      </c>
      <c r="K219" s="3" t="s">
        <v>27</v>
      </c>
    </row>
    <row r="220" spans="1:11" x14ac:dyDescent="0.3">
      <c r="A220" s="4">
        <v>72.47</v>
      </c>
      <c r="B220" s="4">
        <v>19.8</v>
      </c>
      <c r="C220" s="3">
        <v>2019</v>
      </c>
      <c r="D220" s="3">
        <v>5</v>
      </c>
      <c r="E220" s="3">
        <v>30</v>
      </c>
      <c r="F220" s="3">
        <v>3</v>
      </c>
      <c r="G220" s="3" t="s">
        <v>20</v>
      </c>
      <c r="H220" s="3">
        <v>11</v>
      </c>
      <c r="I220" s="3">
        <v>10</v>
      </c>
      <c r="J220" s="3">
        <v>50</v>
      </c>
      <c r="K220" s="3" t="s">
        <v>27</v>
      </c>
    </row>
    <row r="221" spans="1:11" x14ac:dyDescent="0.3">
      <c r="A221" s="4">
        <v>72.75</v>
      </c>
      <c r="B221" s="4">
        <v>24.29</v>
      </c>
      <c r="C221" s="3">
        <v>2019</v>
      </c>
      <c r="D221" s="3">
        <v>6</v>
      </c>
      <c r="E221" s="3">
        <v>5</v>
      </c>
      <c r="F221" s="3">
        <v>4</v>
      </c>
      <c r="G221" s="3" t="s">
        <v>20</v>
      </c>
      <c r="H221" s="3">
        <v>10</v>
      </c>
      <c r="I221" s="3">
        <v>22</v>
      </c>
      <c r="J221" s="3">
        <v>31</v>
      </c>
      <c r="K221" s="3" t="s">
        <v>27</v>
      </c>
    </row>
    <row r="222" spans="1:11" x14ac:dyDescent="0.3">
      <c r="A222" s="4">
        <v>78.150000000000006</v>
      </c>
      <c r="B222" s="4">
        <v>19.850000000000001</v>
      </c>
      <c r="C222" s="3">
        <v>2019</v>
      </c>
      <c r="D222" s="3">
        <v>6</v>
      </c>
      <c r="E222" s="3">
        <v>21</v>
      </c>
      <c r="F222" s="3">
        <v>3.6</v>
      </c>
      <c r="G222" s="3" t="s">
        <v>20</v>
      </c>
      <c r="H222" s="3">
        <v>7</v>
      </c>
      <c r="I222" s="3">
        <v>21</v>
      </c>
      <c r="J222" s="3">
        <v>12</v>
      </c>
      <c r="K222" s="3" t="s">
        <v>27</v>
      </c>
    </row>
    <row r="223" spans="1:11" x14ac:dyDescent="0.3">
      <c r="A223" s="4">
        <v>73.400000000000006</v>
      </c>
      <c r="B223" s="4">
        <v>19.7</v>
      </c>
      <c r="C223" s="3">
        <v>2019</v>
      </c>
      <c r="D223" s="3">
        <v>9</v>
      </c>
      <c r="E223" s="3">
        <v>20</v>
      </c>
      <c r="F223" s="3">
        <v>3.5</v>
      </c>
      <c r="G223" s="3" t="s">
        <v>20</v>
      </c>
      <c r="H223" s="3">
        <v>3</v>
      </c>
      <c r="I223" s="3">
        <v>16</v>
      </c>
      <c r="J223" s="3">
        <v>32</v>
      </c>
      <c r="K223" s="3" t="s">
        <v>27</v>
      </c>
    </row>
    <row r="224" spans="1:11" x14ac:dyDescent="0.3">
      <c r="A224" s="4">
        <v>72.8</v>
      </c>
      <c r="B224" s="4">
        <v>19.98</v>
      </c>
      <c r="C224" s="3">
        <v>2019</v>
      </c>
      <c r="D224" s="3">
        <v>9</v>
      </c>
      <c r="E224" s="3">
        <v>21</v>
      </c>
      <c r="F224" s="3">
        <v>3.2</v>
      </c>
      <c r="G224" s="3" t="s">
        <v>20</v>
      </c>
      <c r="H224" s="3">
        <v>14</v>
      </c>
      <c r="I224" s="3">
        <v>22</v>
      </c>
      <c r="J224" s="3">
        <v>30</v>
      </c>
      <c r="K224" s="3" t="s">
        <v>27</v>
      </c>
    </row>
    <row r="225" spans="1:11" x14ac:dyDescent="0.3">
      <c r="A225" s="4">
        <v>72.75</v>
      </c>
      <c r="B225" s="4">
        <v>19.89</v>
      </c>
      <c r="C225" s="3">
        <v>2019</v>
      </c>
      <c r="D225" s="3">
        <v>9</v>
      </c>
      <c r="E225" s="3">
        <v>22</v>
      </c>
      <c r="F225" s="3">
        <v>3.7</v>
      </c>
      <c r="G225" s="3" t="s">
        <v>20</v>
      </c>
      <c r="H225" s="3">
        <v>10</v>
      </c>
      <c r="I225" s="3">
        <v>12</v>
      </c>
      <c r="J225" s="3">
        <v>47</v>
      </c>
      <c r="K225" s="3" t="s">
        <v>27</v>
      </c>
    </row>
    <row r="226" spans="1:11" x14ac:dyDescent="0.3">
      <c r="A226" s="4">
        <v>72.650000000000006</v>
      </c>
      <c r="B226" s="4">
        <v>19.95</v>
      </c>
      <c r="C226" s="3">
        <v>2019</v>
      </c>
      <c r="D226" s="3">
        <v>9</v>
      </c>
      <c r="E226" s="3">
        <v>24</v>
      </c>
      <c r="F226" s="3">
        <v>2.9</v>
      </c>
      <c r="G226" s="3" t="s">
        <v>20</v>
      </c>
      <c r="H226" s="3">
        <v>10</v>
      </c>
      <c r="I226" s="3">
        <v>14</v>
      </c>
      <c r="J226" s="3">
        <v>17</v>
      </c>
      <c r="K226" s="3" t="s">
        <v>27</v>
      </c>
    </row>
    <row r="227" spans="1:11" x14ac:dyDescent="0.3">
      <c r="A227" s="4">
        <v>71.989999999999995</v>
      </c>
      <c r="B227" s="4">
        <v>20.5</v>
      </c>
      <c r="C227" s="3">
        <v>2019</v>
      </c>
      <c r="D227" s="3">
        <v>10</v>
      </c>
      <c r="E227" s="3">
        <v>30</v>
      </c>
      <c r="F227" s="3">
        <v>3.4</v>
      </c>
      <c r="G227" s="3" t="s">
        <v>20</v>
      </c>
      <c r="H227" s="3">
        <v>20</v>
      </c>
      <c r="I227" s="3">
        <v>3</v>
      </c>
      <c r="J227" s="3">
        <v>17</v>
      </c>
      <c r="K227" s="3" t="s">
        <v>27</v>
      </c>
    </row>
    <row r="228" spans="1:11" x14ac:dyDescent="0.3">
      <c r="A228" s="4">
        <v>72.8</v>
      </c>
      <c r="B228" s="4">
        <v>20.2</v>
      </c>
      <c r="C228" s="3">
        <v>2019</v>
      </c>
      <c r="D228" s="3">
        <v>11</v>
      </c>
      <c r="E228" s="3">
        <v>3</v>
      </c>
      <c r="F228" s="3">
        <v>3</v>
      </c>
      <c r="G228" s="3" t="s">
        <v>20</v>
      </c>
      <c r="H228" s="3">
        <v>18</v>
      </c>
      <c r="I228" s="3">
        <v>4</v>
      </c>
      <c r="J228" s="3">
        <v>39</v>
      </c>
      <c r="K228" s="3" t="s">
        <v>27</v>
      </c>
    </row>
    <row r="229" spans="1:11" x14ac:dyDescent="0.3">
      <c r="A229" s="4">
        <v>72.78</v>
      </c>
      <c r="B229" s="4">
        <v>19.97</v>
      </c>
      <c r="C229" s="3">
        <v>2019</v>
      </c>
      <c r="D229" s="3">
        <v>11</v>
      </c>
      <c r="E229" s="3">
        <v>20</v>
      </c>
      <c r="F229" s="3">
        <v>3.5</v>
      </c>
      <c r="G229" s="3" t="s">
        <v>20</v>
      </c>
      <c r="H229" s="3">
        <v>11</v>
      </c>
      <c r="I229" s="3">
        <v>1</v>
      </c>
      <c r="J229" s="3">
        <v>35</v>
      </c>
      <c r="K229" s="3" t="s">
        <v>27</v>
      </c>
    </row>
    <row r="230" spans="1:11" x14ac:dyDescent="0.3">
      <c r="A230" s="4">
        <v>72.819999999999993</v>
      </c>
      <c r="B230" s="4">
        <v>19.97</v>
      </c>
      <c r="C230" s="3">
        <v>2019</v>
      </c>
      <c r="D230" s="3">
        <v>11</v>
      </c>
      <c r="E230" s="3">
        <v>20</v>
      </c>
      <c r="F230" s="3">
        <v>3</v>
      </c>
      <c r="G230" s="3" t="s">
        <v>19</v>
      </c>
      <c r="H230" s="3">
        <v>13</v>
      </c>
      <c r="I230" s="3">
        <v>1</v>
      </c>
      <c r="J230" s="3">
        <v>56</v>
      </c>
      <c r="K230" s="3" t="s">
        <v>27</v>
      </c>
    </row>
    <row r="231" spans="1:11" x14ac:dyDescent="0.3">
      <c r="A231" s="4">
        <v>72.11</v>
      </c>
      <c r="B231" s="4">
        <v>19.8</v>
      </c>
      <c r="C231" s="3">
        <v>2019</v>
      </c>
      <c r="D231" s="3">
        <v>11</v>
      </c>
      <c r="E231" s="3">
        <v>21</v>
      </c>
      <c r="F231" s="3">
        <v>3.5</v>
      </c>
      <c r="G231" s="3" t="s">
        <v>20</v>
      </c>
      <c r="H231" s="3">
        <v>25</v>
      </c>
      <c r="I231" s="3">
        <v>7</v>
      </c>
      <c r="J231" s="3">
        <v>20</v>
      </c>
      <c r="K231" s="3" t="s">
        <v>27</v>
      </c>
    </row>
    <row r="232" spans="1:11" x14ac:dyDescent="0.3">
      <c r="A232" s="4">
        <v>72.849999999999994</v>
      </c>
      <c r="B232" s="4">
        <v>20.100000000000001</v>
      </c>
      <c r="C232" s="3">
        <v>2019</v>
      </c>
      <c r="D232" s="3">
        <v>11</v>
      </c>
      <c r="E232" s="3">
        <v>23</v>
      </c>
      <c r="F232" s="3">
        <v>3.4</v>
      </c>
      <c r="G232" s="3" t="s">
        <v>20</v>
      </c>
      <c r="H232" s="3">
        <v>10</v>
      </c>
      <c r="I232" s="3">
        <v>20</v>
      </c>
      <c r="J232" s="3">
        <v>40</v>
      </c>
      <c r="K232" s="3" t="s">
        <v>27</v>
      </c>
    </row>
    <row r="233" spans="1:11" x14ac:dyDescent="0.3">
      <c r="A233" s="4">
        <v>72.91</v>
      </c>
      <c r="B233" s="4">
        <v>20.34</v>
      </c>
      <c r="C233" s="3">
        <v>2019</v>
      </c>
      <c r="D233" s="3">
        <v>12</v>
      </c>
      <c r="E233" s="3">
        <v>13</v>
      </c>
      <c r="F233" s="3">
        <v>3.1</v>
      </c>
      <c r="G233" s="3" t="s">
        <v>20</v>
      </c>
      <c r="H233" s="3">
        <v>4</v>
      </c>
      <c r="I233" s="3">
        <v>15</v>
      </c>
      <c r="J233" s="3">
        <v>56</v>
      </c>
      <c r="K233" s="3" t="s">
        <v>27</v>
      </c>
    </row>
    <row r="234" spans="1:11" x14ac:dyDescent="0.3">
      <c r="A234" s="4">
        <v>72.91</v>
      </c>
      <c r="B234" s="4">
        <v>20.5</v>
      </c>
      <c r="C234" s="3">
        <v>2019</v>
      </c>
      <c r="D234" s="3">
        <v>12</v>
      </c>
      <c r="E234" s="3">
        <v>13</v>
      </c>
      <c r="F234" s="3">
        <v>3.5</v>
      </c>
      <c r="G234" s="3" t="s">
        <v>20</v>
      </c>
      <c r="H234" s="3">
        <v>19</v>
      </c>
      <c r="I234" s="3">
        <v>21</v>
      </c>
      <c r="J234" s="3">
        <v>55</v>
      </c>
      <c r="K234" s="3" t="s">
        <v>27</v>
      </c>
    </row>
    <row r="235" spans="1:11" x14ac:dyDescent="0.3">
      <c r="A235" s="4">
        <v>72.87</v>
      </c>
      <c r="B235" s="4">
        <v>20.6</v>
      </c>
      <c r="C235" s="3">
        <v>2019</v>
      </c>
      <c r="D235" s="3">
        <v>12</v>
      </c>
      <c r="E235" s="3">
        <v>14</v>
      </c>
      <c r="F235" s="3">
        <v>4</v>
      </c>
      <c r="G235" s="3" t="s">
        <v>20</v>
      </c>
      <c r="H235" s="3">
        <v>8</v>
      </c>
      <c r="I235" s="3">
        <v>5</v>
      </c>
      <c r="J235" s="3">
        <v>22</v>
      </c>
      <c r="K235" s="3" t="s">
        <v>27</v>
      </c>
    </row>
    <row r="236" spans="1:11" x14ac:dyDescent="0.3">
      <c r="A236" s="4">
        <v>72.81</v>
      </c>
      <c r="B236" s="4">
        <v>20.329999999999998</v>
      </c>
      <c r="C236" s="3">
        <v>2019</v>
      </c>
      <c r="D236" s="3">
        <v>12</v>
      </c>
      <c r="E236" s="3">
        <v>27</v>
      </c>
      <c r="F236" s="3">
        <v>3.1</v>
      </c>
      <c r="G236" s="3" t="s">
        <v>20</v>
      </c>
      <c r="H236" s="3">
        <v>10</v>
      </c>
      <c r="I236" s="3">
        <v>5</v>
      </c>
      <c r="J236" s="3">
        <v>27</v>
      </c>
      <c r="K236" s="3" t="s">
        <v>27</v>
      </c>
    </row>
    <row r="237" spans="1:11" x14ac:dyDescent="0.3">
      <c r="A237" s="4">
        <v>72.709999999999994</v>
      </c>
      <c r="B237" s="4">
        <v>19.96</v>
      </c>
      <c r="C237" s="3">
        <v>2020</v>
      </c>
      <c r="D237" s="3">
        <v>3</v>
      </c>
      <c r="E237" s="3">
        <v>10</v>
      </c>
      <c r="F237" s="3">
        <v>3.1</v>
      </c>
      <c r="G237" s="3" t="s">
        <v>20</v>
      </c>
      <c r="H237" s="3">
        <v>10</v>
      </c>
      <c r="I237" s="3">
        <v>1</v>
      </c>
      <c r="J237" s="3">
        <v>24</v>
      </c>
      <c r="K237" s="3" t="s">
        <v>27</v>
      </c>
    </row>
    <row r="238" spans="1:11" x14ac:dyDescent="0.3">
      <c r="A238" s="4">
        <v>75.36</v>
      </c>
      <c r="B238" s="4">
        <v>26.96</v>
      </c>
      <c r="C238" s="3">
        <v>2020</v>
      </c>
      <c r="D238" s="3">
        <v>3</v>
      </c>
      <c r="E238" s="3">
        <v>17</v>
      </c>
      <c r="F238" s="3">
        <v>3</v>
      </c>
      <c r="G238" s="3" t="s">
        <v>20</v>
      </c>
      <c r="H238" s="3">
        <v>10</v>
      </c>
      <c r="I238" s="3">
        <v>5</v>
      </c>
      <c r="J238" s="3">
        <v>26</v>
      </c>
      <c r="K238" s="3" t="s">
        <v>27</v>
      </c>
    </row>
    <row r="239" spans="1:11" x14ac:dyDescent="0.3">
      <c r="A239" s="4">
        <v>72.81</v>
      </c>
      <c r="B239" s="4">
        <v>19.93</v>
      </c>
      <c r="C239" s="3">
        <v>2020</v>
      </c>
      <c r="D239" s="3">
        <v>3</v>
      </c>
      <c r="E239" s="3">
        <v>19</v>
      </c>
      <c r="F239" s="3">
        <v>3.5</v>
      </c>
      <c r="G239" s="3" t="s">
        <v>20</v>
      </c>
      <c r="H239" s="3">
        <v>21</v>
      </c>
      <c r="I239" s="3">
        <v>9</v>
      </c>
      <c r="J239" s="3">
        <v>19</v>
      </c>
      <c r="K239" s="3" t="s">
        <v>27</v>
      </c>
    </row>
    <row r="240" spans="1:11" x14ac:dyDescent="0.3">
      <c r="A240" s="4">
        <v>72.87</v>
      </c>
      <c r="B240" s="4">
        <v>20.5</v>
      </c>
      <c r="C240" s="3">
        <v>2020</v>
      </c>
      <c r="D240" s="3">
        <v>4</v>
      </c>
      <c r="E240" s="3">
        <v>1</v>
      </c>
      <c r="F240" s="3">
        <v>3</v>
      </c>
      <c r="G240" s="3" t="s">
        <v>20</v>
      </c>
      <c r="H240" s="3">
        <v>12</v>
      </c>
      <c r="I240" s="3">
        <v>23</v>
      </c>
      <c r="J240" s="3">
        <v>39</v>
      </c>
      <c r="K240" s="3" t="s">
        <v>27</v>
      </c>
    </row>
    <row r="241" spans="1:11" x14ac:dyDescent="0.3">
      <c r="A241" s="4">
        <v>72.94</v>
      </c>
      <c r="B241" s="4">
        <v>20.100000000000001</v>
      </c>
      <c r="C241" s="3">
        <v>2020</v>
      </c>
      <c r="D241" s="3">
        <v>4</v>
      </c>
      <c r="E241" s="3">
        <v>6</v>
      </c>
      <c r="F241" s="3">
        <v>3.1</v>
      </c>
      <c r="G241" s="3" t="s">
        <v>20</v>
      </c>
      <c r="H241" s="3">
        <v>11</v>
      </c>
      <c r="I241" s="3">
        <v>0</v>
      </c>
      <c r="J241" s="3">
        <v>18</v>
      </c>
      <c r="K241" s="3" t="s">
        <v>27</v>
      </c>
    </row>
    <row r="242" spans="1:11" x14ac:dyDescent="0.3">
      <c r="A242" s="4">
        <v>78.58</v>
      </c>
      <c r="B242" s="4">
        <v>20.63</v>
      </c>
      <c r="C242" s="3">
        <v>2020</v>
      </c>
      <c r="D242" s="3">
        <v>4</v>
      </c>
      <c r="E242" s="3">
        <v>22</v>
      </c>
      <c r="F242" s="3">
        <v>3.2</v>
      </c>
      <c r="G242" s="3" t="s">
        <v>20</v>
      </c>
      <c r="H242" s="3">
        <v>5</v>
      </c>
      <c r="I242" s="3">
        <v>15</v>
      </c>
      <c r="J242" s="3">
        <v>15</v>
      </c>
      <c r="K242" s="3" t="s">
        <v>27</v>
      </c>
    </row>
    <row r="243" spans="1:11" x14ac:dyDescent="0.3">
      <c r="A243" s="4">
        <v>77.319999999999993</v>
      </c>
      <c r="B243" s="4">
        <v>19.79</v>
      </c>
      <c r="C243" s="3">
        <v>2020</v>
      </c>
      <c r="D243" s="3">
        <v>4</v>
      </c>
      <c r="E243" s="3">
        <v>27</v>
      </c>
      <c r="F243" s="3">
        <v>3.1</v>
      </c>
      <c r="G243" s="3" t="s">
        <v>20</v>
      </c>
      <c r="H243" s="3">
        <v>11</v>
      </c>
      <c r="I243" s="3">
        <v>22</v>
      </c>
      <c r="J243" s="3">
        <v>55</v>
      </c>
      <c r="K243" s="3" t="s">
        <v>27</v>
      </c>
    </row>
    <row r="244" spans="1:11" x14ac:dyDescent="0.3">
      <c r="A244" s="4">
        <v>77.23</v>
      </c>
      <c r="B244" s="4">
        <v>19.309999999999999</v>
      </c>
      <c r="C244" s="3">
        <v>2020</v>
      </c>
      <c r="D244" s="3">
        <v>6</v>
      </c>
      <c r="E244" s="3">
        <v>2</v>
      </c>
      <c r="F244" s="3">
        <v>3</v>
      </c>
      <c r="G244" s="3" t="s">
        <v>20</v>
      </c>
      <c r="H244" s="3">
        <v>20</v>
      </c>
      <c r="I244" s="3">
        <v>7</v>
      </c>
      <c r="J244" s="3">
        <v>9</v>
      </c>
      <c r="K244" s="3" t="s">
        <v>27</v>
      </c>
    </row>
    <row r="245" spans="1:11" x14ac:dyDescent="0.3">
      <c r="A245" s="4">
        <v>77.2</v>
      </c>
      <c r="B245" s="4">
        <v>19.489999999999998</v>
      </c>
      <c r="C245" s="3">
        <v>2020</v>
      </c>
      <c r="D245" s="3">
        <v>6</v>
      </c>
      <c r="E245" s="3">
        <v>23</v>
      </c>
      <c r="F245" s="3">
        <v>3</v>
      </c>
      <c r="G245" s="3" t="s">
        <v>20</v>
      </c>
      <c r="H245" s="3">
        <v>5</v>
      </c>
      <c r="I245" s="3">
        <v>17</v>
      </c>
      <c r="J245" s="3">
        <v>28</v>
      </c>
      <c r="K245" s="3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9"/>
  <sheetViews>
    <sheetView workbookViewId="0">
      <selection sqref="A1:K1048576"/>
    </sheetView>
  </sheetViews>
  <sheetFormatPr defaultRowHeight="14.4" x14ac:dyDescent="0.3"/>
  <cols>
    <col min="1" max="11" width="10.6640625" customWidth="1"/>
  </cols>
  <sheetData>
    <row r="1" spans="1:11" x14ac:dyDescent="0.3">
      <c r="A1" s="58" t="s">
        <v>61</v>
      </c>
      <c r="B1" s="58" t="s">
        <v>62</v>
      </c>
      <c r="C1" s="58" t="s">
        <v>31</v>
      </c>
      <c r="D1" s="58" t="s">
        <v>63</v>
      </c>
      <c r="E1" s="58" t="s">
        <v>64</v>
      </c>
      <c r="F1" s="58" t="s">
        <v>1</v>
      </c>
      <c r="G1" s="58" t="s">
        <v>5</v>
      </c>
      <c r="H1" s="58" t="s">
        <v>0</v>
      </c>
      <c r="I1" s="58" t="s">
        <v>65</v>
      </c>
      <c r="J1" s="58" t="s">
        <v>66</v>
      </c>
      <c r="K1" s="58" t="s">
        <v>67</v>
      </c>
    </row>
    <row r="2" spans="1:11" x14ac:dyDescent="0.3">
      <c r="A2" s="5">
        <v>73.2</v>
      </c>
      <c r="B2" s="13">
        <v>19.100000000000001</v>
      </c>
      <c r="C2" s="11">
        <v>1678</v>
      </c>
      <c r="D2" s="10">
        <v>0</v>
      </c>
      <c r="E2" s="10">
        <v>0</v>
      </c>
      <c r="F2" s="9">
        <v>5</v>
      </c>
      <c r="G2" s="9" t="s">
        <v>26</v>
      </c>
      <c r="H2" s="13">
        <v>0</v>
      </c>
      <c r="I2" s="8">
        <v>0</v>
      </c>
      <c r="J2" s="8">
        <v>0</v>
      </c>
      <c r="K2" s="11">
        <v>11</v>
      </c>
    </row>
    <row r="3" spans="1:11" x14ac:dyDescent="0.3">
      <c r="A3" s="5">
        <v>72.150000000000006</v>
      </c>
      <c r="B3" s="13">
        <v>21.75</v>
      </c>
      <c r="C3" s="11">
        <v>1705</v>
      </c>
      <c r="D3" s="10">
        <v>2</v>
      </c>
      <c r="E3" s="10">
        <v>4</v>
      </c>
      <c r="F3" s="9">
        <v>7</v>
      </c>
      <c r="G3" s="9" t="s">
        <v>26</v>
      </c>
      <c r="H3" s="13">
        <v>0</v>
      </c>
      <c r="I3" s="8">
        <v>0</v>
      </c>
      <c r="J3" s="8">
        <v>0</v>
      </c>
      <c r="K3" s="11">
        <v>5</v>
      </c>
    </row>
    <row r="4" spans="1:11" x14ac:dyDescent="0.3">
      <c r="A4" s="5">
        <v>73.2</v>
      </c>
      <c r="B4" s="13">
        <v>19.100000000000001</v>
      </c>
      <c r="C4" s="11">
        <v>1751</v>
      </c>
      <c r="D4" s="11">
        <v>12</v>
      </c>
      <c r="E4" s="10">
        <v>9</v>
      </c>
      <c r="F4" s="9">
        <v>4.3</v>
      </c>
      <c r="G4" s="9" t="s">
        <v>26</v>
      </c>
      <c r="H4" s="13">
        <v>0</v>
      </c>
      <c r="I4" s="8">
        <v>0</v>
      </c>
      <c r="J4" s="8">
        <v>0</v>
      </c>
      <c r="K4" s="11">
        <v>11</v>
      </c>
    </row>
    <row r="5" spans="1:11" x14ac:dyDescent="0.3">
      <c r="A5" s="5">
        <v>73.3</v>
      </c>
      <c r="B5" s="13">
        <v>19.100000000000001</v>
      </c>
      <c r="C5" s="11">
        <v>1752</v>
      </c>
      <c r="D5" s="10">
        <v>1</v>
      </c>
      <c r="E5" s="10">
        <v>5</v>
      </c>
      <c r="F5" s="9">
        <v>4.3</v>
      </c>
      <c r="G5" s="9" t="s">
        <v>26</v>
      </c>
      <c r="H5" s="13">
        <v>0</v>
      </c>
      <c r="I5" s="8">
        <v>0</v>
      </c>
      <c r="J5" s="8">
        <v>0</v>
      </c>
      <c r="K5" s="11">
        <v>11</v>
      </c>
    </row>
    <row r="6" spans="1:11" x14ac:dyDescent="0.3">
      <c r="A6" s="5">
        <v>73.400000000000006</v>
      </c>
      <c r="B6" s="13">
        <v>18.7</v>
      </c>
      <c r="C6" s="11">
        <v>1752</v>
      </c>
      <c r="D6" s="10">
        <v>2</v>
      </c>
      <c r="E6" s="10">
        <v>5</v>
      </c>
      <c r="F6" s="9">
        <v>4.3</v>
      </c>
      <c r="G6" s="9" t="s">
        <v>26</v>
      </c>
      <c r="H6" s="13">
        <v>0</v>
      </c>
      <c r="I6" s="8">
        <v>0</v>
      </c>
      <c r="J6" s="8">
        <v>0</v>
      </c>
      <c r="K6" s="11">
        <v>11</v>
      </c>
    </row>
    <row r="7" spans="1:11" x14ac:dyDescent="0.3">
      <c r="A7" s="5">
        <v>73</v>
      </c>
      <c r="B7" s="13">
        <v>18.5</v>
      </c>
      <c r="C7" s="11">
        <v>1792</v>
      </c>
      <c r="D7" s="10">
        <v>5</v>
      </c>
      <c r="E7" s="11">
        <v>29</v>
      </c>
      <c r="F7" s="9">
        <v>4.3</v>
      </c>
      <c r="G7" s="9" t="s">
        <v>26</v>
      </c>
      <c r="H7" s="13">
        <v>0</v>
      </c>
      <c r="I7" s="8">
        <v>0</v>
      </c>
      <c r="J7" s="8">
        <v>0</v>
      </c>
      <c r="K7" s="11">
        <v>11</v>
      </c>
    </row>
    <row r="8" spans="1:11" x14ac:dyDescent="0.3">
      <c r="A8" s="5">
        <v>80.3</v>
      </c>
      <c r="B8" s="13">
        <v>25.5</v>
      </c>
      <c r="C8" s="11">
        <v>1808</v>
      </c>
      <c r="D8" s="10">
        <v>6</v>
      </c>
      <c r="E8" s="10">
        <v>4</v>
      </c>
      <c r="F8" s="9">
        <v>4.3</v>
      </c>
      <c r="G8" s="9" t="s">
        <v>26</v>
      </c>
      <c r="H8" s="13">
        <v>0</v>
      </c>
      <c r="I8" s="8">
        <v>0</v>
      </c>
      <c r="J8" s="8">
        <v>0</v>
      </c>
      <c r="K8" s="11">
        <v>15</v>
      </c>
    </row>
    <row r="9" spans="1:11" x14ac:dyDescent="0.3">
      <c r="A9" s="5">
        <v>72.7</v>
      </c>
      <c r="B9" s="13">
        <v>23</v>
      </c>
      <c r="C9" s="11">
        <v>1840</v>
      </c>
      <c r="D9" s="11">
        <v>11</v>
      </c>
      <c r="E9" s="11">
        <v>10</v>
      </c>
      <c r="F9" s="9">
        <v>4.3</v>
      </c>
      <c r="G9" s="9" t="s">
        <v>26</v>
      </c>
      <c r="H9" s="13">
        <v>0</v>
      </c>
      <c r="I9" s="8">
        <v>0</v>
      </c>
      <c r="J9" s="8">
        <v>0</v>
      </c>
      <c r="K9" s="11">
        <v>11</v>
      </c>
    </row>
    <row r="10" spans="1:11" x14ac:dyDescent="0.3">
      <c r="A10" s="5">
        <v>78</v>
      </c>
      <c r="B10" s="13">
        <v>27</v>
      </c>
      <c r="C10" s="11">
        <v>1842</v>
      </c>
      <c r="D10" s="10">
        <v>1</v>
      </c>
      <c r="E10" s="11">
        <v>16</v>
      </c>
      <c r="F10" s="9">
        <v>5.5</v>
      </c>
      <c r="G10" s="9" t="s">
        <v>26</v>
      </c>
      <c r="H10" s="13">
        <v>0</v>
      </c>
      <c r="I10" s="8">
        <v>0</v>
      </c>
      <c r="J10" s="8">
        <v>0</v>
      </c>
      <c r="K10" s="11">
        <v>2</v>
      </c>
    </row>
    <row r="11" spans="1:11" x14ac:dyDescent="0.3">
      <c r="A11" s="5">
        <v>73.2</v>
      </c>
      <c r="B11" s="13">
        <v>22.3</v>
      </c>
      <c r="C11" s="11">
        <v>1842</v>
      </c>
      <c r="D11" s="11">
        <v>10</v>
      </c>
      <c r="E11" s="10">
        <v>9</v>
      </c>
      <c r="F11" s="9">
        <v>4.3</v>
      </c>
      <c r="G11" s="9" t="s">
        <v>26</v>
      </c>
      <c r="H11" s="13">
        <v>0</v>
      </c>
      <c r="I11" s="8">
        <v>0</v>
      </c>
      <c r="J11" s="8">
        <v>0</v>
      </c>
      <c r="K11" s="11">
        <v>11</v>
      </c>
    </row>
    <row r="12" spans="1:11" x14ac:dyDescent="0.3">
      <c r="A12" s="5">
        <v>72.7</v>
      </c>
      <c r="B12" s="13">
        <v>23</v>
      </c>
      <c r="C12" s="11">
        <v>1843</v>
      </c>
      <c r="D12" s="10">
        <v>2</v>
      </c>
      <c r="E12" s="10">
        <v>8</v>
      </c>
      <c r="F12" s="9">
        <v>4.2</v>
      </c>
      <c r="G12" s="9" t="s">
        <v>26</v>
      </c>
      <c r="H12" s="13">
        <v>0</v>
      </c>
      <c r="I12" s="8">
        <v>0</v>
      </c>
      <c r="J12" s="8">
        <v>0</v>
      </c>
      <c r="K12" s="11">
        <v>18</v>
      </c>
    </row>
    <row r="13" spans="1:11" x14ac:dyDescent="0.3">
      <c r="A13" s="5">
        <v>79.3</v>
      </c>
      <c r="B13" s="13">
        <v>23.5</v>
      </c>
      <c r="C13" s="11">
        <v>1846</v>
      </c>
      <c r="D13" s="10">
        <v>5</v>
      </c>
      <c r="E13" s="11">
        <v>27</v>
      </c>
      <c r="F13" s="9">
        <v>6.5</v>
      </c>
      <c r="G13" s="9" t="s">
        <v>26</v>
      </c>
      <c r="H13" s="13">
        <v>0</v>
      </c>
      <c r="I13" s="8">
        <v>0</v>
      </c>
      <c r="J13" s="8">
        <v>0</v>
      </c>
      <c r="K13" s="11">
        <v>2</v>
      </c>
    </row>
    <row r="14" spans="1:11" x14ac:dyDescent="0.3">
      <c r="A14" s="5">
        <v>75</v>
      </c>
      <c r="B14" s="13">
        <v>21.4</v>
      </c>
      <c r="C14" s="11">
        <v>1847</v>
      </c>
      <c r="D14" s="10">
        <v>5</v>
      </c>
      <c r="E14" s="11">
        <v>27</v>
      </c>
      <c r="F14" s="9">
        <v>6.5</v>
      </c>
      <c r="G14" s="9" t="s">
        <v>26</v>
      </c>
      <c r="H14" s="13">
        <v>0</v>
      </c>
      <c r="I14" s="8">
        <v>0</v>
      </c>
      <c r="J14" s="8">
        <v>0</v>
      </c>
      <c r="K14" s="11">
        <v>2</v>
      </c>
    </row>
    <row r="15" spans="1:11" x14ac:dyDescent="0.3">
      <c r="A15" s="5">
        <v>72.7</v>
      </c>
      <c r="B15" s="13">
        <v>24.4</v>
      </c>
      <c r="C15" s="11">
        <v>1848</v>
      </c>
      <c r="D15" s="10">
        <v>4</v>
      </c>
      <c r="E15" s="11">
        <v>26</v>
      </c>
      <c r="F15" s="9">
        <v>6</v>
      </c>
      <c r="G15" s="9" t="s">
        <v>26</v>
      </c>
      <c r="H15" s="13">
        <v>0</v>
      </c>
      <c r="I15" s="8">
        <v>0</v>
      </c>
      <c r="J15" s="8">
        <v>0</v>
      </c>
      <c r="K15" s="11">
        <v>2</v>
      </c>
    </row>
    <row r="16" spans="1:11" x14ac:dyDescent="0.3">
      <c r="A16" s="5">
        <v>73.2</v>
      </c>
      <c r="B16" s="13">
        <v>25.2</v>
      </c>
      <c r="C16" s="11">
        <v>1849</v>
      </c>
      <c r="D16" s="10">
        <v>1</v>
      </c>
      <c r="E16" s="10">
        <v>2</v>
      </c>
      <c r="F16" s="9">
        <v>4.0999999999999996</v>
      </c>
      <c r="G16" s="9" t="s">
        <v>26</v>
      </c>
      <c r="H16" s="13">
        <v>0</v>
      </c>
      <c r="I16" s="8">
        <v>0</v>
      </c>
      <c r="J16" s="8">
        <v>0</v>
      </c>
      <c r="K16" s="11">
        <v>18</v>
      </c>
    </row>
    <row r="17" spans="1:11" x14ac:dyDescent="0.3">
      <c r="A17" s="5">
        <v>73.2</v>
      </c>
      <c r="B17" s="13">
        <v>25.2</v>
      </c>
      <c r="C17" s="11">
        <v>1849</v>
      </c>
      <c r="D17" s="10">
        <v>6</v>
      </c>
      <c r="E17" s="10">
        <v>2</v>
      </c>
      <c r="F17" s="9">
        <v>4.7</v>
      </c>
      <c r="G17" s="9" t="s">
        <v>26</v>
      </c>
      <c r="H17" s="13">
        <v>0</v>
      </c>
      <c r="I17" s="8">
        <v>0</v>
      </c>
      <c r="J17" s="8">
        <v>0</v>
      </c>
      <c r="K17" s="11">
        <v>11</v>
      </c>
    </row>
    <row r="18" spans="1:11" x14ac:dyDescent="0.3">
      <c r="A18" s="5">
        <v>75</v>
      </c>
      <c r="B18" s="13">
        <v>22</v>
      </c>
      <c r="C18" s="11">
        <v>1863</v>
      </c>
      <c r="D18" s="11">
        <v>11</v>
      </c>
      <c r="E18" s="11">
        <v>18</v>
      </c>
      <c r="F18" s="9">
        <v>5</v>
      </c>
      <c r="G18" s="9" t="s">
        <v>26</v>
      </c>
      <c r="H18" s="13">
        <v>0</v>
      </c>
      <c r="I18" s="8">
        <v>0</v>
      </c>
      <c r="J18" s="8">
        <v>0</v>
      </c>
      <c r="K18" s="11">
        <v>2</v>
      </c>
    </row>
    <row r="19" spans="1:11" x14ac:dyDescent="0.3">
      <c r="A19" s="5">
        <v>75.3</v>
      </c>
      <c r="B19" s="13">
        <v>21.8</v>
      </c>
      <c r="C19" s="11">
        <v>1863</v>
      </c>
      <c r="D19" s="11">
        <v>11</v>
      </c>
      <c r="E19" s="10">
        <v>8</v>
      </c>
      <c r="F19" s="9">
        <v>5.7</v>
      </c>
      <c r="G19" s="9" t="s">
        <v>26</v>
      </c>
      <c r="H19" s="13">
        <v>0</v>
      </c>
      <c r="I19" s="8">
        <v>0</v>
      </c>
      <c r="J19" s="8">
        <v>0</v>
      </c>
      <c r="K19" s="11">
        <v>11</v>
      </c>
    </row>
    <row r="20" spans="1:11" x14ac:dyDescent="0.3">
      <c r="A20" s="5">
        <v>74.2</v>
      </c>
      <c r="B20" s="13">
        <v>20.2</v>
      </c>
      <c r="C20" s="11">
        <v>1869</v>
      </c>
      <c r="D20" s="10">
        <v>7</v>
      </c>
      <c r="E20" s="10">
        <v>4</v>
      </c>
      <c r="F20" s="9">
        <v>4.3</v>
      </c>
      <c r="G20" s="9" t="s">
        <v>26</v>
      </c>
      <c r="H20" s="13">
        <v>0</v>
      </c>
      <c r="I20" s="8">
        <v>0</v>
      </c>
      <c r="J20" s="8">
        <v>0</v>
      </c>
      <c r="K20" s="11">
        <v>15</v>
      </c>
    </row>
    <row r="21" spans="1:11" x14ac:dyDescent="0.3">
      <c r="A21" s="5">
        <v>74.8</v>
      </c>
      <c r="B21" s="13">
        <v>20.9</v>
      </c>
      <c r="C21" s="11">
        <v>1869</v>
      </c>
      <c r="D21" s="10">
        <v>7</v>
      </c>
      <c r="E21" s="11">
        <v>12</v>
      </c>
      <c r="F21" s="9">
        <v>4.3</v>
      </c>
      <c r="G21" s="9" t="s">
        <v>26</v>
      </c>
      <c r="H21" s="13">
        <v>0</v>
      </c>
      <c r="I21" s="8">
        <v>0</v>
      </c>
      <c r="J21" s="8">
        <v>0</v>
      </c>
      <c r="K21" s="11">
        <v>15</v>
      </c>
    </row>
    <row r="22" spans="1:11" x14ac:dyDescent="0.3">
      <c r="A22" s="5">
        <v>72.2</v>
      </c>
      <c r="B22" s="13">
        <v>24.2</v>
      </c>
      <c r="C22" s="11">
        <v>1871</v>
      </c>
      <c r="D22" s="10">
        <v>1</v>
      </c>
      <c r="E22" s="10">
        <v>1</v>
      </c>
      <c r="F22" s="9">
        <v>4.2</v>
      </c>
      <c r="G22" s="9" t="s">
        <v>26</v>
      </c>
      <c r="H22" s="13">
        <v>0</v>
      </c>
      <c r="I22" s="8">
        <v>0</v>
      </c>
      <c r="J22" s="8">
        <v>0</v>
      </c>
      <c r="K22" s="11">
        <v>15</v>
      </c>
    </row>
    <row r="23" spans="1:11" x14ac:dyDescent="0.3">
      <c r="A23" s="5">
        <v>72.2</v>
      </c>
      <c r="B23" s="13">
        <v>21.7</v>
      </c>
      <c r="C23" s="11">
        <v>1872</v>
      </c>
      <c r="D23" s="10">
        <v>4</v>
      </c>
      <c r="E23" s="11">
        <v>14</v>
      </c>
      <c r="F23" s="9">
        <v>4.7</v>
      </c>
      <c r="G23" s="9" t="s">
        <v>26</v>
      </c>
      <c r="H23" s="13">
        <v>0</v>
      </c>
      <c r="I23" s="8">
        <v>0</v>
      </c>
      <c r="J23" s="8">
        <v>0</v>
      </c>
      <c r="K23" s="11">
        <v>15</v>
      </c>
    </row>
    <row r="24" spans="1:11" x14ac:dyDescent="0.3">
      <c r="A24" s="5">
        <v>80</v>
      </c>
      <c r="B24" s="13">
        <v>18.8</v>
      </c>
      <c r="C24" s="11">
        <v>1872</v>
      </c>
      <c r="D24" s="11">
        <v>11</v>
      </c>
      <c r="E24" s="11">
        <v>22</v>
      </c>
      <c r="F24" s="9">
        <v>4.7</v>
      </c>
      <c r="G24" s="9" t="s">
        <v>26</v>
      </c>
      <c r="H24" s="13">
        <v>0</v>
      </c>
      <c r="I24" s="8">
        <v>0</v>
      </c>
      <c r="J24" s="8">
        <v>0</v>
      </c>
      <c r="K24" s="11">
        <v>11</v>
      </c>
    </row>
    <row r="25" spans="1:11" x14ac:dyDescent="0.3">
      <c r="A25" s="5">
        <v>73</v>
      </c>
      <c r="B25" s="13">
        <v>25</v>
      </c>
      <c r="C25" s="11">
        <v>1906</v>
      </c>
      <c r="D25" s="10">
        <v>8</v>
      </c>
      <c r="E25" s="11">
        <v>15</v>
      </c>
      <c r="F25" s="9">
        <v>5</v>
      </c>
      <c r="G25" s="9" t="s">
        <v>26</v>
      </c>
      <c r="H25" s="13">
        <v>0</v>
      </c>
      <c r="I25" s="8">
        <v>0</v>
      </c>
      <c r="J25" s="8">
        <v>0</v>
      </c>
      <c r="K25" s="11">
        <v>2</v>
      </c>
    </row>
    <row r="26" spans="1:11" x14ac:dyDescent="0.3">
      <c r="A26" s="5">
        <v>77.5</v>
      </c>
      <c r="B26" s="13">
        <v>25</v>
      </c>
      <c r="C26" s="11">
        <v>1926</v>
      </c>
      <c r="D26" s="11">
        <v>12</v>
      </c>
      <c r="E26" s="11">
        <v>31</v>
      </c>
      <c r="F26" s="9">
        <v>5.5</v>
      </c>
      <c r="G26" s="9" t="s">
        <v>26</v>
      </c>
      <c r="H26" s="13">
        <v>0</v>
      </c>
      <c r="I26" s="6">
        <v>16</v>
      </c>
      <c r="J26" s="6">
        <v>53</v>
      </c>
      <c r="K26" s="11">
        <v>2</v>
      </c>
    </row>
    <row r="27" spans="1:11" x14ac:dyDescent="0.3">
      <c r="A27" s="5">
        <v>77.5</v>
      </c>
      <c r="B27" s="13">
        <v>25</v>
      </c>
      <c r="C27" s="11">
        <v>1930</v>
      </c>
      <c r="D27" s="10">
        <v>6</v>
      </c>
      <c r="E27" s="11">
        <v>25</v>
      </c>
      <c r="F27" s="9">
        <v>5.5</v>
      </c>
      <c r="G27" s="9" t="s">
        <v>26</v>
      </c>
      <c r="H27" s="13">
        <v>0</v>
      </c>
      <c r="I27" s="8">
        <v>0</v>
      </c>
      <c r="J27" s="6">
        <v>49</v>
      </c>
      <c r="K27" s="11">
        <v>2</v>
      </c>
    </row>
    <row r="28" spans="1:11" x14ac:dyDescent="0.3">
      <c r="A28" s="5">
        <v>75.75</v>
      </c>
      <c r="B28" s="13">
        <v>21.5</v>
      </c>
      <c r="C28" s="11">
        <v>1938</v>
      </c>
      <c r="D28" s="10">
        <v>3</v>
      </c>
      <c r="E28" s="11">
        <v>14</v>
      </c>
      <c r="F28" s="9">
        <v>6.2</v>
      </c>
      <c r="G28" s="9" t="s">
        <v>26</v>
      </c>
      <c r="H28" s="13">
        <v>50</v>
      </c>
      <c r="I28" s="8">
        <v>0</v>
      </c>
      <c r="J28" s="6">
        <v>48</v>
      </c>
      <c r="K28" s="11">
        <v>1</v>
      </c>
    </row>
    <row r="29" spans="1:11" x14ac:dyDescent="0.3">
      <c r="A29" s="5">
        <v>80</v>
      </c>
      <c r="B29" s="13">
        <v>22</v>
      </c>
      <c r="C29" s="11">
        <v>1957</v>
      </c>
      <c r="D29" s="10">
        <v>8</v>
      </c>
      <c r="E29" s="11">
        <v>25</v>
      </c>
      <c r="F29" s="9">
        <v>5.5</v>
      </c>
      <c r="G29" s="9" t="s">
        <v>26</v>
      </c>
      <c r="H29" s="13">
        <v>0</v>
      </c>
      <c r="I29" s="6">
        <v>21</v>
      </c>
      <c r="J29" s="8">
        <v>4</v>
      </c>
      <c r="K29" s="11">
        <v>1</v>
      </c>
    </row>
    <row r="30" spans="1:11" x14ac:dyDescent="0.3">
      <c r="A30" s="5">
        <v>73</v>
      </c>
      <c r="B30" s="13">
        <v>24.2</v>
      </c>
      <c r="C30" s="11">
        <v>1962</v>
      </c>
      <c r="D30" s="10">
        <v>9</v>
      </c>
      <c r="E30" s="10">
        <v>1</v>
      </c>
      <c r="F30" s="9">
        <v>4.9000000000000004</v>
      </c>
      <c r="G30" s="9" t="s">
        <v>26</v>
      </c>
      <c r="H30" s="13">
        <v>0</v>
      </c>
      <c r="I30" s="6">
        <v>22</v>
      </c>
      <c r="J30" s="6">
        <v>51</v>
      </c>
      <c r="K30" s="11">
        <v>2</v>
      </c>
    </row>
    <row r="31" spans="1:11" x14ac:dyDescent="0.3">
      <c r="A31" s="5">
        <v>72.540000000000006</v>
      </c>
      <c r="B31" s="13">
        <v>24.76</v>
      </c>
      <c r="C31" s="11">
        <v>1969</v>
      </c>
      <c r="D31" s="11">
        <v>10</v>
      </c>
      <c r="E31" s="11">
        <v>24</v>
      </c>
      <c r="F31" s="9">
        <v>4.8</v>
      </c>
      <c r="G31" s="9" t="s">
        <v>26</v>
      </c>
      <c r="H31" s="13">
        <v>31</v>
      </c>
      <c r="I31" s="6">
        <v>11</v>
      </c>
      <c r="J31" s="6">
        <v>45</v>
      </c>
      <c r="K31" s="11">
        <v>2</v>
      </c>
    </row>
    <row r="32" spans="1:11" x14ac:dyDescent="0.3">
      <c r="A32" s="5">
        <v>72.959999999999994</v>
      </c>
      <c r="B32" s="13">
        <v>21.6</v>
      </c>
      <c r="C32" s="11">
        <v>1970</v>
      </c>
      <c r="D32" s="10">
        <v>3</v>
      </c>
      <c r="E32" s="11">
        <v>23</v>
      </c>
      <c r="F32" s="9">
        <v>5.2</v>
      </c>
      <c r="G32" s="9" t="s">
        <v>26</v>
      </c>
      <c r="H32" s="13">
        <v>8</v>
      </c>
      <c r="I32" s="8">
        <v>1</v>
      </c>
      <c r="J32" s="6">
        <v>53</v>
      </c>
      <c r="K32" s="11">
        <v>2</v>
      </c>
    </row>
    <row r="33" spans="1:11" x14ac:dyDescent="0.3">
      <c r="A33" s="5">
        <v>71.8</v>
      </c>
      <c r="B33" s="13">
        <v>26.99</v>
      </c>
      <c r="C33" s="11">
        <v>1974</v>
      </c>
      <c r="D33" s="10">
        <v>5</v>
      </c>
      <c r="E33" s="11">
        <v>18</v>
      </c>
      <c r="F33" s="9">
        <v>4.8</v>
      </c>
      <c r="G33" s="9" t="s">
        <v>26</v>
      </c>
      <c r="H33" s="13">
        <v>0</v>
      </c>
      <c r="I33" s="8">
        <v>2</v>
      </c>
      <c r="J33" s="6">
        <v>34</v>
      </c>
      <c r="K33" s="11">
        <v>2</v>
      </c>
    </row>
    <row r="34" spans="1:11" x14ac:dyDescent="0.3">
      <c r="A34" s="5">
        <v>75.36</v>
      </c>
      <c r="B34" s="13">
        <v>23.56</v>
      </c>
      <c r="C34" s="11">
        <v>1978</v>
      </c>
      <c r="D34" s="10">
        <v>9</v>
      </c>
      <c r="E34" s="11">
        <v>27</v>
      </c>
      <c r="F34" s="9">
        <v>4.9000000000000004</v>
      </c>
      <c r="G34" s="9" t="s">
        <v>26</v>
      </c>
      <c r="H34" s="13">
        <v>0</v>
      </c>
      <c r="I34" s="6">
        <v>22</v>
      </c>
      <c r="J34" s="6">
        <v>54</v>
      </c>
      <c r="K34" s="11">
        <v>1</v>
      </c>
    </row>
    <row r="35" spans="1:11" x14ac:dyDescent="0.3">
      <c r="A35" s="5">
        <v>73.540000000000006</v>
      </c>
      <c r="B35" s="13">
        <v>19.64</v>
      </c>
      <c r="C35" s="11">
        <v>1983</v>
      </c>
      <c r="D35" s="10">
        <v>9</v>
      </c>
      <c r="E35" s="11">
        <v>14</v>
      </c>
      <c r="F35" s="9">
        <v>4.2</v>
      </c>
      <c r="G35" s="9" t="s">
        <v>26</v>
      </c>
      <c r="H35" s="13">
        <v>33</v>
      </c>
      <c r="I35" s="6">
        <v>21</v>
      </c>
      <c r="J35" s="6">
        <v>53</v>
      </c>
      <c r="K35" s="11">
        <v>2</v>
      </c>
    </row>
    <row r="36" spans="1:11" x14ac:dyDescent="0.3">
      <c r="A36" s="5">
        <v>74.84</v>
      </c>
      <c r="B36" s="13">
        <v>24.33</v>
      </c>
      <c r="C36" s="11">
        <v>1984</v>
      </c>
      <c r="D36" s="11">
        <v>12</v>
      </c>
      <c r="E36" s="10">
        <v>8</v>
      </c>
      <c r="F36" s="9">
        <v>4.2</v>
      </c>
      <c r="G36" s="9" t="s">
        <v>26</v>
      </c>
      <c r="H36" s="6">
        <v>107</v>
      </c>
      <c r="I36" s="6">
        <v>23</v>
      </c>
      <c r="J36" s="6">
        <v>47</v>
      </c>
      <c r="K36" s="11">
        <v>2</v>
      </c>
    </row>
    <row r="37" spans="1:11" x14ac:dyDescent="0.3">
      <c r="A37" s="5">
        <v>79.239999999999995</v>
      </c>
      <c r="B37" s="13">
        <v>22.53</v>
      </c>
      <c r="C37" s="11">
        <v>1987</v>
      </c>
      <c r="D37" s="10">
        <v>4</v>
      </c>
      <c r="E37" s="11">
        <v>18</v>
      </c>
      <c r="F37" s="9">
        <v>4.7</v>
      </c>
      <c r="G37" s="9" t="s">
        <v>26</v>
      </c>
      <c r="H37" s="13">
        <v>20</v>
      </c>
      <c r="I37" s="6">
        <v>16</v>
      </c>
      <c r="J37" s="6">
        <v>59</v>
      </c>
      <c r="K37" s="11">
        <v>2</v>
      </c>
    </row>
    <row r="38" spans="1:11" x14ac:dyDescent="0.3">
      <c r="A38" s="5">
        <v>71.599999999999994</v>
      </c>
      <c r="B38" s="13">
        <v>18.350000000000001</v>
      </c>
      <c r="C38" s="11">
        <v>1991</v>
      </c>
      <c r="D38" s="10">
        <v>8</v>
      </c>
      <c r="E38" s="11">
        <v>12</v>
      </c>
      <c r="F38" s="9">
        <v>3.9</v>
      </c>
      <c r="G38" s="9" t="s">
        <v>26</v>
      </c>
      <c r="H38" s="13">
        <v>33</v>
      </c>
      <c r="I38" s="6">
        <v>16</v>
      </c>
      <c r="J38" s="6">
        <v>41</v>
      </c>
      <c r="K38" s="11">
        <v>2</v>
      </c>
    </row>
    <row r="39" spans="1:11" x14ac:dyDescent="0.3">
      <c r="A39" s="5">
        <v>74.099999999999994</v>
      </c>
      <c r="B39" s="13">
        <v>24.1</v>
      </c>
      <c r="C39" s="11">
        <v>1992</v>
      </c>
      <c r="D39" s="10">
        <v>5</v>
      </c>
      <c r="E39" s="11">
        <v>30</v>
      </c>
      <c r="F39" s="9">
        <v>4.4000000000000004</v>
      </c>
      <c r="G39" s="9" t="s">
        <v>26</v>
      </c>
      <c r="H39" s="13">
        <v>33</v>
      </c>
      <c r="I39" s="6">
        <v>20</v>
      </c>
      <c r="J39" s="6">
        <v>17</v>
      </c>
      <c r="K39" s="11">
        <v>2</v>
      </c>
    </row>
    <row r="40" spans="1:11" x14ac:dyDescent="0.3">
      <c r="A40" s="5">
        <v>72.72</v>
      </c>
      <c r="B40" s="13">
        <v>21.12</v>
      </c>
      <c r="C40" s="11">
        <v>1993</v>
      </c>
      <c r="D40" s="11">
        <v>12</v>
      </c>
      <c r="E40" s="11">
        <v>31</v>
      </c>
      <c r="F40" s="9">
        <v>4.2</v>
      </c>
      <c r="G40" s="9" t="s">
        <v>26</v>
      </c>
      <c r="H40" s="13">
        <v>35.200000000000003</v>
      </c>
      <c r="I40" s="6">
        <v>13</v>
      </c>
      <c r="J40" s="6">
        <v>32</v>
      </c>
      <c r="K40" s="11">
        <v>1</v>
      </c>
    </row>
    <row r="41" spans="1:11" x14ac:dyDescent="0.3">
      <c r="A41" s="5">
        <v>80</v>
      </c>
      <c r="B41" s="13">
        <v>23</v>
      </c>
      <c r="C41" s="11">
        <v>1993</v>
      </c>
      <c r="D41" s="11">
        <v>10</v>
      </c>
      <c r="E41" s="11">
        <v>31</v>
      </c>
      <c r="F41" s="9">
        <v>4.5999999999999996</v>
      </c>
      <c r="G41" s="9" t="s">
        <v>26</v>
      </c>
      <c r="H41" s="13">
        <v>0</v>
      </c>
      <c r="I41" s="8">
        <v>3</v>
      </c>
      <c r="J41" s="6">
        <v>47</v>
      </c>
      <c r="K41" s="11">
        <v>2</v>
      </c>
    </row>
    <row r="42" spans="1:11" x14ac:dyDescent="0.3">
      <c r="A42" s="5">
        <v>78.599999999999994</v>
      </c>
      <c r="B42" s="13">
        <v>25.9</v>
      </c>
      <c r="C42" s="11">
        <v>1994</v>
      </c>
      <c r="D42" s="10">
        <v>8</v>
      </c>
      <c r="E42" s="11">
        <v>31</v>
      </c>
      <c r="F42" s="9">
        <v>4.5999999999999996</v>
      </c>
      <c r="G42" s="9" t="s">
        <v>26</v>
      </c>
      <c r="H42" s="13">
        <v>33</v>
      </c>
      <c r="I42" s="6">
        <v>23</v>
      </c>
      <c r="J42" s="6">
        <v>29</v>
      </c>
      <c r="K42" s="11">
        <v>2</v>
      </c>
    </row>
    <row r="43" spans="1:11" x14ac:dyDescent="0.3">
      <c r="A43" s="5">
        <v>78.3</v>
      </c>
      <c r="B43" s="13">
        <v>22.7</v>
      </c>
      <c r="C43" s="11">
        <v>1995</v>
      </c>
      <c r="D43" s="10">
        <v>5</v>
      </c>
      <c r="E43" s="10">
        <v>2</v>
      </c>
      <c r="F43" s="9">
        <v>4.3</v>
      </c>
      <c r="G43" s="9" t="s">
        <v>26</v>
      </c>
      <c r="H43" s="13">
        <v>33</v>
      </c>
      <c r="I43" s="8">
        <v>0</v>
      </c>
      <c r="J43" s="6">
        <v>46</v>
      </c>
      <c r="K43" s="11">
        <v>2</v>
      </c>
    </row>
    <row r="44" spans="1:11" x14ac:dyDescent="0.3">
      <c r="A44" s="5">
        <v>77.599999999999994</v>
      </c>
      <c r="B44" s="13">
        <v>22.2</v>
      </c>
      <c r="C44" s="11">
        <v>1996</v>
      </c>
      <c r="D44" s="10">
        <v>1</v>
      </c>
      <c r="E44" s="11">
        <v>10</v>
      </c>
      <c r="F44" s="9">
        <v>3.9</v>
      </c>
      <c r="G44" s="9" t="s">
        <v>26</v>
      </c>
      <c r="H44" s="13">
        <v>33</v>
      </c>
      <c r="I44" s="6">
        <v>10</v>
      </c>
      <c r="J44" s="6">
        <v>37</v>
      </c>
      <c r="K44" s="11">
        <v>2</v>
      </c>
    </row>
    <row r="45" spans="1:11" x14ac:dyDescent="0.3">
      <c r="A45" s="5">
        <v>72.62</v>
      </c>
      <c r="B45" s="13">
        <v>26.82</v>
      </c>
      <c r="C45" s="11">
        <v>1996</v>
      </c>
      <c r="D45" s="10">
        <v>2</v>
      </c>
      <c r="E45" s="11">
        <v>27</v>
      </c>
      <c r="F45" s="9">
        <v>4.3</v>
      </c>
      <c r="G45" s="9" t="s">
        <v>26</v>
      </c>
      <c r="H45" s="13">
        <v>0</v>
      </c>
      <c r="I45" s="8">
        <v>9</v>
      </c>
      <c r="J45" s="8">
        <v>4</v>
      </c>
      <c r="K45" s="11">
        <v>1</v>
      </c>
    </row>
    <row r="46" spans="1:11" x14ac:dyDescent="0.3">
      <c r="A46" s="5">
        <v>76.69</v>
      </c>
      <c r="B46" s="13">
        <v>18.3</v>
      </c>
      <c r="C46" s="11">
        <v>1996</v>
      </c>
      <c r="D46" s="11">
        <v>11</v>
      </c>
      <c r="E46" s="11">
        <v>10</v>
      </c>
      <c r="F46" s="9">
        <v>4</v>
      </c>
      <c r="G46" s="9" t="s">
        <v>26</v>
      </c>
      <c r="H46" s="13">
        <v>33</v>
      </c>
      <c r="I46" s="8">
        <v>9</v>
      </c>
      <c r="J46" s="8">
        <v>0</v>
      </c>
      <c r="K46" s="11">
        <v>2</v>
      </c>
    </row>
    <row r="47" spans="1:11" x14ac:dyDescent="0.3">
      <c r="A47" s="5">
        <v>73.3</v>
      </c>
      <c r="B47" s="13">
        <v>24.7</v>
      </c>
      <c r="C47" s="11">
        <v>1996</v>
      </c>
      <c r="D47" s="10">
        <v>1</v>
      </c>
      <c r="E47" s="10">
        <v>4</v>
      </c>
      <c r="F47" s="9">
        <v>4.2</v>
      </c>
      <c r="G47" s="9" t="s">
        <v>26</v>
      </c>
      <c r="H47" s="13">
        <v>33</v>
      </c>
      <c r="I47" s="8">
        <v>7</v>
      </c>
      <c r="J47" s="6">
        <v>30</v>
      </c>
      <c r="K47" s="11">
        <v>2</v>
      </c>
    </row>
    <row r="48" spans="1:11" x14ac:dyDescent="0.3">
      <c r="A48" s="5">
        <v>80.040000000000006</v>
      </c>
      <c r="B48" s="13">
        <v>23.08</v>
      </c>
      <c r="C48" s="11">
        <v>1997</v>
      </c>
      <c r="D48" s="10">
        <v>6</v>
      </c>
      <c r="E48" s="10">
        <v>4</v>
      </c>
      <c r="F48" s="9">
        <v>4.3</v>
      </c>
      <c r="G48" s="9" t="s">
        <v>26</v>
      </c>
      <c r="H48" s="13">
        <v>31.4</v>
      </c>
      <c r="I48" s="6">
        <v>19</v>
      </c>
      <c r="J48" s="6">
        <v>29</v>
      </c>
      <c r="K48" s="11">
        <v>1</v>
      </c>
    </row>
    <row r="49" spans="1:11" x14ac:dyDescent="0.3">
      <c r="A49" s="5">
        <v>73.599999999999994</v>
      </c>
      <c r="B49" s="13">
        <v>25</v>
      </c>
      <c r="C49" s="11">
        <v>1997</v>
      </c>
      <c r="D49" s="10">
        <v>7</v>
      </c>
      <c r="E49" s="11">
        <v>29</v>
      </c>
      <c r="F49" s="9">
        <v>4.5</v>
      </c>
      <c r="G49" s="9" t="s">
        <v>26</v>
      </c>
      <c r="H49" s="13">
        <v>33</v>
      </c>
      <c r="I49" s="8">
        <v>9</v>
      </c>
      <c r="J49" s="6">
        <v>43</v>
      </c>
      <c r="K49" s="11">
        <v>2</v>
      </c>
    </row>
    <row r="50" spans="1:11" x14ac:dyDescent="0.3">
      <c r="A50" s="5">
        <v>75.25</v>
      </c>
      <c r="B50" s="13">
        <v>21.55</v>
      </c>
      <c r="C50" s="11">
        <v>1997</v>
      </c>
      <c r="D50" s="11">
        <v>11</v>
      </c>
      <c r="E50" s="11">
        <v>13</v>
      </c>
      <c r="F50" s="9">
        <v>4.7</v>
      </c>
      <c r="G50" s="9" t="s">
        <v>26</v>
      </c>
      <c r="H50" s="13">
        <v>8</v>
      </c>
      <c r="I50" s="6">
        <v>20</v>
      </c>
      <c r="J50" s="6">
        <v>17</v>
      </c>
      <c r="K50" s="11">
        <v>1</v>
      </c>
    </row>
    <row r="51" spans="1:11" x14ac:dyDescent="0.3">
      <c r="A51" s="5">
        <v>80.14</v>
      </c>
      <c r="B51" s="13">
        <v>23.08</v>
      </c>
      <c r="C51" s="11">
        <v>1997</v>
      </c>
      <c r="D51" s="10">
        <v>5</v>
      </c>
      <c r="E51" s="11">
        <v>21</v>
      </c>
      <c r="F51" s="9">
        <v>6.1</v>
      </c>
      <c r="G51" s="9" t="s">
        <v>26</v>
      </c>
      <c r="H51" s="13">
        <v>36</v>
      </c>
      <c r="I51" s="6">
        <v>22</v>
      </c>
      <c r="J51" s="6">
        <v>51</v>
      </c>
      <c r="K51" s="11">
        <v>2</v>
      </c>
    </row>
    <row r="52" spans="1:11" x14ac:dyDescent="0.3">
      <c r="A52" s="5">
        <v>78</v>
      </c>
      <c r="B52" s="13">
        <v>22.4</v>
      </c>
      <c r="C52" s="11">
        <v>1998</v>
      </c>
      <c r="D52" s="10">
        <v>3</v>
      </c>
      <c r="E52" s="10">
        <v>9</v>
      </c>
      <c r="F52" s="9">
        <v>4.2</v>
      </c>
      <c r="G52" s="9" t="s">
        <v>26</v>
      </c>
      <c r="H52" s="13">
        <v>10</v>
      </c>
      <c r="I52" s="8">
        <v>7</v>
      </c>
      <c r="J52" s="6">
        <v>41</v>
      </c>
      <c r="K52" s="11">
        <v>2</v>
      </c>
    </row>
    <row r="53" spans="1:11" x14ac:dyDescent="0.3">
      <c r="A53" s="5">
        <v>79.260000000000005</v>
      </c>
      <c r="B53" s="13">
        <v>22.51</v>
      </c>
      <c r="C53" s="11">
        <v>1998</v>
      </c>
      <c r="D53" s="10">
        <v>3</v>
      </c>
      <c r="E53" s="11">
        <v>29</v>
      </c>
      <c r="F53" s="9">
        <v>4.3</v>
      </c>
      <c r="G53" s="9" t="s">
        <v>26</v>
      </c>
      <c r="H53" s="13">
        <v>0</v>
      </c>
      <c r="I53" s="6">
        <v>18</v>
      </c>
      <c r="J53" s="6">
        <v>54</v>
      </c>
      <c r="K53" s="11">
        <v>1</v>
      </c>
    </row>
    <row r="54" spans="1:11" x14ac:dyDescent="0.3">
      <c r="A54" s="5">
        <v>71.8</v>
      </c>
      <c r="B54" s="13">
        <v>27.1</v>
      </c>
      <c r="C54" s="11">
        <v>1998</v>
      </c>
      <c r="D54" s="10">
        <v>5</v>
      </c>
      <c r="E54" s="11">
        <v>11</v>
      </c>
      <c r="F54" s="9">
        <v>5.2</v>
      </c>
      <c r="G54" s="9" t="s">
        <v>26</v>
      </c>
      <c r="H54" s="13">
        <v>0</v>
      </c>
      <c r="I54" s="6">
        <v>10</v>
      </c>
      <c r="J54" s="6">
        <v>13</v>
      </c>
      <c r="K54" s="11">
        <v>2</v>
      </c>
    </row>
    <row r="55" spans="1:11" x14ac:dyDescent="0.3">
      <c r="A55" s="5">
        <v>78.010000000000005</v>
      </c>
      <c r="B55" s="13">
        <v>23.54</v>
      </c>
      <c r="C55" s="11">
        <v>1999</v>
      </c>
      <c r="D55" s="10">
        <v>4</v>
      </c>
      <c r="E55" s="10">
        <v>3</v>
      </c>
      <c r="F55" s="9">
        <v>4.0999999999999996</v>
      </c>
      <c r="G55" s="9" t="s">
        <v>26</v>
      </c>
      <c r="H55" s="13">
        <v>30</v>
      </c>
      <c r="I55" s="8">
        <v>9</v>
      </c>
      <c r="J55" s="6">
        <v>38</v>
      </c>
      <c r="K55" s="11">
        <v>2</v>
      </c>
    </row>
    <row r="56" spans="1:11" x14ac:dyDescent="0.3">
      <c r="A56" s="5">
        <v>78.81</v>
      </c>
      <c r="B56" s="13">
        <v>19.84</v>
      </c>
      <c r="C56" s="11">
        <v>2000</v>
      </c>
      <c r="D56" s="10">
        <v>6</v>
      </c>
      <c r="E56" s="11">
        <v>22</v>
      </c>
      <c r="F56" s="9">
        <v>4.0999999999999996</v>
      </c>
      <c r="G56" s="9" t="s">
        <v>26</v>
      </c>
      <c r="H56" s="13">
        <v>5</v>
      </c>
      <c r="I56" s="6">
        <v>10</v>
      </c>
      <c r="J56" s="6">
        <v>10</v>
      </c>
      <c r="K56" s="11">
        <v>2</v>
      </c>
    </row>
    <row r="57" spans="1:11" x14ac:dyDescent="0.3">
      <c r="A57" s="5">
        <v>72.42</v>
      </c>
      <c r="B57" s="13">
        <v>21.81</v>
      </c>
      <c r="C57" s="11">
        <v>2000</v>
      </c>
      <c r="D57" s="10">
        <v>9</v>
      </c>
      <c r="E57" s="11">
        <v>12</v>
      </c>
      <c r="F57" s="9">
        <v>4.3</v>
      </c>
      <c r="G57" s="9" t="s">
        <v>26</v>
      </c>
      <c r="H57" s="13">
        <v>0</v>
      </c>
      <c r="I57" s="8">
        <v>0</v>
      </c>
      <c r="J57" s="6">
        <v>53</v>
      </c>
      <c r="K57" s="11">
        <v>1</v>
      </c>
    </row>
    <row r="58" spans="1:11" x14ac:dyDescent="0.3">
      <c r="A58" s="5">
        <v>76.62</v>
      </c>
      <c r="B58" s="13">
        <v>18.170000000000002</v>
      </c>
      <c r="C58" s="11">
        <v>2000</v>
      </c>
      <c r="D58" s="10">
        <v>6</v>
      </c>
      <c r="E58" s="11">
        <v>19</v>
      </c>
      <c r="F58" s="9">
        <v>4.7</v>
      </c>
      <c r="G58" s="9" t="s">
        <v>26</v>
      </c>
      <c r="H58" s="13">
        <v>0</v>
      </c>
      <c r="I58" s="8">
        <v>8</v>
      </c>
      <c r="J58" s="6">
        <v>22</v>
      </c>
      <c r="K58" s="11">
        <v>1</v>
      </c>
    </row>
    <row r="59" spans="1:11" x14ac:dyDescent="0.3">
      <c r="A59" s="5">
        <v>80.22</v>
      </c>
      <c r="B59" s="13">
        <v>26.71</v>
      </c>
      <c r="C59" s="11">
        <v>2001</v>
      </c>
      <c r="D59" s="10">
        <v>1</v>
      </c>
      <c r="E59" s="10">
        <v>8</v>
      </c>
      <c r="F59" s="9">
        <v>3.9</v>
      </c>
      <c r="G59" s="9" t="s">
        <v>26</v>
      </c>
      <c r="H59" s="13">
        <v>33</v>
      </c>
      <c r="I59" s="6">
        <v>15</v>
      </c>
      <c r="J59" s="6">
        <v>44</v>
      </c>
      <c r="K59" s="11">
        <v>2</v>
      </c>
    </row>
    <row r="60" spans="1:11" x14ac:dyDescent="0.3">
      <c r="A60" s="5">
        <v>71.38</v>
      </c>
      <c r="B60" s="13">
        <v>23.66</v>
      </c>
      <c r="C60" s="11">
        <v>2001</v>
      </c>
      <c r="D60" s="10">
        <v>1</v>
      </c>
      <c r="E60" s="11">
        <v>28</v>
      </c>
      <c r="F60" s="9">
        <v>4.2</v>
      </c>
      <c r="G60" s="9" t="s">
        <v>26</v>
      </c>
      <c r="H60" s="13">
        <v>0</v>
      </c>
      <c r="I60" s="6">
        <v>19</v>
      </c>
      <c r="J60" s="6">
        <v>43</v>
      </c>
      <c r="K60" s="11">
        <v>1</v>
      </c>
    </row>
    <row r="61" spans="1:11" x14ac:dyDescent="0.3">
      <c r="A61" s="5">
        <v>75.97</v>
      </c>
      <c r="B61" s="13">
        <v>21.55</v>
      </c>
      <c r="C61" s="11">
        <v>2003</v>
      </c>
      <c r="D61" s="11">
        <v>11</v>
      </c>
      <c r="E61" s="11">
        <v>22</v>
      </c>
      <c r="F61" s="9">
        <v>4</v>
      </c>
      <c r="G61" s="9" t="s">
        <v>26</v>
      </c>
      <c r="H61" s="13">
        <v>10.5</v>
      </c>
      <c r="I61" s="8">
        <v>0</v>
      </c>
      <c r="J61" s="6">
        <v>18</v>
      </c>
      <c r="K61" s="11">
        <v>1</v>
      </c>
    </row>
    <row r="62" spans="1:11" x14ac:dyDescent="0.3">
      <c r="A62" s="5">
        <v>74.34</v>
      </c>
      <c r="B62" s="13">
        <v>21.88</v>
      </c>
      <c r="C62" s="11">
        <v>2003</v>
      </c>
      <c r="D62" s="10">
        <v>7</v>
      </c>
      <c r="E62" s="11">
        <v>27</v>
      </c>
      <c r="F62" s="9">
        <v>4.2</v>
      </c>
      <c r="G62" s="9" t="s">
        <v>26</v>
      </c>
      <c r="H62" s="13">
        <v>0</v>
      </c>
      <c r="I62" s="8">
        <v>4</v>
      </c>
      <c r="J62" s="6">
        <v>35</v>
      </c>
      <c r="K62" s="11">
        <v>1</v>
      </c>
    </row>
    <row r="63" spans="1:11" x14ac:dyDescent="0.3">
      <c r="A63" s="5">
        <v>77.209999999999994</v>
      </c>
      <c r="B63" s="13">
        <v>21.4</v>
      </c>
      <c r="C63" s="11">
        <v>2003</v>
      </c>
      <c r="D63" s="10">
        <v>3</v>
      </c>
      <c r="E63" s="11">
        <v>10</v>
      </c>
      <c r="F63" s="9">
        <v>4.3</v>
      </c>
      <c r="G63" s="9" t="s">
        <v>26</v>
      </c>
      <c r="H63" s="13">
        <v>22.7</v>
      </c>
      <c r="I63" s="6">
        <v>22</v>
      </c>
      <c r="J63" s="6">
        <v>45</v>
      </c>
      <c r="K63" s="11">
        <v>1</v>
      </c>
    </row>
    <row r="64" spans="1:11" x14ac:dyDescent="0.3">
      <c r="A64" s="5">
        <v>72.66</v>
      </c>
      <c r="B64" s="13">
        <v>25.3</v>
      </c>
      <c r="C64" s="11">
        <v>2004</v>
      </c>
      <c r="D64" s="10">
        <v>2</v>
      </c>
      <c r="E64" s="11">
        <v>19</v>
      </c>
      <c r="F64" s="9">
        <v>4</v>
      </c>
      <c r="G64" s="9" t="s">
        <v>26</v>
      </c>
      <c r="H64" s="13">
        <v>7</v>
      </c>
      <c r="I64" s="8">
        <v>2</v>
      </c>
      <c r="J64" s="6">
        <v>40</v>
      </c>
      <c r="K64" s="11">
        <v>2</v>
      </c>
    </row>
    <row r="65" spans="1:11" x14ac:dyDescent="0.3">
      <c r="A65" s="5">
        <v>73.53</v>
      </c>
      <c r="B65" s="13">
        <v>24.75</v>
      </c>
      <c r="C65" s="11">
        <v>2004</v>
      </c>
      <c r="D65" s="10">
        <v>6</v>
      </c>
      <c r="E65" s="11">
        <v>17</v>
      </c>
      <c r="F65" s="9">
        <v>4.0999999999999996</v>
      </c>
      <c r="G65" s="9" t="s">
        <v>26</v>
      </c>
      <c r="H65" s="13">
        <v>0</v>
      </c>
      <c r="I65" s="8">
        <v>8</v>
      </c>
      <c r="J65" s="6">
        <v>41</v>
      </c>
      <c r="K65" s="11">
        <v>1</v>
      </c>
    </row>
    <row r="66" spans="1:11" x14ac:dyDescent="0.3">
      <c r="A66" s="5">
        <v>79.38</v>
      </c>
      <c r="B66" s="13">
        <v>26.36</v>
      </c>
      <c r="C66" s="11">
        <v>2005</v>
      </c>
      <c r="D66" s="10">
        <v>1</v>
      </c>
      <c r="E66" s="11">
        <v>14</v>
      </c>
      <c r="F66" s="9">
        <v>4.2</v>
      </c>
      <c r="G66" s="9" t="s">
        <v>26</v>
      </c>
      <c r="H66" s="13">
        <v>33</v>
      </c>
      <c r="I66" s="8">
        <v>5</v>
      </c>
      <c r="J66" s="6">
        <v>16</v>
      </c>
      <c r="K66" s="11">
        <v>2</v>
      </c>
    </row>
    <row r="67" spans="1:11" x14ac:dyDescent="0.3">
      <c r="A67" s="5">
        <v>75.930000000000007</v>
      </c>
      <c r="B67" s="13">
        <v>26.63</v>
      </c>
      <c r="C67" s="11">
        <v>2006</v>
      </c>
      <c r="D67" s="11">
        <v>12</v>
      </c>
      <c r="E67" s="11">
        <v>23</v>
      </c>
      <c r="F67" s="9">
        <v>4.3</v>
      </c>
      <c r="G67" s="9" t="s">
        <v>26</v>
      </c>
      <c r="H67" s="13">
        <v>1.2</v>
      </c>
      <c r="I67" s="6">
        <v>22</v>
      </c>
      <c r="J67" s="6">
        <v>43</v>
      </c>
      <c r="K67" s="11">
        <v>1</v>
      </c>
    </row>
    <row r="68" spans="1:11" x14ac:dyDescent="0.3">
      <c r="A68" s="5">
        <v>76.150000000000006</v>
      </c>
      <c r="B68" s="13">
        <v>26.88</v>
      </c>
      <c r="C68" s="11">
        <v>2006</v>
      </c>
      <c r="D68" s="11">
        <v>12</v>
      </c>
      <c r="E68" s="11">
        <v>24</v>
      </c>
      <c r="F68" s="9">
        <v>4.5999999999999996</v>
      </c>
      <c r="G68" s="9" t="s">
        <v>26</v>
      </c>
      <c r="H68" s="13">
        <v>10</v>
      </c>
      <c r="I68" s="6">
        <v>22</v>
      </c>
      <c r="J68" s="6">
        <v>43</v>
      </c>
      <c r="K68" s="11">
        <v>3</v>
      </c>
    </row>
    <row r="69" spans="1:11" x14ac:dyDescent="0.3">
      <c r="A69" s="5">
        <v>71.73</v>
      </c>
      <c r="B69" s="13">
        <v>26.43</v>
      </c>
      <c r="C69" s="11">
        <v>2008</v>
      </c>
      <c r="D69" s="11">
        <v>10</v>
      </c>
      <c r="E69" s="11">
        <v>29</v>
      </c>
      <c r="F69" s="9">
        <v>6.8</v>
      </c>
      <c r="G69" s="9" t="s">
        <v>26</v>
      </c>
      <c r="H69" s="13">
        <v>0</v>
      </c>
      <c r="I69" s="6">
        <v>11</v>
      </c>
      <c r="J69" s="6">
        <v>32</v>
      </c>
      <c r="K69" s="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56"/>
  <sheetViews>
    <sheetView workbookViewId="0">
      <selection activeCell="H46" sqref="H46"/>
    </sheetView>
  </sheetViews>
  <sheetFormatPr defaultRowHeight="14.4" x14ac:dyDescent="0.3"/>
  <cols>
    <col min="1" max="1" width="6.33203125" customWidth="1"/>
    <col min="2" max="3" width="10.33203125" customWidth="1"/>
    <col min="4" max="4" width="7.33203125" customWidth="1"/>
    <col min="5" max="6" width="6.88671875" customWidth="1"/>
    <col min="7" max="7" width="10.6640625" customWidth="1"/>
    <col min="8" max="8" width="9.5546875" bestFit="1" customWidth="1"/>
    <col min="9" max="9" width="6.44140625" bestFit="1" customWidth="1"/>
    <col min="10" max="10" width="6.109375" bestFit="1" customWidth="1"/>
    <col min="11" max="11" width="8.44140625" bestFit="1" customWidth="1"/>
    <col min="12" max="12" width="10.109375" bestFit="1" customWidth="1"/>
  </cols>
  <sheetData>
    <row r="1" spans="1:12" s="81" customFormat="1" ht="28.8" x14ac:dyDescent="0.3">
      <c r="A1" s="82" t="s">
        <v>30</v>
      </c>
      <c r="B1" s="82" t="s">
        <v>61</v>
      </c>
      <c r="C1" s="82" t="s">
        <v>62</v>
      </c>
      <c r="D1" s="82" t="s">
        <v>31</v>
      </c>
      <c r="E1" s="82" t="s">
        <v>63</v>
      </c>
      <c r="F1" s="82" t="s">
        <v>64</v>
      </c>
      <c r="G1" s="82" t="s">
        <v>1</v>
      </c>
      <c r="H1" s="82" t="s">
        <v>5</v>
      </c>
      <c r="I1" s="82" t="s">
        <v>0</v>
      </c>
      <c r="J1" s="82" t="s">
        <v>65</v>
      </c>
      <c r="K1" s="82" t="s">
        <v>66</v>
      </c>
      <c r="L1" s="82" t="s">
        <v>67</v>
      </c>
    </row>
    <row r="2" spans="1:12" x14ac:dyDescent="0.3">
      <c r="A2" s="83">
        <v>1</v>
      </c>
      <c r="B2" s="84">
        <v>73.2</v>
      </c>
      <c r="C2" s="84">
        <v>19.100000000000001</v>
      </c>
      <c r="D2" s="85">
        <v>1678</v>
      </c>
      <c r="E2" s="86">
        <v>0</v>
      </c>
      <c r="F2" s="86">
        <v>0</v>
      </c>
      <c r="G2" s="84">
        <v>5</v>
      </c>
      <c r="H2" s="87" t="s">
        <v>26</v>
      </c>
      <c r="I2" s="88">
        <v>0</v>
      </c>
      <c r="J2" s="86">
        <v>0</v>
      </c>
      <c r="K2" s="86">
        <v>0</v>
      </c>
      <c r="L2" s="85">
        <v>11</v>
      </c>
    </row>
    <row r="3" spans="1:12" x14ac:dyDescent="0.3">
      <c r="A3" s="83">
        <v>2</v>
      </c>
      <c r="B3" s="84">
        <v>72.150000000000006</v>
      </c>
      <c r="C3" s="84">
        <v>21.75</v>
      </c>
      <c r="D3" s="85">
        <v>1705</v>
      </c>
      <c r="E3" s="86">
        <v>2</v>
      </c>
      <c r="F3" s="86">
        <v>4</v>
      </c>
      <c r="G3" s="84">
        <v>7</v>
      </c>
      <c r="H3" s="87" t="s">
        <v>26</v>
      </c>
      <c r="I3" s="88">
        <v>0</v>
      </c>
      <c r="J3" s="86">
        <v>0</v>
      </c>
      <c r="K3" s="86">
        <v>0</v>
      </c>
      <c r="L3" s="85">
        <v>5</v>
      </c>
    </row>
    <row r="4" spans="1:12" x14ac:dyDescent="0.3">
      <c r="A4" s="83">
        <v>3</v>
      </c>
      <c r="B4" s="84">
        <v>73.2</v>
      </c>
      <c r="C4" s="84">
        <v>19.100000000000001</v>
      </c>
      <c r="D4" s="85">
        <v>1751</v>
      </c>
      <c r="E4" s="86">
        <v>12</v>
      </c>
      <c r="F4" s="86">
        <v>9</v>
      </c>
      <c r="G4" s="84">
        <v>4.3</v>
      </c>
      <c r="H4" s="87" t="s">
        <v>26</v>
      </c>
      <c r="I4" s="88">
        <v>0</v>
      </c>
      <c r="J4" s="86">
        <v>0</v>
      </c>
      <c r="K4" s="86">
        <v>0</v>
      </c>
      <c r="L4" s="85">
        <v>11</v>
      </c>
    </row>
    <row r="5" spans="1:12" x14ac:dyDescent="0.3">
      <c r="A5" s="83">
        <v>4</v>
      </c>
      <c r="B5" s="84">
        <v>73.3</v>
      </c>
      <c r="C5" s="84">
        <v>19.100000000000001</v>
      </c>
      <c r="D5" s="85">
        <v>1752</v>
      </c>
      <c r="E5" s="86">
        <v>1</v>
      </c>
      <c r="F5" s="86">
        <v>5</v>
      </c>
      <c r="G5" s="84">
        <v>4.3</v>
      </c>
      <c r="H5" s="87" t="s">
        <v>26</v>
      </c>
      <c r="I5" s="88">
        <v>0</v>
      </c>
      <c r="J5" s="86">
        <v>0</v>
      </c>
      <c r="K5" s="86">
        <v>0</v>
      </c>
      <c r="L5" s="85">
        <v>11</v>
      </c>
    </row>
    <row r="6" spans="1:12" x14ac:dyDescent="0.3">
      <c r="A6" s="83">
        <v>5</v>
      </c>
      <c r="B6" s="84">
        <v>73.400000000000006</v>
      </c>
      <c r="C6" s="84">
        <v>18.7</v>
      </c>
      <c r="D6" s="85">
        <v>1752</v>
      </c>
      <c r="E6" s="86">
        <v>2</v>
      </c>
      <c r="F6" s="86">
        <v>5</v>
      </c>
      <c r="G6" s="84">
        <v>4.3</v>
      </c>
      <c r="H6" s="87" t="s">
        <v>26</v>
      </c>
      <c r="I6" s="88">
        <v>0</v>
      </c>
      <c r="J6" s="86">
        <v>0</v>
      </c>
      <c r="K6" s="86">
        <v>0</v>
      </c>
      <c r="L6" s="85">
        <v>11</v>
      </c>
    </row>
    <row r="7" spans="1:12" x14ac:dyDescent="0.3">
      <c r="A7" s="83">
        <v>6</v>
      </c>
      <c r="B7" s="84">
        <v>73</v>
      </c>
      <c r="C7" s="84">
        <v>18.5</v>
      </c>
      <c r="D7" s="85">
        <v>1792</v>
      </c>
      <c r="E7" s="86">
        <v>5</v>
      </c>
      <c r="F7" s="85">
        <v>29</v>
      </c>
      <c r="G7" s="84">
        <v>4.3</v>
      </c>
      <c r="H7" s="87" t="s">
        <v>26</v>
      </c>
      <c r="I7" s="88">
        <v>0</v>
      </c>
      <c r="J7" s="86">
        <v>0</v>
      </c>
      <c r="K7" s="86">
        <v>0</v>
      </c>
      <c r="L7" s="85">
        <v>11</v>
      </c>
    </row>
    <row r="8" spans="1:12" x14ac:dyDescent="0.3">
      <c r="A8" s="83">
        <v>7</v>
      </c>
      <c r="B8" s="84">
        <v>80.3</v>
      </c>
      <c r="C8" s="84">
        <v>25.5</v>
      </c>
      <c r="D8" s="85">
        <v>1808</v>
      </c>
      <c r="E8" s="86">
        <v>6</v>
      </c>
      <c r="F8" s="86">
        <v>4</v>
      </c>
      <c r="G8" s="84">
        <v>4.3</v>
      </c>
      <c r="H8" s="87" t="s">
        <v>26</v>
      </c>
      <c r="I8" s="88">
        <v>0</v>
      </c>
      <c r="J8" s="86">
        <v>0</v>
      </c>
      <c r="K8" s="86">
        <v>0</v>
      </c>
      <c r="L8" s="85">
        <v>15</v>
      </c>
    </row>
    <row r="9" spans="1:12" x14ac:dyDescent="0.3">
      <c r="A9" s="83">
        <v>8</v>
      </c>
      <c r="B9" s="84">
        <v>72.7</v>
      </c>
      <c r="C9" s="84">
        <v>23</v>
      </c>
      <c r="D9" s="85">
        <v>1840</v>
      </c>
      <c r="E9" s="86">
        <v>11</v>
      </c>
      <c r="F9" s="85">
        <v>10</v>
      </c>
      <c r="G9" s="84">
        <v>4.3</v>
      </c>
      <c r="H9" s="87" t="s">
        <v>26</v>
      </c>
      <c r="I9" s="88">
        <v>0</v>
      </c>
      <c r="J9" s="86">
        <v>0</v>
      </c>
      <c r="K9" s="86">
        <v>0</v>
      </c>
      <c r="L9" s="85">
        <v>11</v>
      </c>
    </row>
    <row r="10" spans="1:12" x14ac:dyDescent="0.3">
      <c r="A10" s="83">
        <v>9</v>
      </c>
      <c r="B10" s="84">
        <v>78</v>
      </c>
      <c r="C10" s="84">
        <v>27</v>
      </c>
      <c r="D10" s="85">
        <v>1842</v>
      </c>
      <c r="E10" s="86">
        <v>1</v>
      </c>
      <c r="F10" s="85">
        <v>16</v>
      </c>
      <c r="G10" s="84">
        <v>5.5</v>
      </c>
      <c r="H10" s="87" t="s">
        <v>26</v>
      </c>
      <c r="I10" s="88">
        <v>0</v>
      </c>
      <c r="J10" s="86">
        <v>0</v>
      </c>
      <c r="K10" s="86">
        <v>0</v>
      </c>
      <c r="L10" s="85">
        <v>2</v>
      </c>
    </row>
    <row r="11" spans="1:12" x14ac:dyDescent="0.3">
      <c r="A11" s="83">
        <v>10</v>
      </c>
      <c r="B11" s="84">
        <v>73.2</v>
      </c>
      <c r="C11" s="84">
        <v>22.3</v>
      </c>
      <c r="D11" s="85">
        <v>1842</v>
      </c>
      <c r="E11" s="86">
        <v>10</v>
      </c>
      <c r="F11" s="86">
        <v>9</v>
      </c>
      <c r="G11" s="84">
        <v>4.3</v>
      </c>
      <c r="H11" s="87" t="s">
        <v>26</v>
      </c>
      <c r="I11" s="88">
        <v>0</v>
      </c>
      <c r="J11" s="86">
        <v>0</v>
      </c>
      <c r="K11" s="86">
        <v>0</v>
      </c>
      <c r="L11" s="85">
        <v>11</v>
      </c>
    </row>
    <row r="12" spans="1:12" x14ac:dyDescent="0.3">
      <c r="A12" s="83">
        <v>11</v>
      </c>
      <c r="B12" s="84">
        <v>72.7</v>
      </c>
      <c r="C12" s="84">
        <v>23</v>
      </c>
      <c r="D12" s="85">
        <v>1843</v>
      </c>
      <c r="E12" s="86">
        <v>2</v>
      </c>
      <c r="F12" s="86">
        <v>8</v>
      </c>
      <c r="G12" s="84">
        <v>4.2</v>
      </c>
      <c r="H12" s="87" t="s">
        <v>26</v>
      </c>
      <c r="I12" s="88">
        <v>0</v>
      </c>
      <c r="J12" s="86">
        <v>0</v>
      </c>
      <c r="K12" s="86">
        <v>0</v>
      </c>
      <c r="L12" s="85">
        <v>18</v>
      </c>
    </row>
    <row r="13" spans="1:12" x14ac:dyDescent="0.3">
      <c r="A13" s="83">
        <v>12</v>
      </c>
      <c r="B13" s="84">
        <v>79.3</v>
      </c>
      <c r="C13" s="84">
        <v>23.5</v>
      </c>
      <c r="D13" s="85">
        <v>1846</v>
      </c>
      <c r="E13" s="86">
        <v>5</v>
      </c>
      <c r="F13" s="85">
        <v>27</v>
      </c>
      <c r="G13" s="84">
        <v>6.5</v>
      </c>
      <c r="H13" s="87" t="s">
        <v>26</v>
      </c>
      <c r="I13" s="88">
        <v>0</v>
      </c>
      <c r="J13" s="86">
        <v>0</v>
      </c>
      <c r="K13" s="86">
        <v>0</v>
      </c>
      <c r="L13" s="85">
        <v>2</v>
      </c>
    </row>
    <row r="14" spans="1:12" x14ac:dyDescent="0.3">
      <c r="A14" s="83">
        <v>13</v>
      </c>
      <c r="B14" s="89">
        <v>79.3</v>
      </c>
      <c r="C14" s="89">
        <v>23.5</v>
      </c>
      <c r="D14" s="42">
        <v>1846</v>
      </c>
      <c r="E14" s="90">
        <v>5</v>
      </c>
      <c r="F14" s="42">
        <v>27</v>
      </c>
      <c r="G14" s="89">
        <v>6.5</v>
      </c>
      <c r="H14" s="42" t="s">
        <v>26</v>
      </c>
      <c r="I14" s="91">
        <v>0</v>
      </c>
      <c r="J14" s="90">
        <v>5</v>
      </c>
      <c r="K14" s="90">
        <v>53</v>
      </c>
      <c r="L14" s="42" t="s">
        <v>27</v>
      </c>
    </row>
    <row r="15" spans="1:12" x14ac:dyDescent="0.3">
      <c r="A15" s="83">
        <v>14</v>
      </c>
      <c r="B15" s="84">
        <v>75</v>
      </c>
      <c r="C15" s="84">
        <v>21.4</v>
      </c>
      <c r="D15" s="85">
        <v>1847</v>
      </c>
      <c r="E15" s="86">
        <v>5</v>
      </c>
      <c r="F15" s="85">
        <v>27</v>
      </c>
      <c r="G15" s="84">
        <v>6.5</v>
      </c>
      <c r="H15" s="87" t="s">
        <v>26</v>
      </c>
      <c r="I15" s="88">
        <v>0</v>
      </c>
      <c r="J15" s="86">
        <v>0</v>
      </c>
      <c r="K15" s="86">
        <v>0</v>
      </c>
      <c r="L15" s="85">
        <v>2</v>
      </c>
    </row>
    <row r="16" spans="1:12" x14ac:dyDescent="0.3">
      <c r="A16" s="83">
        <v>15</v>
      </c>
      <c r="B16" s="89">
        <v>75</v>
      </c>
      <c r="C16" s="89">
        <v>21.4</v>
      </c>
      <c r="D16" s="42">
        <v>1847</v>
      </c>
      <c r="E16" s="90">
        <v>5</v>
      </c>
      <c r="F16" s="42">
        <v>27</v>
      </c>
      <c r="G16" s="89">
        <v>6.5</v>
      </c>
      <c r="H16" s="42" t="s">
        <v>26</v>
      </c>
      <c r="I16" s="91">
        <v>0</v>
      </c>
      <c r="J16" s="90">
        <v>5</v>
      </c>
      <c r="K16" s="90">
        <v>53</v>
      </c>
      <c r="L16" s="42" t="s">
        <v>27</v>
      </c>
    </row>
    <row r="17" spans="1:12" x14ac:dyDescent="0.3">
      <c r="A17" s="83">
        <v>16</v>
      </c>
      <c r="B17" s="84">
        <v>72.7</v>
      </c>
      <c r="C17" s="84">
        <v>24.4</v>
      </c>
      <c r="D17" s="85">
        <v>1848</v>
      </c>
      <c r="E17" s="86">
        <v>4</v>
      </c>
      <c r="F17" s="85">
        <v>26</v>
      </c>
      <c r="G17" s="84">
        <v>6</v>
      </c>
      <c r="H17" s="87" t="s">
        <v>26</v>
      </c>
      <c r="I17" s="88">
        <v>0</v>
      </c>
      <c r="J17" s="86">
        <v>0</v>
      </c>
      <c r="K17" s="86">
        <v>0</v>
      </c>
      <c r="L17" s="85">
        <v>2</v>
      </c>
    </row>
    <row r="18" spans="1:12" x14ac:dyDescent="0.3">
      <c r="A18" s="83">
        <v>17</v>
      </c>
      <c r="B18" s="89">
        <v>72.7</v>
      </c>
      <c r="C18" s="89">
        <v>24.4</v>
      </c>
      <c r="D18" s="42">
        <v>1848</v>
      </c>
      <c r="E18" s="90">
        <v>4</v>
      </c>
      <c r="F18" s="42">
        <v>26</v>
      </c>
      <c r="G18" s="89">
        <v>6</v>
      </c>
      <c r="H18" s="42" t="s">
        <v>26</v>
      </c>
      <c r="I18" s="91">
        <v>0</v>
      </c>
      <c r="J18" s="90">
        <v>5</v>
      </c>
      <c r="K18" s="90">
        <v>53</v>
      </c>
      <c r="L18" s="42" t="s">
        <v>27</v>
      </c>
    </row>
    <row r="19" spans="1:12" x14ac:dyDescent="0.3">
      <c r="A19" s="83">
        <v>18</v>
      </c>
      <c r="B19" s="84">
        <v>73.2</v>
      </c>
      <c r="C19" s="84">
        <v>25.2</v>
      </c>
      <c r="D19" s="85">
        <v>1849</v>
      </c>
      <c r="E19" s="86">
        <v>1</v>
      </c>
      <c r="F19" s="86">
        <v>2</v>
      </c>
      <c r="G19" s="84">
        <v>4.0999999999999996</v>
      </c>
      <c r="H19" s="87" t="s">
        <v>26</v>
      </c>
      <c r="I19" s="88">
        <v>0</v>
      </c>
      <c r="J19" s="86">
        <v>0</v>
      </c>
      <c r="K19" s="86">
        <v>0</v>
      </c>
      <c r="L19" s="85">
        <v>18</v>
      </c>
    </row>
    <row r="20" spans="1:12" x14ac:dyDescent="0.3">
      <c r="A20" s="83">
        <v>19</v>
      </c>
      <c r="B20" s="84">
        <v>73.2</v>
      </c>
      <c r="C20" s="84">
        <v>25.2</v>
      </c>
      <c r="D20" s="85">
        <v>1849</v>
      </c>
      <c r="E20" s="86">
        <v>6</v>
      </c>
      <c r="F20" s="86">
        <v>2</v>
      </c>
      <c r="G20" s="84">
        <v>4.7</v>
      </c>
      <c r="H20" s="87" t="s">
        <v>26</v>
      </c>
      <c r="I20" s="88">
        <v>0</v>
      </c>
      <c r="J20" s="86">
        <v>0</v>
      </c>
      <c r="K20" s="86">
        <v>0</v>
      </c>
      <c r="L20" s="85">
        <v>11</v>
      </c>
    </row>
    <row r="21" spans="1:12" x14ac:dyDescent="0.3">
      <c r="A21" s="83">
        <v>20</v>
      </c>
      <c r="B21" s="89">
        <v>73</v>
      </c>
      <c r="C21" s="89">
        <v>20</v>
      </c>
      <c r="D21" s="42">
        <v>1856</v>
      </c>
      <c r="E21" s="90">
        <v>12</v>
      </c>
      <c r="F21" s="42">
        <v>25</v>
      </c>
      <c r="G21" s="89">
        <v>5</v>
      </c>
      <c r="H21" s="42" t="s">
        <v>26</v>
      </c>
      <c r="I21" s="91">
        <v>0</v>
      </c>
      <c r="J21" s="90">
        <v>5</v>
      </c>
      <c r="K21" s="90">
        <v>53</v>
      </c>
      <c r="L21" s="42" t="s">
        <v>27</v>
      </c>
    </row>
    <row r="22" spans="1:12" x14ac:dyDescent="0.3">
      <c r="A22" s="83">
        <v>21</v>
      </c>
      <c r="B22" s="84">
        <v>75.3</v>
      </c>
      <c r="C22" s="84">
        <v>21.8</v>
      </c>
      <c r="D22" s="85">
        <v>1863</v>
      </c>
      <c r="E22" s="86">
        <v>11</v>
      </c>
      <c r="F22" s="86">
        <v>8</v>
      </c>
      <c r="G22" s="84">
        <v>5.7</v>
      </c>
      <c r="H22" s="87" t="s">
        <v>26</v>
      </c>
      <c r="I22" s="88">
        <v>0</v>
      </c>
      <c r="J22" s="86">
        <v>0</v>
      </c>
      <c r="K22" s="86">
        <v>0</v>
      </c>
      <c r="L22" s="85">
        <v>11</v>
      </c>
    </row>
    <row r="23" spans="1:12" x14ac:dyDescent="0.3">
      <c r="A23" s="83">
        <v>22</v>
      </c>
      <c r="B23" s="84">
        <v>75</v>
      </c>
      <c r="C23" s="84">
        <v>22</v>
      </c>
      <c r="D23" s="85">
        <v>1863</v>
      </c>
      <c r="E23" s="86">
        <v>11</v>
      </c>
      <c r="F23" s="85">
        <v>18</v>
      </c>
      <c r="G23" s="84">
        <v>5</v>
      </c>
      <c r="H23" s="87" t="s">
        <v>26</v>
      </c>
      <c r="I23" s="88">
        <v>0</v>
      </c>
      <c r="J23" s="86">
        <v>0</v>
      </c>
      <c r="K23" s="86">
        <v>0</v>
      </c>
      <c r="L23" s="85">
        <v>2</v>
      </c>
    </row>
    <row r="24" spans="1:12" x14ac:dyDescent="0.3">
      <c r="A24" s="83">
        <v>23</v>
      </c>
      <c r="B24" s="89">
        <v>75</v>
      </c>
      <c r="C24" s="89">
        <v>22</v>
      </c>
      <c r="D24" s="42">
        <v>1863</v>
      </c>
      <c r="E24" s="90">
        <v>11</v>
      </c>
      <c r="F24" s="42">
        <v>18</v>
      </c>
      <c r="G24" s="89">
        <v>5</v>
      </c>
      <c r="H24" s="42" t="s">
        <v>26</v>
      </c>
      <c r="I24" s="91">
        <v>0</v>
      </c>
      <c r="J24" s="90">
        <v>5</v>
      </c>
      <c r="K24" s="90">
        <v>53</v>
      </c>
      <c r="L24" s="42" t="s">
        <v>27</v>
      </c>
    </row>
    <row r="25" spans="1:12" x14ac:dyDescent="0.3">
      <c r="A25" s="83">
        <v>24</v>
      </c>
      <c r="B25" s="84">
        <v>74.2</v>
      </c>
      <c r="C25" s="84">
        <v>20.2</v>
      </c>
      <c r="D25" s="85">
        <v>1869</v>
      </c>
      <c r="E25" s="86">
        <v>7</v>
      </c>
      <c r="F25" s="86">
        <v>4</v>
      </c>
      <c r="G25" s="84">
        <v>4.3</v>
      </c>
      <c r="H25" s="87" t="s">
        <v>26</v>
      </c>
      <c r="I25" s="88">
        <v>0</v>
      </c>
      <c r="J25" s="86">
        <v>0</v>
      </c>
      <c r="K25" s="86">
        <v>0</v>
      </c>
      <c r="L25" s="85">
        <v>15</v>
      </c>
    </row>
    <row r="26" spans="1:12" x14ac:dyDescent="0.3">
      <c r="A26" s="83">
        <v>25</v>
      </c>
      <c r="B26" s="84">
        <v>74.8</v>
      </c>
      <c r="C26" s="84">
        <v>20.9</v>
      </c>
      <c r="D26" s="85">
        <v>1869</v>
      </c>
      <c r="E26" s="86">
        <v>7</v>
      </c>
      <c r="F26" s="85">
        <v>12</v>
      </c>
      <c r="G26" s="84">
        <v>4.3</v>
      </c>
      <c r="H26" s="87" t="s">
        <v>26</v>
      </c>
      <c r="I26" s="88">
        <v>0</v>
      </c>
      <c r="J26" s="86">
        <v>0</v>
      </c>
      <c r="K26" s="86">
        <v>0</v>
      </c>
      <c r="L26" s="85">
        <v>15</v>
      </c>
    </row>
    <row r="27" spans="1:12" x14ac:dyDescent="0.3">
      <c r="A27" s="83">
        <v>26</v>
      </c>
      <c r="B27" s="84">
        <v>72.2</v>
      </c>
      <c r="C27" s="84">
        <v>24.2</v>
      </c>
      <c r="D27" s="85">
        <v>1871</v>
      </c>
      <c r="E27" s="86">
        <v>1</v>
      </c>
      <c r="F27" s="86">
        <v>1</v>
      </c>
      <c r="G27" s="84">
        <v>4.2</v>
      </c>
      <c r="H27" s="87" t="s">
        <v>26</v>
      </c>
      <c r="I27" s="88">
        <v>0</v>
      </c>
      <c r="J27" s="86">
        <v>0</v>
      </c>
      <c r="K27" s="86">
        <v>0</v>
      </c>
      <c r="L27" s="85">
        <v>15</v>
      </c>
    </row>
    <row r="28" spans="1:12" x14ac:dyDescent="0.3">
      <c r="A28" s="83">
        <v>27</v>
      </c>
      <c r="B28" s="84">
        <v>72.2</v>
      </c>
      <c r="C28" s="84">
        <v>21.7</v>
      </c>
      <c r="D28" s="85">
        <v>1872</v>
      </c>
      <c r="E28" s="86">
        <v>4</v>
      </c>
      <c r="F28" s="85">
        <v>14</v>
      </c>
      <c r="G28" s="84">
        <v>4.7</v>
      </c>
      <c r="H28" s="87" t="s">
        <v>26</v>
      </c>
      <c r="I28" s="88">
        <v>0</v>
      </c>
      <c r="J28" s="86">
        <v>0</v>
      </c>
      <c r="K28" s="86">
        <v>0</v>
      </c>
      <c r="L28" s="85">
        <v>15</v>
      </c>
    </row>
    <row r="29" spans="1:12" x14ac:dyDescent="0.3">
      <c r="A29" s="83">
        <v>28</v>
      </c>
      <c r="B29" s="84">
        <v>80</v>
      </c>
      <c r="C29" s="84">
        <v>18.8</v>
      </c>
      <c r="D29" s="85">
        <v>1872</v>
      </c>
      <c r="E29" s="86">
        <v>11</v>
      </c>
      <c r="F29" s="85">
        <v>22</v>
      </c>
      <c r="G29" s="84">
        <v>4.7</v>
      </c>
      <c r="H29" s="87" t="s">
        <v>26</v>
      </c>
      <c r="I29" s="88">
        <v>0</v>
      </c>
      <c r="J29" s="86">
        <v>0</v>
      </c>
      <c r="K29" s="86">
        <v>0</v>
      </c>
      <c r="L29" s="85">
        <v>11</v>
      </c>
    </row>
    <row r="30" spans="1:12" x14ac:dyDescent="0.3">
      <c r="A30" s="83">
        <v>29</v>
      </c>
      <c r="B30" s="84">
        <v>73</v>
      </c>
      <c r="C30" s="84">
        <v>25</v>
      </c>
      <c r="D30" s="85">
        <v>1906</v>
      </c>
      <c r="E30" s="86">
        <v>8</v>
      </c>
      <c r="F30" s="85">
        <v>15</v>
      </c>
      <c r="G30" s="84">
        <v>5</v>
      </c>
      <c r="H30" s="87" t="s">
        <v>26</v>
      </c>
      <c r="I30" s="88">
        <v>0</v>
      </c>
      <c r="J30" s="86">
        <v>0</v>
      </c>
      <c r="K30" s="86">
        <v>0</v>
      </c>
      <c r="L30" s="85">
        <v>2</v>
      </c>
    </row>
    <row r="31" spans="1:12" x14ac:dyDescent="0.3">
      <c r="A31" s="83">
        <v>30</v>
      </c>
      <c r="B31" s="89">
        <v>73</v>
      </c>
      <c r="C31" s="89">
        <v>25</v>
      </c>
      <c r="D31" s="42">
        <v>1906</v>
      </c>
      <c r="E31" s="90">
        <v>8</v>
      </c>
      <c r="F31" s="42">
        <v>15</v>
      </c>
      <c r="G31" s="89">
        <v>5</v>
      </c>
      <c r="H31" s="42" t="s">
        <v>26</v>
      </c>
      <c r="I31" s="91">
        <v>0</v>
      </c>
      <c r="J31" s="90">
        <v>5</v>
      </c>
      <c r="K31" s="90">
        <v>30</v>
      </c>
      <c r="L31" s="42" t="s">
        <v>27</v>
      </c>
    </row>
    <row r="32" spans="1:12" x14ac:dyDescent="0.3">
      <c r="A32" s="83">
        <v>31</v>
      </c>
      <c r="B32" s="89">
        <v>71.2</v>
      </c>
      <c r="C32" s="89">
        <v>21.7</v>
      </c>
      <c r="D32" s="42">
        <v>1919</v>
      </c>
      <c r="E32" s="90">
        <v>4</v>
      </c>
      <c r="F32" s="42">
        <v>21</v>
      </c>
      <c r="G32" s="89">
        <v>6</v>
      </c>
      <c r="H32" s="42" t="s">
        <v>26</v>
      </c>
      <c r="I32" s="91">
        <v>0</v>
      </c>
      <c r="J32" s="90">
        <v>9</v>
      </c>
      <c r="K32" s="90">
        <v>53</v>
      </c>
      <c r="L32" s="42" t="s">
        <v>27</v>
      </c>
    </row>
    <row r="33" spans="1:12" x14ac:dyDescent="0.3">
      <c r="A33" s="83">
        <v>32</v>
      </c>
      <c r="B33" s="84">
        <v>77.5</v>
      </c>
      <c r="C33" s="84">
        <v>25</v>
      </c>
      <c r="D33" s="85">
        <v>1926</v>
      </c>
      <c r="E33" s="86">
        <v>12</v>
      </c>
      <c r="F33" s="85">
        <v>31</v>
      </c>
      <c r="G33" s="84">
        <v>5.5</v>
      </c>
      <c r="H33" s="87" t="s">
        <v>26</v>
      </c>
      <c r="I33" s="88">
        <v>0</v>
      </c>
      <c r="J33" s="86">
        <v>16</v>
      </c>
      <c r="K33" s="86">
        <v>53</v>
      </c>
      <c r="L33" s="85">
        <v>2</v>
      </c>
    </row>
    <row r="34" spans="1:12" x14ac:dyDescent="0.3">
      <c r="A34" s="83">
        <v>33</v>
      </c>
      <c r="B34" s="89">
        <v>77.5</v>
      </c>
      <c r="C34" s="89">
        <v>25</v>
      </c>
      <c r="D34" s="42">
        <v>1926</v>
      </c>
      <c r="E34" s="90">
        <v>12</v>
      </c>
      <c r="F34" s="42">
        <v>31</v>
      </c>
      <c r="G34" s="89">
        <v>5.5</v>
      </c>
      <c r="H34" s="42" t="s">
        <v>26</v>
      </c>
      <c r="I34" s="91">
        <v>0</v>
      </c>
      <c r="J34" s="90">
        <v>22</v>
      </c>
      <c r="K34" s="90">
        <v>23</v>
      </c>
      <c r="L34" s="42" t="s">
        <v>27</v>
      </c>
    </row>
    <row r="35" spans="1:12" x14ac:dyDescent="0.3">
      <c r="A35" s="83">
        <v>34</v>
      </c>
      <c r="B35" s="89">
        <v>77.5</v>
      </c>
      <c r="C35" s="89">
        <v>25</v>
      </c>
      <c r="D35" s="42">
        <v>1929</v>
      </c>
      <c r="E35" s="90">
        <v>4</v>
      </c>
      <c r="F35" s="42">
        <v>11</v>
      </c>
      <c r="G35" s="89">
        <v>5.5</v>
      </c>
      <c r="H35" s="42" t="s">
        <v>26</v>
      </c>
      <c r="I35" s="91">
        <v>0</v>
      </c>
      <c r="J35" s="90">
        <v>5</v>
      </c>
      <c r="K35" s="90">
        <v>23</v>
      </c>
      <c r="L35" s="42" t="s">
        <v>27</v>
      </c>
    </row>
    <row r="36" spans="1:12" x14ac:dyDescent="0.3">
      <c r="A36" s="83">
        <v>35</v>
      </c>
      <c r="B36" s="84">
        <v>77.5</v>
      </c>
      <c r="C36" s="84">
        <v>25</v>
      </c>
      <c r="D36" s="85">
        <v>1930</v>
      </c>
      <c r="E36" s="86">
        <v>6</v>
      </c>
      <c r="F36" s="85">
        <v>25</v>
      </c>
      <c r="G36" s="84">
        <v>5.5</v>
      </c>
      <c r="H36" s="87" t="s">
        <v>26</v>
      </c>
      <c r="I36" s="88">
        <v>0</v>
      </c>
      <c r="J36" s="86">
        <v>0</v>
      </c>
      <c r="K36" s="86">
        <v>49</v>
      </c>
      <c r="L36" s="85">
        <v>2</v>
      </c>
    </row>
    <row r="37" spans="1:12" x14ac:dyDescent="0.3">
      <c r="A37" s="83">
        <v>36</v>
      </c>
      <c r="B37" s="89">
        <v>77.5</v>
      </c>
      <c r="C37" s="89">
        <v>25</v>
      </c>
      <c r="D37" s="42">
        <v>1930</v>
      </c>
      <c r="E37" s="90">
        <v>6</v>
      </c>
      <c r="F37" s="42">
        <v>25</v>
      </c>
      <c r="G37" s="89">
        <v>5.5</v>
      </c>
      <c r="H37" s="42" t="s">
        <v>26</v>
      </c>
      <c r="I37" s="91">
        <v>0</v>
      </c>
      <c r="J37" s="90">
        <v>6</v>
      </c>
      <c r="K37" s="90">
        <v>19</v>
      </c>
      <c r="L37" s="42" t="s">
        <v>27</v>
      </c>
    </row>
    <row r="38" spans="1:12" x14ac:dyDescent="0.3">
      <c r="A38" s="83">
        <v>37</v>
      </c>
      <c r="B38" s="89">
        <v>75.75</v>
      </c>
      <c r="C38" s="89">
        <v>21.5</v>
      </c>
      <c r="D38" s="42">
        <v>1938</v>
      </c>
      <c r="E38" s="90">
        <v>3</v>
      </c>
      <c r="F38" s="42">
        <v>14</v>
      </c>
      <c r="G38" s="89">
        <v>6.2</v>
      </c>
      <c r="H38" s="42" t="s">
        <v>6</v>
      </c>
      <c r="I38" s="91">
        <v>50</v>
      </c>
      <c r="J38" s="90">
        <v>0</v>
      </c>
      <c r="K38" s="90">
        <v>48</v>
      </c>
      <c r="L38" s="42" t="s">
        <v>7</v>
      </c>
    </row>
    <row r="39" spans="1:12" x14ac:dyDescent="0.3">
      <c r="A39" s="83">
        <v>38</v>
      </c>
      <c r="B39" s="84">
        <v>75.75</v>
      </c>
      <c r="C39" s="84">
        <v>21.5</v>
      </c>
      <c r="D39" s="85">
        <v>1938</v>
      </c>
      <c r="E39" s="86">
        <v>3</v>
      </c>
      <c r="F39" s="85">
        <v>14</v>
      </c>
      <c r="G39" s="84">
        <v>6.2</v>
      </c>
      <c r="H39" s="87" t="s">
        <v>26</v>
      </c>
      <c r="I39" s="88">
        <v>50</v>
      </c>
      <c r="J39" s="86">
        <v>0</v>
      </c>
      <c r="K39" s="86">
        <v>48</v>
      </c>
      <c r="L39" s="85">
        <v>1</v>
      </c>
    </row>
    <row r="40" spans="1:12" x14ac:dyDescent="0.3">
      <c r="A40" s="83">
        <v>39</v>
      </c>
      <c r="B40" s="89">
        <v>75</v>
      </c>
      <c r="C40" s="89">
        <v>21.6</v>
      </c>
      <c r="D40" s="42">
        <v>1938</v>
      </c>
      <c r="E40" s="90">
        <v>3</v>
      </c>
      <c r="F40" s="42">
        <v>14</v>
      </c>
      <c r="G40" s="89">
        <v>6.3</v>
      </c>
      <c r="H40" s="42" t="s">
        <v>26</v>
      </c>
      <c r="I40" s="91">
        <v>0</v>
      </c>
      <c r="J40" s="90">
        <v>6</v>
      </c>
      <c r="K40" s="90">
        <v>18</v>
      </c>
      <c r="L40" s="42" t="s">
        <v>27</v>
      </c>
    </row>
    <row r="41" spans="1:12" x14ac:dyDescent="0.3">
      <c r="A41" s="83">
        <v>40</v>
      </c>
      <c r="B41" s="89">
        <v>80</v>
      </c>
      <c r="C41" s="89">
        <v>22</v>
      </c>
      <c r="D41" s="42">
        <v>1957</v>
      </c>
      <c r="E41" s="90">
        <v>8</v>
      </c>
      <c r="F41" s="42">
        <v>25</v>
      </c>
      <c r="G41" s="89">
        <v>5.5</v>
      </c>
      <c r="H41" s="42" t="s">
        <v>8</v>
      </c>
      <c r="I41" s="91">
        <v>0</v>
      </c>
      <c r="J41" s="90">
        <v>21</v>
      </c>
      <c r="K41" s="90">
        <v>4</v>
      </c>
      <c r="L41" s="42" t="s">
        <v>9</v>
      </c>
    </row>
    <row r="42" spans="1:12" x14ac:dyDescent="0.3">
      <c r="A42" s="83">
        <v>41</v>
      </c>
      <c r="B42" s="84">
        <v>80</v>
      </c>
      <c r="C42" s="84">
        <v>22</v>
      </c>
      <c r="D42" s="85">
        <v>1957</v>
      </c>
      <c r="E42" s="86">
        <v>8</v>
      </c>
      <c r="F42" s="85">
        <v>25</v>
      </c>
      <c r="G42" s="84">
        <v>5.5</v>
      </c>
      <c r="H42" s="87" t="s">
        <v>26</v>
      </c>
      <c r="I42" s="88">
        <v>0</v>
      </c>
      <c r="J42" s="86">
        <v>21</v>
      </c>
      <c r="K42" s="86">
        <v>4</v>
      </c>
      <c r="L42" s="85">
        <v>1</v>
      </c>
    </row>
    <row r="43" spans="1:12" x14ac:dyDescent="0.3">
      <c r="A43" s="83">
        <v>42</v>
      </c>
      <c r="B43" s="84">
        <v>73</v>
      </c>
      <c r="C43" s="84">
        <v>24.2</v>
      </c>
      <c r="D43" s="85">
        <v>1962</v>
      </c>
      <c r="E43" s="86">
        <v>9</v>
      </c>
      <c r="F43" s="86">
        <v>1</v>
      </c>
      <c r="G43" s="84">
        <v>4.9000000000000004</v>
      </c>
      <c r="H43" s="87" t="s">
        <v>26</v>
      </c>
      <c r="I43" s="88">
        <v>0</v>
      </c>
      <c r="J43" s="86">
        <v>22</v>
      </c>
      <c r="K43" s="86">
        <v>51</v>
      </c>
      <c r="L43" s="85">
        <v>2</v>
      </c>
    </row>
    <row r="44" spans="1:12" x14ac:dyDescent="0.3">
      <c r="A44" s="83">
        <v>43</v>
      </c>
      <c r="B44" s="89">
        <v>73</v>
      </c>
      <c r="C44" s="89">
        <v>24.2</v>
      </c>
      <c r="D44" s="42">
        <v>1962</v>
      </c>
      <c r="E44" s="90">
        <v>9</v>
      </c>
      <c r="F44" s="42">
        <v>2</v>
      </c>
      <c r="G44" s="89">
        <v>5</v>
      </c>
      <c r="H44" s="42" t="s">
        <v>26</v>
      </c>
      <c r="I44" s="91">
        <v>0</v>
      </c>
      <c r="J44" s="90">
        <v>4</v>
      </c>
      <c r="K44" s="90">
        <v>21</v>
      </c>
      <c r="L44" s="42" t="s">
        <v>27</v>
      </c>
    </row>
    <row r="45" spans="1:12" x14ac:dyDescent="0.3">
      <c r="A45" s="83">
        <v>44</v>
      </c>
      <c r="B45" s="89">
        <v>72.495599999999996</v>
      </c>
      <c r="C45" s="89">
        <v>24.768999999999998</v>
      </c>
      <c r="D45" s="42">
        <v>1969</v>
      </c>
      <c r="E45" s="90">
        <v>10</v>
      </c>
      <c r="F45" s="42">
        <v>24</v>
      </c>
      <c r="G45" s="89">
        <v>4.9000000000000004</v>
      </c>
      <c r="H45" s="42" t="s">
        <v>2</v>
      </c>
      <c r="I45" s="91">
        <v>30.2</v>
      </c>
      <c r="J45" s="90">
        <v>11</v>
      </c>
      <c r="K45" s="90">
        <v>45</v>
      </c>
      <c r="L45" s="42" t="s">
        <v>10</v>
      </c>
    </row>
    <row r="46" spans="1:12" x14ac:dyDescent="0.3">
      <c r="A46" s="83">
        <v>45</v>
      </c>
      <c r="B46" s="84">
        <v>72.540000000000006</v>
      </c>
      <c r="C46" s="84">
        <v>24.76</v>
      </c>
      <c r="D46" s="85">
        <v>1969</v>
      </c>
      <c r="E46" s="86">
        <v>10</v>
      </c>
      <c r="F46" s="85">
        <v>24</v>
      </c>
      <c r="G46" s="84">
        <v>4.8</v>
      </c>
      <c r="H46" s="87" t="s">
        <v>26</v>
      </c>
      <c r="I46" s="88">
        <v>31</v>
      </c>
      <c r="J46" s="86">
        <v>11</v>
      </c>
      <c r="K46" s="86">
        <v>45</v>
      </c>
      <c r="L46" s="85">
        <v>2</v>
      </c>
    </row>
    <row r="47" spans="1:12" x14ac:dyDescent="0.3">
      <c r="A47" s="83">
        <v>46</v>
      </c>
      <c r="B47" s="89">
        <v>72.540000000000006</v>
      </c>
      <c r="C47" s="89">
        <v>24.76</v>
      </c>
      <c r="D47" s="42">
        <v>1969</v>
      </c>
      <c r="E47" s="90">
        <v>10</v>
      </c>
      <c r="F47" s="42">
        <v>24</v>
      </c>
      <c r="G47" s="89">
        <v>4.9000000000000004</v>
      </c>
      <c r="H47" s="42" t="s">
        <v>26</v>
      </c>
      <c r="I47" s="91">
        <v>31</v>
      </c>
      <c r="J47" s="90">
        <v>17</v>
      </c>
      <c r="K47" s="90">
        <v>15</v>
      </c>
      <c r="L47" s="42" t="s">
        <v>27</v>
      </c>
    </row>
    <row r="48" spans="1:12" x14ac:dyDescent="0.3">
      <c r="A48" s="83">
        <v>47</v>
      </c>
      <c r="B48" s="89">
        <v>73.052400000000006</v>
      </c>
      <c r="C48" s="89">
        <v>21.586200000000002</v>
      </c>
      <c r="D48" s="42">
        <v>1970</v>
      </c>
      <c r="E48" s="90">
        <v>3</v>
      </c>
      <c r="F48" s="42">
        <v>23</v>
      </c>
      <c r="G48" s="89">
        <v>5.3</v>
      </c>
      <c r="H48" s="42" t="s">
        <v>2</v>
      </c>
      <c r="I48" s="91">
        <v>13.9</v>
      </c>
      <c r="J48" s="90">
        <v>1</v>
      </c>
      <c r="K48" s="90">
        <v>53</v>
      </c>
      <c r="L48" s="42" t="s">
        <v>10</v>
      </c>
    </row>
    <row r="49" spans="1:12" x14ac:dyDescent="0.3">
      <c r="A49" s="83">
        <v>48</v>
      </c>
      <c r="B49" s="84">
        <v>72.959999999999994</v>
      </c>
      <c r="C49" s="84">
        <v>21.6</v>
      </c>
      <c r="D49" s="85">
        <v>1970</v>
      </c>
      <c r="E49" s="86">
        <v>3</v>
      </c>
      <c r="F49" s="85">
        <v>23</v>
      </c>
      <c r="G49" s="84">
        <v>5.2</v>
      </c>
      <c r="H49" s="87" t="s">
        <v>26</v>
      </c>
      <c r="I49" s="88">
        <v>8</v>
      </c>
      <c r="J49" s="86">
        <v>1</v>
      </c>
      <c r="K49" s="86">
        <v>53</v>
      </c>
      <c r="L49" s="85">
        <v>2</v>
      </c>
    </row>
    <row r="50" spans="1:12" x14ac:dyDescent="0.3">
      <c r="A50" s="83">
        <v>49</v>
      </c>
      <c r="B50" s="89">
        <v>72.959999999999994</v>
      </c>
      <c r="C50" s="89">
        <v>21.6</v>
      </c>
      <c r="D50" s="42">
        <v>1970</v>
      </c>
      <c r="E50" s="90">
        <v>3</v>
      </c>
      <c r="F50" s="42">
        <v>23</v>
      </c>
      <c r="G50" s="89">
        <v>5.2</v>
      </c>
      <c r="H50" s="42" t="s">
        <v>26</v>
      </c>
      <c r="I50" s="91">
        <v>8</v>
      </c>
      <c r="J50" s="90">
        <v>7</v>
      </c>
      <c r="K50" s="90">
        <v>23</v>
      </c>
      <c r="L50" s="42" t="s">
        <v>27</v>
      </c>
    </row>
    <row r="51" spans="1:12" x14ac:dyDescent="0.3">
      <c r="A51" s="83">
        <v>50</v>
      </c>
      <c r="B51" s="84">
        <v>71.8</v>
      </c>
      <c r="C51" s="84">
        <v>26.99</v>
      </c>
      <c r="D51" s="85">
        <v>1974</v>
      </c>
      <c r="E51" s="86">
        <v>5</v>
      </c>
      <c r="F51" s="85">
        <v>18</v>
      </c>
      <c r="G51" s="84">
        <v>4.8</v>
      </c>
      <c r="H51" s="87" t="s">
        <v>26</v>
      </c>
      <c r="I51" s="88">
        <v>0</v>
      </c>
      <c r="J51" s="86">
        <v>2</v>
      </c>
      <c r="K51" s="86">
        <v>34</v>
      </c>
      <c r="L51" s="85">
        <v>2</v>
      </c>
    </row>
    <row r="52" spans="1:12" x14ac:dyDescent="0.3">
      <c r="A52" s="83">
        <v>51</v>
      </c>
      <c r="B52" s="84">
        <v>75.36</v>
      </c>
      <c r="C52" s="84">
        <v>23.56</v>
      </c>
      <c r="D52" s="85">
        <v>1978</v>
      </c>
      <c r="E52" s="86">
        <v>9</v>
      </c>
      <c r="F52" s="85">
        <v>27</v>
      </c>
      <c r="G52" s="84">
        <v>4.9000000000000004</v>
      </c>
      <c r="H52" s="87" t="s">
        <v>26</v>
      </c>
      <c r="I52" s="88">
        <v>0</v>
      </c>
      <c r="J52" s="86">
        <v>22</v>
      </c>
      <c r="K52" s="86">
        <v>54</v>
      </c>
      <c r="L52" s="85">
        <v>1</v>
      </c>
    </row>
    <row r="53" spans="1:12" x14ac:dyDescent="0.3">
      <c r="A53" s="83">
        <v>52</v>
      </c>
      <c r="B53" s="89">
        <v>74</v>
      </c>
      <c r="C53" s="89">
        <v>23.4</v>
      </c>
      <c r="D53" s="42">
        <v>1982</v>
      </c>
      <c r="E53" s="90">
        <v>4</v>
      </c>
      <c r="F53" s="42">
        <v>26</v>
      </c>
      <c r="G53" s="89">
        <v>4.8</v>
      </c>
      <c r="H53" s="42" t="s">
        <v>11</v>
      </c>
      <c r="I53" s="91">
        <v>0</v>
      </c>
      <c r="J53" s="90">
        <v>6</v>
      </c>
      <c r="K53" s="90">
        <v>6</v>
      </c>
      <c r="L53" s="42" t="s">
        <v>12</v>
      </c>
    </row>
    <row r="54" spans="1:12" x14ac:dyDescent="0.3">
      <c r="A54" s="83">
        <v>53</v>
      </c>
      <c r="B54" s="89">
        <v>73.683199999999999</v>
      </c>
      <c r="C54" s="89">
        <v>19.670999999999999</v>
      </c>
      <c r="D54" s="42">
        <v>1983</v>
      </c>
      <c r="E54" s="90">
        <v>9</v>
      </c>
      <c r="F54" s="42">
        <v>14</v>
      </c>
      <c r="G54" s="89">
        <v>4.3</v>
      </c>
      <c r="H54" s="42" t="s">
        <v>2</v>
      </c>
      <c r="I54" s="91">
        <v>35</v>
      </c>
      <c r="J54" s="90">
        <v>21</v>
      </c>
      <c r="K54" s="90">
        <v>53</v>
      </c>
      <c r="L54" s="42" t="s">
        <v>10</v>
      </c>
    </row>
    <row r="55" spans="1:12" x14ac:dyDescent="0.3">
      <c r="A55" s="83">
        <v>54</v>
      </c>
      <c r="B55" s="89">
        <v>73.760000000000005</v>
      </c>
      <c r="C55" s="89">
        <v>19.693999999999999</v>
      </c>
      <c r="D55" s="42">
        <v>1983</v>
      </c>
      <c r="E55" s="90">
        <v>9</v>
      </c>
      <c r="F55" s="42">
        <v>14</v>
      </c>
      <c r="G55" s="89">
        <v>4.5</v>
      </c>
      <c r="H55" s="42" t="s">
        <v>2</v>
      </c>
      <c r="I55" s="91">
        <v>33</v>
      </c>
      <c r="J55" s="90">
        <v>21</v>
      </c>
      <c r="K55" s="90">
        <v>53</v>
      </c>
      <c r="L55" s="42" t="s">
        <v>25</v>
      </c>
    </row>
    <row r="56" spans="1:12" x14ac:dyDescent="0.3">
      <c r="A56" s="83">
        <v>55</v>
      </c>
      <c r="B56" s="84">
        <v>73.540000000000006</v>
      </c>
      <c r="C56" s="84">
        <v>19.64</v>
      </c>
      <c r="D56" s="85">
        <v>1983</v>
      </c>
      <c r="E56" s="86">
        <v>9</v>
      </c>
      <c r="F56" s="85">
        <v>14</v>
      </c>
      <c r="G56" s="84">
        <v>4.2</v>
      </c>
      <c r="H56" s="87" t="s">
        <v>26</v>
      </c>
      <c r="I56" s="88">
        <v>33</v>
      </c>
      <c r="J56" s="86">
        <v>21</v>
      </c>
      <c r="K56" s="86">
        <v>53</v>
      </c>
      <c r="L56" s="85">
        <v>2</v>
      </c>
    </row>
    <row r="57" spans="1:12" x14ac:dyDescent="0.3">
      <c r="A57" s="83">
        <v>56</v>
      </c>
      <c r="B57" s="89">
        <v>73.540000000000006</v>
      </c>
      <c r="C57" s="89">
        <v>19.64</v>
      </c>
      <c r="D57" s="42">
        <v>1983</v>
      </c>
      <c r="E57" s="90">
        <v>9</v>
      </c>
      <c r="F57" s="42">
        <v>15</v>
      </c>
      <c r="G57" s="89">
        <v>4.3</v>
      </c>
      <c r="H57" s="42" t="s">
        <v>26</v>
      </c>
      <c r="I57" s="91">
        <v>33</v>
      </c>
      <c r="J57" s="90">
        <v>3</v>
      </c>
      <c r="K57" s="90">
        <v>23</v>
      </c>
      <c r="L57" s="42" t="s">
        <v>27</v>
      </c>
    </row>
    <row r="58" spans="1:12" x14ac:dyDescent="0.3">
      <c r="A58" s="83">
        <v>57</v>
      </c>
      <c r="B58" s="84">
        <v>74.84</v>
      </c>
      <c r="C58" s="84">
        <v>24.33</v>
      </c>
      <c r="D58" s="85">
        <v>1984</v>
      </c>
      <c r="E58" s="86">
        <v>12</v>
      </c>
      <c r="F58" s="86">
        <v>8</v>
      </c>
      <c r="G58" s="84">
        <v>4.2</v>
      </c>
      <c r="H58" s="87" t="s">
        <v>26</v>
      </c>
      <c r="I58" s="88">
        <v>107</v>
      </c>
      <c r="J58" s="86">
        <v>23</v>
      </c>
      <c r="K58" s="86">
        <v>47</v>
      </c>
      <c r="L58" s="85">
        <v>2</v>
      </c>
    </row>
    <row r="59" spans="1:12" x14ac:dyDescent="0.3">
      <c r="A59" s="83">
        <v>58</v>
      </c>
      <c r="B59" s="89">
        <v>74.84</v>
      </c>
      <c r="C59" s="89">
        <v>24.33</v>
      </c>
      <c r="D59" s="42">
        <v>1984</v>
      </c>
      <c r="E59" s="90">
        <v>12</v>
      </c>
      <c r="F59" s="42">
        <v>9</v>
      </c>
      <c r="G59" s="89">
        <v>4.3</v>
      </c>
      <c r="H59" s="42" t="s">
        <v>26</v>
      </c>
      <c r="I59" s="91">
        <v>107</v>
      </c>
      <c r="J59" s="90">
        <v>5</v>
      </c>
      <c r="K59" s="90">
        <v>17</v>
      </c>
      <c r="L59" s="42" t="s">
        <v>27</v>
      </c>
    </row>
    <row r="60" spans="1:12" x14ac:dyDescent="0.3">
      <c r="A60" s="83">
        <v>59</v>
      </c>
      <c r="B60" s="89">
        <v>73.7316</v>
      </c>
      <c r="C60" s="89">
        <v>20.5078</v>
      </c>
      <c r="D60" s="42">
        <v>1986</v>
      </c>
      <c r="E60" s="90">
        <v>2</v>
      </c>
      <c r="F60" s="42">
        <v>26</v>
      </c>
      <c r="G60" s="89">
        <v>4.3</v>
      </c>
      <c r="H60" s="42" t="s">
        <v>2</v>
      </c>
      <c r="I60" s="91">
        <v>35</v>
      </c>
      <c r="J60" s="90">
        <v>12</v>
      </c>
      <c r="K60" s="90">
        <v>47</v>
      </c>
      <c r="L60" s="42" t="s">
        <v>13</v>
      </c>
    </row>
    <row r="61" spans="1:12" x14ac:dyDescent="0.3">
      <c r="A61" s="83">
        <v>60</v>
      </c>
      <c r="B61" s="89">
        <v>73.722999999999999</v>
      </c>
      <c r="C61" s="89">
        <v>20.481999999999999</v>
      </c>
      <c r="D61" s="42">
        <v>1986</v>
      </c>
      <c r="E61" s="90">
        <v>2</v>
      </c>
      <c r="F61" s="42">
        <v>26</v>
      </c>
      <c r="G61" s="89">
        <v>4.3</v>
      </c>
      <c r="H61" s="42" t="s">
        <v>2</v>
      </c>
      <c r="I61" s="91">
        <v>33</v>
      </c>
      <c r="J61" s="90">
        <v>12</v>
      </c>
      <c r="K61" s="90">
        <v>47</v>
      </c>
      <c r="L61" s="42" t="s">
        <v>25</v>
      </c>
    </row>
    <row r="62" spans="1:12" x14ac:dyDescent="0.3">
      <c r="A62" s="83">
        <v>61</v>
      </c>
      <c r="B62" s="89">
        <v>73.900000000000006</v>
      </c>
      <c r="C62" s="89">
        <v>20.58</v>
      </c>
      <c r="D62" s="42">
        <v>1986</v>
      </c>
      <c r="E62" s="90">
        <v>2</v>
      </c>
      <c r="F62" s="42">
        <v>26</v>
      </c>
      <c r="G62" s="89">
        <v>4.3</v>
      </c>
      <c r="H62" s="42" t="s">
        <v>26</v>
      </c>
      <c r="I62" s="91">
        <v>33</v>
      </c>
      <c r="J62" s="90">
        <v>18</v>
      </c>
      <c r="K62" s="90">
        <v>17</v>
      </c>
      <c r="L62" s="42" t="s">
        <v>27</v>
      </c>
    </row>
    <row r="63" spans="1:12" x14ac:dyDescent="0.3">
      <c r="A63" s="83">
        <v>62</v>
      </c>
      <c r="B63" s="89">
        <v>77.165999999999997</v>
      </c>
      <c r="C63" s="89">
        <v>26.532800000000002</v>
      </c>
      <c r="D63" s="42">
        <v>1986</v>
      </c>
      <c r="E63" s="90">
        <v>11</v>
      </c>
      <c r="F63" s="42">
        <v>2</v>
      </c>
      <c r="G63" s="89">
        <v>4.0999999999999996</v>
      </c>
      <c r="H63" s="42" t="s">
        <v>11</v>
      </c>
      <c r="I63" s="91">
        <v>10</v>
      </c>
      <c r="J63" s="90">
        <v>6</v>
      </c>
      <c r="K63" s="90">
        <v>16</v>
      </c>
      <c r="L63" s="42" t="s">
        <v>12</v>
      </c>
    </row>
    <row r="64" spans="1:12" x14ac:dyDescent="0.3">
      <c r="A64" s="83">
        <v>63</v>
      </c>
      <c r="B64" s="89">
        <v>73.453900000000004</v>
      </c>
      <c r="C64" s="89">
        <v>24.545400000000001</v>
      </c>
      <c r="D64" s="42">
        <v>1986</v>
      </c>
      <c r="E64" s="90">
        <v>11</v>
      </c>
      <c r="F64" s="42">
        <v>15</v>
      </c>
      <c r="G64" s="89">
        <v>4.8</v>
      </c>
      <c r="H64" s="42" t="s">
        <v>11</v>
      </c>
      <c r="I64" s="91">
        <v>10</v>
      </c>
      <c r="J64" s="90">
        <v>0</v>
      </c>
      <c r="K64" s="90">
        <v>25</v>
      </c>
      <c r="L64" s="42" t="s">
        <v>12</v>
      </c>
    </row>
    <row r="65" spans="1:12" x14ac:dyDescent="0.3">
      <c r="A65" s="83">
        <v>64</v>
      </c>
      <c r="B65" s="89">
        <v>73.599999999999994</v>
      </c>
      <c r="C65" s="89">
        <v>24.45</v>
      </c>
      <c r="D65" s="42">
        <v>1986</v>
      </c>
      <c r="E65" s="90">
        <v>11</v>
      </c>
      <c r="F65" s="42">
        <v>15</v>
      </c>
      <c r="G65" s="89">
        <v>4.0999999999999996</v>
      </c>
      <c r="H65" s="42" t="s">
        <v>26</v>
      </c>
      <c r="I65" s="91">
        <v>22</v>
      </c>
      <c r="J65" s="90">
        <v>5</v>
      </c>
      <c r="K65" s="90">
        <v>55</v>
      </c>
      <c r="L65" s="42" t="s">
        <v>27</v>
      </c>
    </row>
    <row r="66" spans="1:12" x14ac:dyDescent="0.3">
      <c r="A66" s="83">
        <v>65</v>
      </c>
      <c r="B66" s="89">
        <v>79.353899999999996</v>
      </c>
      <c r="C66" s="89">
        <v>22.473199999999999</v>
      </c>
      <c r="D66" s="42">
        <v>1987</v>
      </c>
      <c r="E66" s="90">
        <v>4</v>
      </c>
      <c r="F66" s="42">
        <v>18</v>
      </c>
      <c r="G66" s="89">
        <v>4.9000000000000004</v>
      </c>
      <c r="H66" s="42" t="s">
        <v>2</v>
      </c>
      <c r="I66" s="91">
        <v>35</v>
      </c>
      <c r="J66" s="90">
        <v>16</v>
      </c>
      <c r="K66" s="90">
        <v>59</v>
      </c>
      <c r="L66" s="42" t="s">
        <v>10</v>
      </c>
    </row>
    <row r="67" spans="1:12" x14ac:dyDescent="0.3">
      <c r="A67" s="83">
        <v>66</v>
      </c>
      <c r="B67" s="89">
        <v>79.259</v>
      </c>
      <c r="C67" s="89">
        <v>22.346</v>
      </c>
      <c r="D67" s="42">
        <v>1987</v>
      </c>
      <c r="E67" s="90">
        <v>4</v>
      </c>
      <c r="F67" s="42">
        <v>18</v>
      </c>
      <c r="G67" s="89">
        <v>4.9000000000000004</v>
      </c>
      <c r="H67" s="42" t="s">
        <v>2</v>
      </c>
      <c r="I67" s="91">
        <v>33</v>
      </c>
      <c r="J67" s="90">
        <v>16</v>
      </c>
      <c r="K67" s="90">
        <v>59</v>
      </c>
      <c r="L67" s="42" t="s">
        <v>25</v>
      </c>
    </row>
    <row r="68" spans="1:12" x14ac:dyDescent="0.3">
      <c r="A68" s="83">
        <v>67</v>
      </c>
      <c r="B68" s="84">
        <v>79.239999999999995</v>
      </c>
      <c r="C68" s="84">
        <v>22.53</v>
      </c>
      <c r="D68" s="85">
        <v>1987</v>
      </c>
      <c r="E68" s="86">
        <v>4</v>
      </c>
      <c r="F68" s="85">
        <v>18</v>
      </c>
      <c r="G68" s="84">
        <v>4.7</v>
      </c>
      <c r="H68" s="87" t="s">
        <v>26</v>
      </c>
      <c r="I68" s="88">
        <v>20</v>
      </c>
      <c r="J68" s="86">
        <v>16</v>
      </c>
      <c r="K68" s="86">
        <v>59</v>
      </c>
      <c r="L68" s="85">
        <v>2</v>
      </c>
    </row>
    <row r="69" spans="1:12" x14ac:dyDescent="0.3">
      <c r="A69" s="83">
        <v>68</v>
      </c>
      <c r="B69" s="89">
        <v>79.239999999999995</v>
      </c>
      <c r="C69" s="89">
        <v>22.53</v>
      </c>
      <c r="D69" s="42">
        <v>1987</v>
      </c>
      <c r="E69" s="90">
        <v>4</v>
      </c>
      <c r="F69" s="42">
        <v>18</v>
      </c>
      <c r="G69" s="89">
        <v>4.8</v>
      </c>
      <c r="H69" s="42" t="s">
        <v>26</v>
      </c>
      <c r="I69" s="91">
        <v>20</v>
      </c>
      <c r="J69" s="90">
        <v>22</v>
      </c>
      <c r="K69" s="90">
        <v>29</v>
      </c>
      <c r="L69" s="42" t="s">
        <v>27</v>
      </c>
    </row>
    <row r="70" spans="1:12" x14ac:dyDescent="0.3">
      <c r="A70" s="83">
        <v>69</v>
      </c>
      <c r="B70" s="89">
        <v>72.900000000000006</v>
      </c>
      <c r="C70" s="89">
        <v>20.100000000000001</v>
      </c>
      <c r="D70" s="42">
        <v>1989</v>
      </c>
      <c r="E70" s="90">
        <v>6</v>
      </c>
      <c r="F70" s="42">
        <v>21</v>
      </c>
      <c r="G70" s="89">
        <v>4.0999999999999996</v>
      </c>
      <c r="H70" s="42" t="s">
        <v>26</v>
      </c>
      <c r="I70" s="91">
        <v>33</v>
      </c>
      <c r="J70" s="90">
        <v>21</v>
      </c>
      <c r="K70" s="90">
        <v>5</v>
      </c>
      <c r="L70" s="42" t="s">
        <v>27</v>
      </c>
    </row>
    <row r="71" spans="1:12" x14ac:dyDescent="0.3">
      <c r="A71" s="83">
        <v>70</v>
      </c>
      <c r="B71" s="84">
        <v>71.599999999999994</v>
      </c>
      <c r="C71" s="84">
        <v>18.350000000000001</v>
      </c>
      <c r="D71" s="85">
        <v>1991</v>
      </c>
      <c r="E71" s="86">
        <v>8</v>
      </c>
      <c r="F71" s="85">
        <v>12</v>
      </c>
      <c r="G71" s="84">
        <v>3.9</v>
      </c>
      <c r="H71" s="87" t="s">
        <v>26</v>
      </c>
      <c r="I71" s="88">
        <v>33</v>
      </c>
      <c r="J71" s="86">
        <v>16</v>
      </c>
      <c r="K71" s="86">
        <v>41</v>
      </c>
      <c r="L71" s="85">
        <v>2</v>
      </c>
    </row>
    <row r="72" spans="1:12" x14ac:dyDescent="0.3">
      <c r="A72" s="83">
        <v>71</v>
      </c>
      <c r="B72" s="84">
        <v>74.099999999999994</v>
      </c>
      <c r="C72" s="84">
        <v>24.1</v>
      </c>
      <c r="D72" s="85">
        <v>1992</v>
      </c>
      <c r="E72" s="86">
        <v>5</v>
      </c>
      <c r="F72" s="85">
        <v>30</v>
      </c>
      <c r="G72" s="84">
        <v>4.4000000000000004</v>
      </c>
      <c r="H72" s="87" t="s">
        <v>26</v>
      </c>
      <c r="I72" s="88">
        <v>33</v>
      </c>
      <c r="J72" s="86">
        <v>20</v>
      </c>
      <c r="K72" s="86">
        <v>17</v>
      </c>
      <c r="L72" s="85">
        <v>2</v>
      </c>
    </row>
    <row r="73" spans="1:12" x14ac:dyDescent="0.3">
      <c r="A73" s="83">
        <v>72</v>
      </c>
      <c r="B73" s="89">
        <v>74.099999999999994</v>
      </c>
      <c r="C73" s="89">
        <v>24.1</v>
      </c>
      <c r="D73" s="42">
        <v>1992</v>
      </c>
      <c r="E73" s="90">
        <v>5</v>
      </c>
      <c r="F73" s="42">
        <v>31</v>
      </c>
      <c r="G73" s="89">
        <v>4.5</v>
      </c>
      <c r="H73" s="42" t="s">
        <v>26</v>
      </c>
      <c r="I73" s="91">
        <v>33</v>
      </c>
      <c r="J73" s="90">
        <v>1</v>
      </c>
      <c r="K73" s="90">
        <v>47</v>
      </c>
      <c r="L73" s="42" t="s">
        <v>27</v>
      </c>
    </row>
    <row r="74" spans="1:12" x14ac:dyDescent="0.3">
      <c r="A74" s="83">
        <v>73</v>
      </c>
      <c r="B74" s="89">
        <v>71.543300000000002</v>
      </c>
      <c r="C74" s="89">
        <v>20.7271</v>
      </c>
      <c r="D74" s="42">
        <v>1993</v>
      </c>
      <c r="E74" s="90">
        <v>8</v>
      </c>
      <c r="F74" s="42">
        <v>24</v>
      </c>
      <c r="G74" s="89">
        <v>5</v>
      </c>
      <c r="H74" s="42" t="s">
        <v>2</v>
      </c>
      <c r="I74" s="91">
        <v>23.9</v>
      </c>
      <c r="J74" s="90">
        <v>17</v>
      </c>
      <c r="K74" s="90">
        <v>47</v>
      </c>
      <c r="L74" s="42" t="s">
        <v>10</v>
      </c>
    </row>
    <row r="75" spans="1:12" x14ac:dyDescent="0.3">
      <c r="A75" s="83">
        <v>74</v>
      </c>
      <c r="B75" s="89">
        <v>76.62</v>
      </c>
      <c r="C75" s="89">
        <v>18.7</v>
      </c>
      <c r="D75" s="42">
        <v>1993</v>
      </c>
      <c r="E75" s="90">
        <v>9</v>
      </c>
      <c r="F75" s="42">
        <v>30</v>
      </c>
      <c r="G75" s="89">
        <v>6.3</v>
      </c>
      <c r="H75" s="42" t="s">
        <v>26</v>
      </c>
      <c r="I75" s="91">
        <v>12</v>
      </c>
      <c r="J75" s="90">
        <v>3</v>
      </c>
      <c r="K75" s="90">
        <v>55</v>
      </c>
      <c r="L75" s="42" t="s">
        <v>27</v>
      </c>
    </row>
    <row r="76" spans="1:12" x14ac:dyDescent="0.3">
      <c r="A76" s="83">
        <v>75</v>
      </c>
      <c r="B76" s="84">
        <v>80</v>
      </c>
      <c r="C76" s="84">
        <v>23</v>
      </c>
      <c r="D76" s="85">
        <v>1993</v>
      </c>
      <c r="E76" s="86">
        <v>10</v>
      </c>
      <c r="F76" s="85">
        <v>31</v>
      </c>
      <c r="G76" s="84">
        <v>4.5999999999999996</v>
      </c>
      <c r="H76" s="87" t="s">
        <v>26</v>
      </c>
      <c r="I76" s="88">
        <v>0</v>
      </c>
      <c r="J76" s="86">
        <v>3</v>
      </c>
      <c r="K76" s="86">
        <v>47</v>
      </c>
      <c r="L76" s="85">
        <v>2</v>
      </c>
    </row>
    <row r="77" spans="1:12" x14ac:dyDescent="0.3">
      <c r="A77" s="83">
        <v>76</v>
      </c>
      <c r="B77" s="89">
        <v>80</v>
      </c>
      <c r="C77" s="89">
        <v>23</v>
      </c>
      <c r="D77" s="42">
        <v>1993</v>
      </c>
      <c r="E77" s="90">
        <v>10</v>
      </c>
      <c r="F77" s="42">
        <v>31</v>
      </c>
      <c r="G77" s="89">
        <v>4.7</v>
      </c>
      <c r="H77" s="42" t="s">
        <v>26</v>
      </c>
      <c r="I77" s="91">
        <v>0</v>
      </c>
      <c r="J77" s="90">
        <v>9</v>
      </c>
      <c r="K77" s="90">
        <v>17</v>
      </c>
      <c r="L77" s="42" t="s">
        <v>27</v>
      </c>
    </row>
    <row r="78" spans="1:12" x14ac:dyDescent="0.3">
      <c r="A78" s="83">
        <v>77</v>
      </c>
      <c r="B78" s="89">
        <v>72.720600000000005</v>
      </c>
      <c r="C78" s="89">
        <v>21.128799999999998</v>
      </c>
      <c r="D78" s="42">
        <v>1993</v>
      </c>
      <c r="E78" s="90">
        <v>12</v>
      </c>
      <c r="F78" s="42">
        <v>31</v>
      </c>
      <c r="G78" s="89">
        <v>3.8</v>
      </c>
      <c r="H78" s="42" t="s">
        <v>2</v>
      </c>
      <c r="I78" s="91">
        <v>35</v>
      </c>
      <c r="J78" s="90">
        <v>13</v>
      </c>
      <c r="K78" s="90">
        <v>32</v>
      </c>
      <c r="L78" s="42" t="s">
        <v>14</v>
      </c>
    </row>
    <row r="79" spans="1:12" x14ac:dyDescent="0.3">
      <c r="A79" s="83">
        <v>78</v>
      </c>
      <c r="B79" s="89">
        <v>72.739999999999995</v>
      </c>
      <c r="C79" s="89">
        <v>21.117000000000001</v>
      </c>
      <c r="D79" s="42">
        <v>1993</v>
      </c>
      <c r="E79" s="90">
        <v>12</v>
      </c>
      <c r="F79" s="42">
        <v>31</v>
      </c>
      <c r="G79" s="89">
        <v>3.8</v>
      </c>
      <c r="H79" s="42" t="s">
        <v>2</v>
      </c>
      <c r="I79" s="91">
        <v>33</v>
      </c>
      <c r="J79" s="90">
        <v>13</v>
      </c>
      <c r="K79" s="90">
        <v>32</v>
      </c>
      <c r="L79" s="42" t="s">
        <v>25</v>
      </c>
    </row>
    <row r="80" spans="1:12" x14ac:dyDescent="0.3">
      <c r="A80" s="83">
        <v>79</v>
      </c>
      <c r="B80" s="84">
        <v>72.72</v>
      </c>
      <c r="C80" s="84">
        <v>21.12</v>
      </c>
      <c r="D80" s="85">
        <v>1993</v>
      </c>
      <c r="E80" s="86">
        <v>12</v>
      </c>
      <c r="F80" s="85">
        <v>31</v>
      </c>
      <c r="G80" s="84">
        <v>4.2</v>
      </c>
      <c r="H80" s="87" t="s">
        <v>26</v>
      </c>
      <c r="I80" s="88">
        <v>35.200000000000003</v>
      </c>
      <c r="J80" s="86">
        <v>13</v>
      </c>
      <c r="K80" s="86">
        <v>32</v>
      </c>
      <c r="L80" s="85">
        <v>1</v>
      </c>
    </row>
    <row r="81" spans="1:12" x14ac:dyDescent="0.3">
      <c r="A81" s="83">
        <v>80</v>
      </c>
      <c r="B81" s="89">
        <v>78.654799999999994</v>
      </c>
      <c r="C81" s="89">
        <v>25.9908</v>
      </c>
      <c r="D81" s="42">
        <v>1994</v>
      </c>
      <c r="E81" s="90">
        <v>8</v>
      </c>
      <c r="F81" s="42">
        <v>31</v>
      </c>
      <c r="G81" s="89">
        <v>4.7</v>
      </c>
      <c r="H81" s="42" t="s">
        <v>2</v>
      </c>
      <c r="I81" s="91">
        <v>23.5</v>
      </c>
      <c r="J81" s="90">
        <v>23</v>
      </c>
      <c r="K81" s="90">
        <v>29</v>
      </c>
      <c r="L81" s="42" t="s">
        <v>10</v>
      </c>
    </row>
    <row r="82" spans="1:12" x14ac:dyDescent="0.3">
      <c r="A82" s="83">
        <v>81</v>
      </c>
      <c r="B82" s="89">
        <v>78.566000000000003</v>
      </c>
      <c r="C82" s="89">
        <v>25.850999999999999</v>
      </c>
      <c r="D82" s="42">
        <v>1994</v>
      </c>
      <c r="E82" s="90">
        <v>8</v>
      </c>
      <c r="F82" s="42">
        <v>31</v>
      </c>
      <c r="G82" s="89">
        <v>4.7</v>
      </c>
      <c r="H82" s="42" t="s">
        <v>2</v>
      </c>
      <c r="I82" s="91">
        <v>33</v>
      </c>
      <c r="J82" s="90">
        <v>23</v>
      </c>
      <c r="K82" s="90">
        <v>29</v>
      </c>
      <c r="L82" s="42" t="s">
        <v>25</v>
      </c>
    </row>
    <row r="83" spans="1:12" x14ac:dyDescent="0.3">
      <c r="A83" s="83">
        <v>82</v>
      </c>
      <c r="B83" s="84">
        <v>78.599999999999994</v>
      </c>
      <c r="C83" s="84">
        <v>25.9</v>
      </c>
      <c r="D83" s="85">
        <v>1994</v>
      </c>
      <c r="E83" s="86">
        <v>8</v>
      </c>
      <c r="F83" s="85">
        <v>31</v>
      </c>
      <c r="G83" s="84">
        <v>4.5999999999999996</v>
      </c>
      <c r="H83" s="87" t="s">
        <v>26</v>
      </c>
      <c r="I83" s="88">
        <v>33</v>
      </c>
      <c r="J83" s="86">
        <v>23</v>
      </c>
      <c r="K83" s="86">
        <v>29</v>
      </c>
      <c r="L83" s="85">
        <v>2</v>
      </c>
    </row>
    <row r="84" spans="1:12" x14ac:dyDescent="0.3">
      <c r="A84" s="83">
        <v>83</v>
      </c>
      <c r="B84" s="89">
        <v>78.599999999999994</v>
      </c>
      <c r="C84" s="89">
        <v>25.9</v>
      </c>
      <c r="D84" s="42">
        <v>1994</v>
      </c>
      <c r="E84" s="90">
        <v>9</v>
      </c>
      <c r="F84" s="42">
        <v>1</v>
      </c>
      <c r="G84" s="89">
        <v>4.7</v>
      </c>
      <c r="H84" s="42" t="s">
        <v>26</v>
      </c>
      <c r="I84" s="91">
        <v>33</v>
      </c>
      <c r="J84" s="90">
        <v>4</v>
      </c>
      <c r="K84" s="90">
        <v>59</v>
      </c>
      <c r="L84" s="42" t="s">
        <v>27</v>
      </c>
    </row>
    <row r="85" spans="1:12" x14ac:dyDescent="0.3">
      <c r="A85" s="83">
        <v>84</v>
      </c>
      <c r="B85" s="84">
        <v>78.3</v>
      </c>
      <c r="C85" s="84">
        <v>22.7</v>
      </c>
      <c r="D85" s="85">
        <v>1995</v>
      </c>
      <c r="E85" s="86">
        <v>5</v>
      </c>
      <c r="F85" s="86">
        <v>2</v>
      </c>
      <c r="G85" s="84">
        <v>4.3</v>
      </c>
      <c r="H85" s="87" t="s">
        <v>26</v>
      </c>
      <c r="I85" s="88">
        <v>33</v>
      </c>
      <c r="J85" s="86">
        <v>0</v>
      </c>
      <c r="K85" s="86">
        <v>46</v>
      </c>
      <c r="L85" s="85">
        <v>2</v>
      </c>
    </row>
    <row r="86" spans="1:12" x14ac:dyDescent="0.3">
      <c r="A86" s="83">
        <v>85</v>
      </c>
      <c r="B86" s="89">
        <v>78.3</v>
      </c>
      <c r="C86" s="89">
        <v>22.7</v>
      </c>
      <c r="D86" s="42">
        <v>1995</v>
      </c>
      <c r="E86" s="90">
        <v>5</v>
      </c>
      <c r="F86" s="42">
        <v>2</v>
      </c>
      <c r="G86" s="89">
        <v>4.4000000000000004</v>
      </c>
      <c r="H86" s="42" t="s">
        <v>26</v>
      </c>
      <c r="I86" s="91">
        <v>33</v>
      </c>
      <c r="J86" s="90">
        <v>6</v>
      </c>
      <c r="K86" s="90">
        <v>16</v>
      </c>
      <c r="L86" s="42" t="s">
        <v>27</v>
      </c>
    </row>
    <row r="87" spans="1:12" x14ac:dyDescent="0.3">
      <c r="A87" s="83">
        <v>86</v>
      </c>
      <c r="B87" s="89">
        <v>75.900000000000006</v>
      </c>
      <c r="C87" s="89">
        <v>19.899999999999999</v>
      </c>
      <c r="D87" s="42">
        <v>1995</v>
      </c>
      <c r="E87" s="90">
        <v>11</v>
      </c>
      <c r="F87" s="42">
        <v>7</v>
      </c>
      <c r="G87" s="89">
        <v>3.4</v>
      </c>
      <c r="H87" s="42" t="s">
        <v>26</v>
      </c>
      <c r="I87" s="91">
        <v>33</v>
      </c>
      <c r="J87" s="90">
        <v>11</v>
      </c>
      <c r="K87" s="90">
        <v>48</v>
      </c>
      <c r="L87" s="42" t="s">
        <v>27</v>
      </c>
    </row>
    <row r="88" spans="1:12" x14ac:dyDescent="0.3">
      <c r="A88" s="83">
        <v>87</v>
      </c>
      <c r="B88" s="89">
        <v>74.400000000000006</v>
      </c>
      <c r="C88" s="89">
        <v>25.3</v>
      </c>
      <c r="D88" s="42">
        <v>1995</v>
      </c>
      <c r="E88" s="90">
        <v>12</v>
      </c>
      <c r="F88" s="42">
        <v>19</v>
      </c>
      <c r="G88" s="89">
        <v>3.3</v>
      </c>
      <c r="H88" s="42" t="s">
        <v>26</v>
      </c>
      <c r="I88" s="91">
        <v>33</v>
      </c>
      <c r="J88" s="90">
        <v>5</v>
      </c>
      <c r="K88" s="90">
        <v>15</v>
      </c>
      <c r="L88" s="42" t="s">
        <v>27</v>
      </c>
    </row>
    <row r="89" spans="1:12" x14ac:dyDescent="0.3">
      <c r="A89" s="83">
        <v>88</v>
      </c>
      <c r="B89" s="84">
        <v>73.3</v>
      </c>
      <c r="C89" s="84">
        <v>24.7</v>
      </c>
      <c r="D89" s="85">
        <v>1996</v>
      </c>
      <c r="E89" s="86">
        <v>1</v>
      </c>
      <c r="F89" s="86">
        <v>4</v>
      </c>
      <c r="G89" s="84">
        <v>4.2</v>
      </c>
      <c r="H89" s="87" t="s">
        <v>26</v>
      </c>
      <c r="I89" s="88">
        <v>33</v>
      </c>
      <c r="J89" s="86">
        <v>7</v>
      </c>
      <c r="K89" s="86">
        <v>30</v>
      </c>
      <c r="L89" s="85">
        <v>2</v>
      </c>
    </row>
    <row r="90" spans="1:12" x14ac:dyDescent="0.3">
      <c r="A90" s="83">
        <v>89</v>
      </c>
      <c r="B90" s="89">
        <v>73.3</v>
      </c>
      <c r="C90" s="89">
        <v>24.7</v>
      </c>
      <c r="D90" s="42">
        <v>1996</v>
      </c>
      <c r="E90" s="90">
        <v>1</v>
      </c>
      <c r="F90" s="42">
        <v>4</v>
      </c>
      <c r="G90" s="89">
        <v>4.3</v>
      </c>
      <c r="H90" s="42" t="s">
        <v>26</v>
      </c>
      <c r="I90" s="91">
        <v>33</v>
      </c>
      <c r="J90" s="90">
        <v>13</v>
      </c>
      <c r="K90" s="90">
        <v>0</v>
      </c>
      <c r="L90" s="42" t="s">
        <v>27</v>
      </c>
    </row>
    <row r="91" spans="1:12" x14ac:dyDescent="0.3">
      <c r="A91" s="83">
        <v>90</v>
      </c>
      <c r="B91" s="89">
        <v>77.644499999999994</v>
      </c>
      <c r="C91" s="89">
        <v>22.251899999999999</v>
      </c>
      <c r="D91" s="42">
        <v>1996</v>
      </c>
      <c r="E91" s="90">
        <v>1</v>
      </c>
      <c r="F91" s="42">
        <v>10</v>
      </c>
      <c r="G91" s="89">
        <v>4.0999999999999996</v>
      </c>
      <c r="H91" s="42" t="s">
        <v>2</v>
      </c>
      <c r="I91" s="91">
        <v>35</v>
      </c>
      <c r="J91" s="90">
        <v>10</v>
      </c>
      <c r="K91" s="90">
        <v>37</v>
      </c>
      <c r="L91" s="42" t="s">
        <v>10</v>
      </c>
    </row>
    <row r="92" spans="1:12" x14ac:dyDescent="0.3">
      <c r="A92" s="83">
        <v>91</v>
      </c>
      <c r="B92" s="89">
        <v>77.665999999999997</v>
      </c>
      <c r="C92" s="89">
        <v>22.173999999999999</v>
      </c>
      <c r="D92" s="42">
        <v>1996</v>
      </c>
      <c r="E92" s="90">
        <v>1</v>
      </c>
      <c r="F92" s="42">
        <v>10</v>
      </c>
      <c r="G92" s="89">
        <v>4</v>
      </c>
      <c r="H92" s="42" t="s">
        <v>2</v>
      </c>
      <c r="I92" s="91">
        <v>10</v>
      </c>
      <c r="J92" s="90">
        <v>10</v>
      </c>
      <c r="K92" s="90">
        <v>37</v>
      </c>
      <c r="L92" s="42" t="s">
        <v>25</v>
      </c>
    </row>
    <row r="93" spans="1:12" x14ac:dyDescent="0.3">
      <c r="A93" s="83">
        <v>92</v>
      </c>
      <c r="B93" s="84">
        <v>77.599999999999994</v>
      </c>
      <c r="C93" s="84">
        <v>22.2</v>
      </c>
      <c r="D93" s="85">
        <v>1996</v>
      </c>
      <c r="E93" s="86">
        <v>1</v>
      </c>
      <c r="F93" s="85">
        <v>10</v>
      </c>
      <c r="G93" s="84">
        <v>3.9</v>
      </c>
      <c r="H93" s="87" t="s">
        <v>26</v>
      </c>
      <c r="I93" s="88">
        <v>33</v>
      </c>
      <c r="J93" s="86">
        <v>10</v>
      </c>
      <c r="K93" s="86">
        <v>37</v>
      </c>
      <c r="L93" s="85">
        <v>2</v>
      </c>
    </row>
    <row r="94" spans="1:12" x14ac:dyDescent="0.3">
      <c r="A94" s="83">
        <v>93</v>
      </c>
      <c r="B94" s="89">
        <v>77.599999999999994</v>
      </c>
      <c r="C94" s="89">
        <v>22.2</v>
      </c>
      <c r="D94" s="42">
        <v>1996</v>
      </c>
      <c r="E94" s="90">
        <v>1</v>
      </c>
      <c r="F94" s="42">
        <v>10</v>
      </c>
      <c r="G94" s="89">
        <v>4</v>
      </c>
      <c r="H94" s="42" t="s">
        <v>26</v>
      </c>
      <c r="I94" s="91">
        <v>33</v>
      </c>
      <c r="J94" s="90">
        <v>16</v>
      </c>
      <c r="K94" s="90">
        <v>7</v>
      </c>
      <c r="L94" s="42" t="s">
        <v>27</v>
      </c>
    </row>
    <row r="95" spans="1:12" x14ac:dyDescent="0.3">
      <c r="A95" s="83">
        <v>94</v>
      </c>
      <c r="B95" s="89">
        <v>77.599999999999994</v>
      </c>
      <c r="C95" s="89">
        <v>22.4</v>
      </c>
      <c r="D95" s="42">
        <v>1996</v>
      </c>
      <c r="E95" s="90">
        <v>1</v>
      </c>
      <c r="F95" s="42">
        <v>10</v>
      </c>
      <c r="G95" s="89">
        <v>4.5</v>
      </c>
      <c r="H95" s="42" t="s">
        <v>26</v>
      </c>
      <c r="I95" s="91">
        <v>33</v>
      </c>
      <c r="J95" s="90">
        <v>16</v>
      </c>
      <c r="K95" s="90">
        <v>7</v>
      </c>
      <c r="L95" s="42" t="s">
        <v>27</v>
      </c>
    </row>
    <row r="96" spans="1:12" x14ac:dyDescent="0.3">
      <c r="A96" s="83">
        <v>95</v>
      </c>
      <c r="B96" s="89">
        <v>76.099999999999994</v>
      </c>
      <c r="C96" s="89">
        <v>24.1</v>
      </c>
      <c r="D96" s="42">
        <v>1996</v>
      </c>
      <c r="E96" s="90">
        <v>2</v>
      </c>
      <c r="F96" s="42">
        <v>13</v>
      </c>
      <c r="G96" s="89">
        <v>3.6</v>
      </c>
      <c r="H96" s="42" t="s">
        <v>26</v>
      </c>
      <c r="I96" s="91">
        <v>33</v>
      </c>
      <c r="J96" s="90">
        <v>1</v>
      </c>
      <c r="K96" s="90">
        <v>50</v>
      </c>
      <c r="L96" s="42" t="s">
        <v>27</v>
      </c>
    </row>
    <row r="97" spans="1:12" x14ac:dyDescent="0.3">
      <c r="A97" s="83">
        <v>96</v>
      </c>
      <c r="B97" s="84">
        <v>72.62</v>
      </c>
      <c r="C97" s="84">
        <v>26.82</v>
      </c>
      <c r="D97" s="85">
        <v>1996</v>
      </c>
      <c r="E97" s="86">
        <v>2</v>
      </c>
      <c r="F97" s="85">
        <v>27</v>
      </c>
      <c r="G97" s="84">
        <v>4.3</v>
      </c>
      <c r="H97" s="87" t="s">
        <v>26</v>
      </c>
      <c r="I97" s="88">
        <v>0</v>
      </c>
      <c r="J97" s="86">
        <v>9</v>
      </c>
      <c r="K97" s="86">
        <v>4</v>
      </c>
      <c r="L97" s="85">
        <v>1</v>
      </c>
    </row>
    <row r="98" spans="1:12" x14ac:dyDescent="0.3">
      <c r="A98" s="83">
        <v>97</v>
      </c>
      <c r="B98" s="89">
        <v>74.5</v>
      </c>
      <c r="C98" s="89">
        <v>22.1</v>
      </c>
      <c r="D98" s="42">
        <v>1996</v>
      </c>
      <c r="E98" s="90">
        <v>3</v>
      </c>
      <c r="F98" s="42">
        <v>12</v>
      </c>
      <c r="G98" s="89">
        <v>3.5</v>
      </c>
      <c r="H98" s="42" t="s">
        <v>26</v>
      </c>
      <c r="I98" s="91">
        <v>33</v>
      </c>
      <c r="J98" s="90">
        <v>9</v>
      </c>
      <c r="K98" s="90">
        <v>38</v>
      </c>
      <c r="L98" s="42" t="s">
        <v>27</v>
      </c>
    </row>
    <row r="99" spans="1:12" x14ac:dyDescent="0.3">
      <c r="A99" s="83">
        <v>98</v>
      </c>
      <c r="B99" s="89">
        <v>77.2</v>
      </c>
      <c r="C99" s="89">
        <v>26.5</v>
      </c>
      <c r="D99" s="42">
        <v>1996</v>
      </c>
      <c r="E99" s="90">
        <v>7</v>
      </c>
      <c r="F99" s="42">
        <v>29</v>
      </c>
      <c r="G99" s="89">
        <v>3.5</v>
      </c>
      <c r="H99" s="42" t="s">
        <v>26</v>
      </c>
      <c r="I99" s="91">
        <v>0</v>
      </c>
      <c r="J99" s="90">
        <v>2</v>
      </c>
      <c r="K99" s="90">
        <v>24</v>
      </c>
      <c r="L99" s="42" t="s">
        <v>27</v>
      </c>
    </row>
    <row r="100" spans="1:12" x14ac:dyDescent="0.3">
      <c r="A100" s="83">
        <v>99</v>
      </c>
      <c r="B100" s="89">
        <v>76.727000000000004</v>
      </c>
      <c r="C100" s="89">
        <v>18.238600000000002</v>
      </c>
      <c r="D100" s="42">
        <v>1996</v>
      </c>
      <c r="E100" s="90">
        <v>11</v>
      </c>
      <c r="F100" s="42">
        <v>10</v>
      </c>
      <c r="G100" s="89">
        <v>4.3</v>
      </c>
      <c r="H100" s="42" t="s">
        <v>2</v>
      </c>
      <c r="I100" s="91">
        <v>35</v>
      </c>
      <c r="J100" s="90">
        <v>9</v>
      </c>
      <c r="K100" s="90">
        <v>0</v>
      </c>
      <c r="L100" s="42" t="s">
        <v>10</v>
      </c>
    </row>
    <row r="101" spans="1:12" x14ac:dyDescent="0.3">
      <c r="A101" s="83">
        <v>100</v>
      </c>
      <c r="B101" s="89">
        <v>76.694999999999993</v>
      </c>
      <c r="C101" s="89">
        <v>18.300999999999998</v>
      </c>
      <c r="D101" s="42">
        <v>1996</v>
      </c>
      <c r="E101" s="90">
        <v>11</v>
      </c>
      <c r="F101" s="42">
        <v>10</v>
      </c>
      <c r="G101" s="89">
        <v>4.0999999999999996</v>
      </c>
      <c r="H101" s="42" t="s">
        <v>2</v>
      </c>
      <c r="I101" s="91">
        <v>33</v>
      </c>
      <c r="J101" s="90">
        <v>9</v>
      </c>
      <c r="K101" s="90">
        <v>0</v>
      </c>
      <c r="L101" s="42" t="s">
        <v>25</v>
      </c>
    </row>
    <row r="102" spans="1:12" x14ac:dyDescent="0.3">
      <c r="A102" s="83">
        <v>101</v>
      </c>
      <c r="B102" s="84">
        <v>76.69</v>
      </c>
      <c r="C102" s="84">
        <v>18.3</v>
      </c>
      <c r="D102" s="85">
        <v>1996</v>
      </c>
      <c r="E102" s="86">
        <v>11</v>
      </c>
      <c r="F102" s="85">
        <v>10</v>
      </c>
      <c r="G102" s="84">
        <v>4</v>
      </c>
      <c r="H102" s="87" t="s">
        <v>26</v>
      </c>
      <c r="I102" s="88">
        <v>33</v>
      </c>
      <c r="J102" s="86">
        <v>9</v>
      </c>
      <c r="K102" s="86">
        <v>0</v>
      </c>
      <c r="L102" s="85">
        <v>2</v>
      </c>
    </row>
    <row r="103" spans="1:12" x14ac:dyDescent="0.3">
      <c r="A103" s="83">
        <v>102</v>
      </c>
      <c r="B103" s="89">
        <v>76.69</v>
      </c>
      <c r="C103" s="89">
        <v>18.3</v>
      </c>
      <c r="D103" s="42">
        <v>1996</v>
      </c>
      <c r="E103" s="90">
        <v>11</v>
      </c>
      <c r="F103" s="42">
        <v>10</v>
      </c>
      <c r="G103" s="89">
        <v>4.0999999999999996</v>
      </c>
      <c r="H103" s="42" t="s">
        <v>26</v>
      </c>
      <c r="I103" s="91">
        <v>33</v>
      </c>
      <c r="J103" s="90">
        <v>14</v>
      </c>
      <c r="K103" s="90">
        <v>30</v>
      </c>
      <c r="L103" s="42" t="s">
        <v>27</v>
      </c>
    </row>
    <row r="104" spans="1:12" x14ac:dyDescent="0.3">
      <c r="A104" s="83">
        <v>103</v>
      </c>
      <c r="B104" s="89">
        <v>73.223399999999998</v>
      </c>
      <c r="C104" s="89">
        <v>21.383800000000001</v>
      </c>
      <c r="D104" s="42">
        <v>1996</v>
      </c>
      <c r="E104" s="90">
        <v>11</v>
      </c>
      <c r="F104" s="42">
        <v>17</v>
      </c>
      <c r="G104" s="89">
        <v>4.0999999999999996</v>
      </c>
      <c r="H104" s="42" t="s">
        <v>2</v>
      </c>
      <c r="I104" s="91">
        <v>35</v>
      </c>
      <c r="J104" s="90">
        <v>18</v>
      </c>
      <c r="K104" s="90">
        <v>12</v>
      </c>
      <c r="L104" s="42" t="s">
        <v>10</v>
      </c>
    </row>
    <row r="105" spans="1:12" x14ac:dyDescent="0.3">
      <c r="A105" s="83">
        <v>104</v>
      </c>
      <c r="B105" s="89">
        <v>73.042000000000002</v>
      </c>
      <c r="C105" s="89">
        <v>21.471</v>
      </c>
      <c r="D105" s="42">
        <v>1996</v>
      </c>
      <c r="E105" s="90">
        <v>11</v>
      </c>
      <c r="F105" s="42">
        <v>17</v>
      </c>
      <c r="G105" s="89">
        <v>4.2</v>
      </c>
      <c r="H105" s="42" t="s">
        <v>2</v>
      </c>
      <c r="I105" s="91">
        <v>10</v>
      </c>
      <c r="J105" s="90">
        <v>18</v>
      </c>
      <c r="K105" s="90">
        <v>12</v>
      </c>
      <c r="L105" s="42" t="s">
        <v>25</v>
      </c>
    </row>
    <row r="106" spans="1:12" x14ac:dyDescent="0.3">
      <c r="A106" s="83">
        <v>105</v>
      </c>
      <c r="B106" s="89">
        <v>73</v>
      </c>
      <c r="C106" s="89">
        <v>21.5</v>
      </c>
      <c r="D106" s="42">
        <v>1996</v>
      </c>
      <c r="E106" s="90">
        <v>11</v>
      </c>
      <c r="F106" s="42">
        <v>17</v>
      </c>
      <c r="G106" s="89">
        <v>4.2</v>
      </c>
      <c r="H106" s="42" t="s">
        <v>26</v>
      </c>
      <c r="I106" s="91">
        <v>10</v>
      </c>
      <c r="J106" s="90">
        <v>18</v>
      </c>
      <c r="K106" s="90">
        <v>12</v>
      </c>
      <c r="L106" s="42" t="s">
        <v>27</v>
      </c>
    </row>
    <row r="107" spans="1:12" x14ac:dyDescent="0.3">
      <c r="A107" s="83">
        <v>106</v>
      </c>
      <c r="B107" s="89">
        <v>80.133600000000001</v>
      </c>
      <c r="C107" s="89">
        <v>23.102699999999999</v>
      </c>
      <c r="D107" s="42">
        <v>1997</v>
      </c>
      <c r="E107" s="90">
        <v>5</v>
      </c>
      <c r="F107" s="42">
        <v>21</v>
      </c>
      <c r="G107" s="89">
        <v>5.8</v>
      </c>
      <c r="H107" s="42" t="s">
        <v>15</v>
      </c>
      <c r="I107" s="91">
        <v>35.9</v>
      </c>
      <c r="J107" s="90">
        <v>22</v>
      </c>
      <c r="K107" s="90">
        <v>51</v>
      </c>
      <c r="L107" s="42" t="s">
        <v>16</v>
      </c>
    </row>
    <row r="108" spans="1:12" x14ac:dyDescent="0.3">
      <c r="A108" s="83">
        <v>107</v>
      </c>
      <c r="B108" s="89">
        <v>80.040999999999997</v>
      </c>
      <c r="C108" s="89">
        <v>23.082999999999998</v>
      </c>
      <c r="D108" s="42">
        <v>1997</v>
      </c>
      <c r="E108" s="90">
        <v>5</v>
      </c>
      <c r="F108" s="42">
        <v>21</v>
      </c>
      <c r="G108" s="89">
        <v>5.8</v>
      </c>
      <c r="H108" s="42" t="s">
        <v>4</v>
      </c>
      <c r="I108" s="91">
        <v>36</v>
      </c>
      <c r="J108" s="90">
        <v>22</v>
      </c>
      <c r="K108" s="90">
        <v>51</v>
      </c>
      <c r="L108" s="42" t="s">
        <v>25</v>
      </c>
    </row>
    <row r="109" spans="1:12" x14ac:dyDescent="0.3">
      <c r="A109" s="83">
        <v>108</v>
      </c>
      <c r="B109" s="84">
        <v>80.14</v>
      </c>
      <c r="C109" s="84">
        <v>23.08</v>
      </c>
      <c r="D109" s="85">
        <v>1997</v>
      </c>
      <c r="E109" s="86">
        <v>5</v>
      </c>
      <c r="F109" s="85">
        <v>21</v>
      </c>
      <c r="G109" s="84">
        <v>6.1</v>
      </c>
      <c r="H109" s="87" t="s">
        <v>26</v>
      </c>
      <c r="I109" s="88">
        <v>36</v>
      </c>
      <c r="J109" s="86">
        <v>22</v>
      </c>
      <c r="K109" s="86">
        <v>51</v>
      </c>
      <c r="L109" s="85">
        <v>2</v>
      </c>
    </row>
    <row r="110" spans="1:12" x14ac:dyDescent="0.3">
      <c r="A110" s="83">
        <v>109</v>
      </c>
      <c r="B110" s="89">
        <v>80.14</v>
      </c>
      <c r="C110" s="89">
        <v>23.8</v>
      </c>
      <c r="D110" s="42">
        <v>1997</v>
      </c>
      <c r="E110" s="90">
        <v>5</v>
      </c>
      <c r="F110" s="42">
        <v>22</v>
      </c>
      <c r="G110" s="89">
        <v>5.8</v>
      </c>
      <c r="H110" s="42" t="s">
        <v>26</v>
      </c>
      <c r="I110" s="91">
        <v>36</v>
      </c>
      <c r="J110" s="90">
        <v>4</v>
      </c>
      <c r="K110" s="90">
        <v>21</v>
      </c>
      <c r="L110" s="42" t="s">
        <v>27</v>
      </c>
    </row>
    <row r="111" spans="1:12" x14ac:dyDescent="0.3">
      <c r="A111" s="83">
        <v>110</v>
      </c>
      <c r="B111" s="89">
        <v>80.28</v>
      </c>
      <c r="C111" s="89">
        <v>22.93</v>
      </c>
      <c r="D111" s="42">
        <v>1997</v>
      </c>
      <c r="E111" s="90">
        <v>6</v>
      </c>
      <c r="F111" s="42">
        <v>4</v>
      </c>
      <c r="G111" s="89">
        <v>3.6</v>
      </c>
      <c r="H111" s="42" t="s">
        <v>26</v>
      </c>
      <c r="I111" s="91">
        <v>0</v>
      </c>
      <c r="J111" s="90">
        <v>19</v>
      </c>
      <c r="K111" s="90">
        <v>20</v>
      </c>
      <c r="L111" s="42" t="s">
        <v>27</v>
      </c>
    </row>
    <row r="112" spans="1:12" x14ac:dyDescent="0.3">
      <c r="A112" s="83">
        <v>111</v>
      </c>
      <c r="B112" s="89">
        <v>79.928899999999999</v>
      </c>
      <c r="C112" s="89">
        <v>23.1023</v>
      </c>
      <c r="D112" s="42">
        <v>1997</v>
      </c>
      <c r="E112" s="90">
        <v>6</v>
      </c>
      <c r="F112" s="42">
        <v>4</v>
      </c>
      <c r="G112" s="89">
        <v>3.8</v>
      </c>
      <c r="H112" s="42" t="s">
        <v>2</v>
      </c>
      <c r="I112" s="91">
        <v>35</v>
      </c>
      <c r="J112" s="90">
        <v>19</v>
      </c>
      <c r="K112" s="90">
        <v>29</v>
      </c>
      <c r="L112" s="42" t="s">
        <v>10</v>
      </c>
    </row>
    <row r="113" spans="1:12" x14ac:dyDescent="0.3">
      <c r="A113" s="83">
        <v>112</v>
      </c>
      <c r="B113" s="89">
        <v>79.974000000000004</v>
      </c>
      <c r="C113" s="89">
        <v>23.138999999999999</v>
      </c>
      <c r="D113" s="42">
        <v>1997</v>
      </c>
      <c r="E113" s="90">
        <v>6</v>
      </c>
      <c r="F113" s="42">
        <v>4</v>
      </c>
      <c r="G113" s="89">
        <v>3.9</v>
      </c>
      <c r="H113" s="42" t="s">
        <v>3</v>
      </c>
      <c r="I113" s="91">
        <v>33</v>
      </c>
      <c r="J113" s="90">
        <v>19</v>
      </c>
      <c r="K113" s="90">
        <v>29</v>
      </c>
      <c r="L113" s="42" t="s">
        <v>25</v>
      </c>
    </row>
    <row r="114" spans="1:12" x14ac:dyDescent="0.3">
      <c r="A114" s="83">
        <v>113</v>
      </c>
      <c r="B114" s="84">
        <v>80.040000000000006</v>
      </c>
      <c r="C114" s="84">
        <v>23.08</v>
      </c>
      <c r="D114" s="85">
        <v>1997</v>
      </c>
      <c r="E114" s="86">
        <v>6</v>
      </c>
      <c r="F114" s="86">
        <v>4</v>
      </c>
      <c r="G114" s="84">
        <v>4.3</v>
      </c>
      <c r="H114" s="87" t="s">
        <v>26</v>
      </c>
      <c r="I114" s="88">
        <v>31.4</v>
      </c>
      <c r="J114" s="86">
        <v>19</v>
      </c>
      <c r="K114" s="86">
        <v>29</v>
      </c>
      <c r="L114" s="85">
        <v>1</v>
      </c>
    </row>
    <row r="115" spans="1:12" x14ac:dyDescent="0.3">
      <c r="A115" s="83">
        <v>114</v>
      </c>
      <c r="B115" s="84">
        <v>73.599999999999994</v>
      </c>
      <c r="C115" s="84">
        <v>25</v>
      </c>
      <c r="D115" s="85">
        <v>1997</v>
      </c>
      <c r="E115" s="86">
        <v>7</v>
      </c>
      <c r="F115" s="85">
        <v>29</v>
      </c>
      <c r="G115" s="84">
        <v>4.5</v>
      </c>
      <c r="H115" s="87" t="s">
        <v>26</v>
      </c>
      <c r="I115" s="88">
        <v>33</v>
      </c>
      <c r="J115" s="86">
        <v>9</v>
      </c>
      <c r="K115" s="86">
        <v>43</v>
      </c>
      <c r="L115" s="85">
        <v>2</v>
      </c>
    </row>
    <row r="116" spans="1:12" x14ac:dyDescent="0.3">
      <c r="A116" s="83">
        <v>115</v>
      </c>
      <c r="B116" s="89">
        <v>73.599999999999994</v>
      </c>
      <c r="C116" s="89">
        <v>25</v>
      </c>
      <c r="D116" s="42">
        <v>1997</v>
      </c>
      <c r="E116" s="90">
        <v>7</v>
      </c>
      <c r="F116" s="42">
        <v>29</v>
      </c>
      <c r="G116" s="89">
        <v>4.5999999999999996</v>
      </c>
      <c r="H116" s="42" t="s">
        <v>26</v>
      </c>
      <c r="I116" s="91">
        <v>33</v>
      </c>
      <c r="J116" s="90">
        <v>15</v>
      </c>
      <c r="K116" s="90">
        <v>13</v>
      </c>
      <c r="L116" s="42" t="s">
        <v>27</v>
      </c>
    </row>
    <row r="117" spans="1:12" x14ac:dyDescent="0.3">
      <c r="A117" s="83">
        <v>116</v>
      </c>
      <c r="B117" s="89">
        <v>75.25</v>
      </c>
      <c r="C117" s="89">
        <v>21.55</v>
      </c>
      <c r="D117" s="42">
        <v>1997</v>
      </c>
      <c r="E117" s="90">
        <v>11</v>
      </c>
      <c r="F117" s="42">
        <v>13</v>
      </c>
      <c r="G117" s="89">
        <v>4.3</v>
      </c>
      <c r="H117" s="42" t="s">
        <v>2</v>
      </c>
      <c r="I117" s="91">
        <v>8</v>
      </c>
      <c r="J117" s="90">
        <v>20</v>
      </c>
      <c r="K117" s="90">
        <v>17</v>
      </c>
      <c r="L117" s="42" t="s">
        <v>12</v>
      </c>
    </row>
    <row r="118" spans="1:12" x14ac:dyDescent="0.3">
      <c r="A118" s="83">
        <v>117</v>
      </c>
      <c r="B118" s="84">
        <v>75.25</v>
      </c>
      <c r="C118" s="84">
        <v>21.55</v>
      </c>
      <c r="D118" s="85">
        <v>1997</v>
      </c>
      <c r="E118" s="86">
        <v>11</v>
      </c>
      <c r="F118" s="85">
        <v>13</v>
      </c>
      <c r="G118" s="84">
        <v>4.7</v>
      </c>
      <c r="H118" s="87" t="s">
        <v>26</v>
      </c>
      <c r="I118" s="88">
        <v>8</v>
      </c>
      <c r="J118" s="86">
        <v>20</v>
      </c>
      <c r="K118" s="86">
        <v>17</v>
      </c>
      <c r="L118" s="85">
        <v>1</v>
      </c>
    </row>
    <row r="119" spans="1:12" x14ac:dyDescent="0.3">
      <c r="A119" s="83">
        <v>118</v>
      </c>
      <c r="B119" s="89">
        <v>78.173599999999993</v>
      </c>
      <c r="C119" s="89">
        <v>22.5579</v>
      </c>
      <c r="D119" s="42">
        <v>1998</v>
      </c>
      <c r="E119" s="90">
        <v>3</v>
      </c>
      <c r="F119" s="42">
        <v>9</v>
      </c>
      <c r="G119" s="89">
        <v>4.2</v>
      </c>
      <c r="H119" s="42" t="s">
        <v>2</v>
      </c>
      <c r="I119" s="91">
        <v>35</v>
      </c>
      <c r="J119" s="90">
        <v>7</v>
      </c>
      <c r="K119" s="90">
        <v>41</v>
      </c>
      <c r="L119" s="42" t="s">
        <v>10</v>
      </c>
    </row>
    <row r="120" spans="1:12" x14ac:dyDescent="0.3">
      <c r="A120" s="83">
        <v>119</v>
      </c>
      <c r="B120" s="89">
        <v>78.016000000000005</v>
      </c>
      <c r="C120" s="89">
        <v>22.486999999999998</v>
      </c>
      <c r="D120" s="42">
        <v>1998</v>
      </c>
      <c r="E120" s="90">
        <v>3</v>
      </c>
      <c r="F120" s="42">
        <v>9</v>
      </c>
      <c r="G120" s="89">
        <v>4.3</v>
      </c>
      <c r="H120" s="42" t="s">
        <v>2</v>
      </c>
      <c r="I120" s="91">
        <v>10</v>
      </c>
      <c r="J120" s="90">
        <v>7</v>
      </c>
      <c r="K120" s="90">
        <v>41</v>
      </c>
      <c r="L120" s="42" t="s">
        <v>25</v>
      </c>
    </row>
    <row r="121" spans="1:12" x14ac:dyDescent="0.3">
      <c r="A121" s="83">
        <v>120</v>
      </c>
      <c r="B121" s="84">
        <v>78</v>
      </c>
      <c r="C121" s="84">
        <v>22.4</v>
      </c>
      <c r="D121" s="85">
        <v>1998</v>
      </c>
      <c r="E121" s="86">
        <v>3</v>
      </c>
      <c r="F121" s="86">
        <v>9</v>
      </c>
      <c r="G121" s="84">
        <v>4.2</v>
      </c>
      <c r="H121" s="87" t="s">
        <v>26</v>
      </c>
      <c r="I121" s="88">
        <v>10</v>
      </c>
      <c r="J121" s="86">
        <v>7</v>
      </c>
      <c r="K121" s="86">
        <v>41</v>
      </c>
      <c r="L121" s="85">
        <v>2</v>
      </c>
    </row>
    <row r="122" spans="1:12" x14ac:dyDescent="0.3">
      <c r="A122" s="83">
        <v>121</v>
      </c>
      <c r="B122" s="89">
        <v>78</v>
      </c>
      <c r="C122" s="89">
        <v>22.4</v>
      </c>
      <c r="D122" s="42">
        <v>1998</v>
      </c>
      <c r="E122" s="90">
        <v>3</v>
      </c>
      <c r="F122" s="42">
        <v>9</v>
      </c>
      <c r="G122" s="89">
        <v>4.3</v>
      </c>
      <c r="H122" s="42" t="s">
        <v>26</v>
      </c>
      <c r="I122" s="91">
        <v>10</v>
      </c>
      <c r="J122" s="90">
        <v>13</v>
      </c>
      <c r="K122" s="90">
        <v>11</v>
      </c>
      <c r="L122" s="42" t="s">
        <v>27</v>
      </c>
    </row>
    <row r="123" spans="1:12" x14ac:dyDescent="0.3">
      <c r="A123" s="83">
        <v>122</v>
      </c>
      <c r="B123" s="84">
        <v>79.260000000000005</v>
      </c>
      <c r="C123" s="84">
        <v>22.51</v>
      </c>
      <c r="D123" s="85">
        <v>1998</v>
      </c>
      <c r="E123" s="86">
        <v>3</v>
      </c>
      <c r="F123" s="85">
        <v>29</v>
      </c>
      <c r="G123" s="84">
        <v>4.3</v>
      </c>
      <c r="H123" s="87" t="s">
        <v>26</v>
      </c>
      <c r="I123" s="88">
        <v>0</v>
      </c>
      <c r="J123" s="86">
        <v>18</v>
      </c>
      <c r="K123" s="86">
        <v>54</v>
      </c>
      <c r="L123" s="85">
        <v>1</v>
      </c>
    </row>
    <row r="124" spans="1:12" x14ac:dyDescent="0.3">
      <c r="A124" s="83">
        <v>123</v>
      </c>
      <c r="B124" s="89">
        <v>79.2</v>
      </c>
      <c r="C124" s="89">
        <v>22.5</v>
      </c>
      <c r="D124" s="42">
        <v>1998</v>
      </c>
      <c r="E124" s="90">
        <v>3</v>
      </c>
      <c r="F124" s="42">
        <v>30</v>
      </c>
      <c r="G124" s="89">
        <v>3.9</v>
      </c>
      <c r="H124" s="42" t="s">
        <v>26</v>
      </c>
      <c r="I124" s="91">
        <v>33</v>
      </c>
      <c r="J124" s="90">
        <v>0</v>
      </c>
      <c r="K124" s="90">
        <v>24</v>
      </c>
      <c r="L124" s="42" t="s">
        <v>27</v>
      </c>
    </row>
    <row r="125" spans="1:12" x14ac:dyDescent="0.3">
      <c r="A125" s="83">
        <v>124</v>
      </c>
      <c r="B125" s="89">
        <v>76.92</v>
      </c>
      <c r="C125" s="89">
        <v>21.26</v>
      </c>
      <c r="D125" s="42">
        <v>1998</v>
      </c>
      <c r="E125" s="90">
        <v>4</v>
      </c>
      <c r="F125" s="42">
        <v>18</v>
      </c>
      <c r="G125" s="89">
        <v>3.1</v>
      </c>
      <c r="H125" s="42" t="s">
        <v>26</v>
      </c>
      <c r="I125" s="91">
        <v>15</v>
      </c>
      <c r="J125" s="90">
        <v>3</v>
      </c>
      <c r="K125" s="90">
        <v>39</v>
      </c>
      <c r="L125" s="42" t="s">
        <v>27</v>
      </c>
    </row>
    <row r="126" spans="1:12" x14ac:dyDescent="0.3">
      <c r="A126" s="83">
        <v>125</v>
      </c>
      <c r="B126" s="84">
        <v>71.8</v>
      </c>
      <c r="C126" s="84">
        <v>27.1</v>
      </c>
      <c r="D126" s="85">
        <v>1998</v>
      </c>
      <c r="E126" s="86">
        <v>5</v>
      </c>
      <c r="F126" s="85">
        <v>11</v>
      </c>
      <c r="G126" s="84">
        <v>5.2</v>
      </c>
      <c r="H126" s="87" t="s">
        <v>26</v>
      </c>
      <c r="I126" s="88">
        <v>0</v>
      </c>
      <c r="J126" s="86">
        <v>10</v>
      </c>
      <c r="K126" s="86">
        <v>13</v>
      </c>
      <c r="L126" s="85">
        <v>2</v>
      </c>
    </row>
    <row r="127" spans="1:12" x14ac:dyDescent="0.3">
      <c r="A127" s="83">
        <v>126</v>
      </c>
      <c r="B127" s="89">
        <v>73.900000000000006</v>
      </c>
      <c r="C127" s="89">
        <v>19.2</v>
      </c>
      <c r="D127" s="42">
        <v>1998</v>
      </c>
      <c r="E127" s="90">
        <v>5</v>
      </c>
      <c r="F127" s="42">
        <v>31</v>
      </c>
      <c r="G127" s="89">
        <v>3.6</v>
      </c>
      <c r="H127" s="42" t="s">
        <v>26</v>
      </c>
      <c r="I127" s="91">
        <v>10</v>
      </c>
      <c r="J127" s="90">
        <v>18</v>
      </c>
      <c r="K127" s="90">
        <v>58</v>
      </c>
      <c r="L127" s="42" t="s">
        <v>27</v>
      </c>
    </row>
    <row r="128" spans="1:12" x14ac:dyDescent="0.3">
      <c r="A128" s="83">
        <v>127</v>
      </c>
      <c r="B128" s="89">
        <v>77.832899999999995</v>
      </c>
      <c r="C128" s="89">
        <v>22.511600000000001</v>
      </c>
      <c r="D128" s="42">
        <v>1998</v>
      </c>
      <c r="E128" s="90">
        <v>7</v>
      </c>
      <c r="F128" s="42">
        <v>19</v>
      </c>
      <c r="G128" s="89">
        <v>3.3</v>
      </c>
      <c r="H128" s="42" t="s">
        <v>2</v>
      </c>
      <c r="I128" s="91">
        <v>35</v>
      </c>
      <c r="J128" s="90">
        <v>12</v>
      </c>
      <c r="K128" s="90">
        <v>57</v>
      </c>
      <c r="L128" s="42" t="s">
        <v>17</v>
      </c>
    </row>
    <row r="129" spans="1:12" x14ac:dyDescent="0.3">
      <c r="A129" s="83">
        <v>128</v>
      </c>
      <c r="B129" s="89">
        <v>78.2</v>
      </c>
      <c r="C129" s="89">
        <v>22.39</v>
      </c>
      <c r="D129" s="42">
        <v>1998</v>
      </c>
      <c r="E129" s="90">
        <v>7</v>
      </c>
      <c r="F129" s="42">
        <v>19</v>
      </c>
      <c r="G129" s="89">
        <v>4.4000000000000004</v>
      </c>
      <c r="H129" s="42" t="s">
        <v>28</v>
      </c>
      <c r="I129" s="91">
        <v>33</v>
      </c>
      <c r="J129" s="90">
        <v>18</v>
      </c>
      <c r="K129" s="90">
        <v>27</v>
      </c>
      <c r="L129" s="42" t="s">
        <v>27</v>
      </c>
    </row>
    <row r="130" spans="1:12" x14ac:dyDescent="0.3">
      <c r="A130" s="83">
        <v>129</v>
      </c>
      <c r="B130" s="89">
        <v>76.680000000000007</v>
      </c>
      <c r="C130" s="89">
        <v>18.8</v>
      </c>
      <c r="D130" s="42">
        <v>1998</v>
      </c>
      <c r="E130" s="90">
        <v>8</v>
      </c>
      <c r="F130" s="42">
        <v>10</v>
      </c>
      <c r="G130" s="89">
        <v>3.4</v>
      </c>
      <c r="H130" s="42" t="s">
        <v>19</v>
      </c>
      <c r="I130" s="91">
        <v>10</v>
      </c>
      <c r="J130" s="90">
        <v>22</v>
      </c>
      <c r="K130" s="90">
        <v>50</v>
      </c>
      <c r="L130" s="42" t="s">
        <v>27</v>
      </c>
    </row>
    <row r="131" spans="1:12" x14ac:dyDescent="0.3">
      <c r="A131" s="83">
        <v>130</v>
      </c>
      <c r="B131" s="89">
        <v>72.995000000000005</v>
      </c>
      <c r="C131" s="89">
        <v>20.46</v>
      </c>
      <c r="D131" s="42">
        <v>1998</v>
      </c>
      <c r="E131" s="90">
        <v>9</v>
      </c>
      <c r="F131" s="42">
        <v>2</v>
      </c>
      <c r="G131" s="89">
        <v>3.3</v>
      </c>
      <c r="H131" s="42" t="s">
        <v>3</v>
      </c>
      <c r="I131" s="91">
        <v>13.2</v>
      </c>
      <c r="J131" s="90">
        <v>22</v>
      </c>
      <c r="K131" s="90">
        <v>58</v>
      </c>
      <c r="L131" s="42" t="s">
        <v>12</v>
      </c>
    </row>
    <row r="132" spans="1:12" x14ac:dyDescent="0.3">
      <c r="A132" s="83">
        <v>131</v>
      </c>
      <c r="B132" s="89">
        <v>72.099999999999994</v>
      </c>
      <c r="C132" s="89">
        <v>20.46</v>
      </c>
      <c r="D132" s="42">
        <v>1998</v>
      </c>
      <c r="E132" s="90">
        <v>9</v>
      </c>
      <c r="F132" s="42">
        <v>3</v>
      </c>
      <c r="G132" s="89">
        <v>3.1</v>
      </c>
      <c r="H132" s="42" t="s">
        <v>19</v>
      </c>
      <c r="I132" s="91">
        <v>13</v>
      </c>
      <c r="J132" s="90">
        <v>4</v>
      </c>
      <c r="K132" s="90">
        <v>28</v>
      </c>
      <c r="L132" s="42" t="s">
        <v>27</v>
      </c>
    </row>
    <row r="133" spans="1:12" x14ac:dyDescent="0.3">
      <c r="A133" s="83">
        <v>132</v>
      </c>
      <c r="B133" s="89">
        <v>75.748999999999995</v>
      </c>
      <c r="C133" s="89">
        <v>22.111000000000001</v>
      </c>
      <c r="D133" s="42">
        <v>1998</v>
      </c>
      <c r="E133" s="90">
        <v>9</v>
      </c>
      <c r="F133" s="42">
        <v>13</v>
      </c>
      <c r="G133" s="89">
        <v>3.3</v>
      </c>
      <c r="H133" s="42" t="s">
        <v>3</v>
      </c>
      <c r="I133" s="91">
        <v>15</v>
      </c>
      <c r="J133" s="90">
        <v>20</v>
      </c>
      <c r="K133" s="90">
        <v>42</v>
      </c>
      <c r="L133" s="42" t="s">
        <v>12</v>
      </c>
    </row>
    <row r="134" spans="1:12" x14ac:dyDescent="0.3">
      <c r="A134" s="83">
        <v>133</v>
      </c>
      <c r="B134" s="89">
        <v>75.75</v>
      </c>
      <c r="C134" s="89">
        <v>22.11</v>
      </c>
      <c r="D134" s="42">
        <v>1998</v>
      </c>
      <c r="E134" s="90">
        <v>9</v>
      </c>
      <c r="F134" s="42">
        <v>14</v>
      </c>
      <c r="G134" s="89">
        <v>3.3</v>
      </c>
      <c r="H134" s="42" t="s">
        <v>29</v>
      </c>
      <c r="I134" s="91">
        <v>15</v>
      </c>
      <c r="J134" s="90">
        <v>2</v>
      </c>
      <c r="K134" s="90">
        <v>12</v>
      </c>
      <c r="L134" s="42" t="s">
        <v>27</v>
      </c>
    </row>
    <row r="135" spans="1:12" x14ac:dyDescent="0.3">
      <c r="A135" s="83">
        <v>134</v>
      </c>
      <c r="B135" s="89">
        <v>75.92</v>
      </c>
      <c r="C135" s="89">
        <v>21.87</v>
      </c>
      <c r="D135" s="42">
        <v>1998</v>
      </c>
      <c r="E135" s="90">
        <v>10</v>
      </c>
      <c r="F135" s="42">
        <v>11</v>
      </c>
      <c r="G135" s="89">
        <v>3</v>
      </c>
      <c r="H135" s="42" t="s">
        <v>19</v>
      </c>
      <c r="I135" s="91">
        <v>1</v>
      </c>
      <c r="J135" s="90">
        <v>17</v>
      </c>
      <c r="K135" s="90">
        <v>51</v>
      </c>
      <c r="L135" s="42" t="s">
        <v>27</v>
      </c>
    </row>
    <row r="136" spans="1:12" x14ac:dyDescent="0.3">
      <c r="A136" s="83">
        <v>135</v>
      </c>
      <c r="B136" s="89">
        <v>76.28</v>
      </c>
      <c r="C136" s="89">
        <v>21.59</v>
      </c>
      <c r="D136" s="42">
        <v>1998</v>
      </c>
      <c r="E136" s="90">
        <v>10</v>
      </c>
      <c r="F136" s="42">
        <v>19</v>
      </c>
      <c r="G136" s="89">
        <v>3</v>
      </c>
      <c r="H136" s="42" t="s">
        <v>19</v>
      </c>
      <c r="I136" s="91">
        <v>1</v>
      </c>
      <c r="J136" s="90">
        <v>17</v>
      </c>
      <c r="K136" s="90">
        <v>51</v>
      </c>
      <c r="L136" s="42" t="s">
        <v>27</v>
      </c>
    </row>
    <row r="137" spans="1:12" x14ac:dyDescent="0.3">
      <c r="A137" s="83">
        <v>136</v>
      </c>
      <c r="B137" s="89">
        <v>76.09</v>
      </c>
      <c r="C137" s="89">
        <v>21.693000000000001</v>
      </c>
      <c r="D137" s="42">
        <v>1998</v>
      </c>
      <c r="E137" s="90">
        <v>10</v>
      </c>
      <c r="F137" s="42">
        <v>20</v>
      </c>
      <c r="G137" s="89">
        <v>3.1</v>
      </c>
      <c r="H137" s="42" t="s">
        <v>3</v>
      </c>
      <c r="I137" s="91">
        <v>2</v>
      </c>
      <c r="J137" s="90">
        <v>9</v>
      </c>
      <c r="K137" s="90">
        <v>5</v>
      </c>
      <c r="L137" s="42" t="s">
        <v>12</v>
      </c>
    </row>
    <row r="138" spans="1:12" x14ac:dyDescent="0.3">
      <c r="A138" s="83">
        <v>137</v>
      </c>
      <c r="B138" s="89">
        <v>76.900000000000006</v>
      </c>
      <c r="C138" s="89">
        <v>21.69</v>
      </c>
      <c r="D138" s="42">
        <v>1998</v>
      </c>
      <c r="E138" s="90">
        <v>10</v>
      </c>
      <c r="F138" s="42">
        <v>20</v>
      </c>
      <c r="G138" s="89">
        <v>3.4</v>
      </c>
      <c r="H138" s="42" t="s">
        <v>19</v>
      </c>
      <c r="I138" s="91">
        <v>2</v>
      </c>
      <c r="J138" s="90">
        <v>14</v>
      </c>
      <c r="K138" s="90">
        <v>35</v>
      </c>
      <c r="L138" s="42" t="s">
        <v>27</v>
      </c>
    </row>
    <row r="139" spans="1:12" x14ac:dyDescent="0.3">
      <c r="A139" s="83">
        <v>138</v>
      </c>
      <c r="B139" s="89">
        <v>76.230999999999995</v>
      </c>
      <c r="C139" s="89">
        <v>21.620999999999999</v>
      </c>
      <c r="D139" s="42">
        <v>1998</v>
      </c>
      <c r="E139" s="90">
        <v>10</v>
      </c>
      <c r="F139" s="42">
        <v>24</v>
      </c>
      <c r="G139" s="89">
        <v>3</v>
      </c>
      <c r="H139" s="42" t="s">
        <v>3</v>
      </c>
      <c r="I139" s="91">
        <v>1</v>
      </c>
      <c r="J139" s="90">
        <v>7</v>
      </c>
      <c r="K139" s="90">
        <v>48</v>
      </c>
      <c r="L139" s="42" t="s">
        <v>12</v>
      </c>
    </row>
    <row r="140" spans="1:12" x14ac:dyDescent="0.3">
      <c r="A140" s="83">
        <v>139</v>
      </c>
      <c r="B140" s="89">
        <v>76.23</v>
      </c>
      <c r="C140" s="89">
        <v>21.62</v>
      </c>
      <c r="D140" s="42">
        <v>1998</v>
      </c>
      <c r="E140" s="90">
        <v>10</v>
      </c>
      <c r="F140" s="42">
        <v>24</v>
      </c>
      <c r="G140" s="89">
        <v>3</v>
      </c>
      <c r="H140" s="42" t="s">
        <v>20</v>
      </c>
      <c r="I140" s="91">
        <v>1</v>
      </c>
      <c r="J140" s="90">
        <v>13</v>
      </c>
      <c r="K140" s="90">
        <v>18</v>
      </c>
      <c r="L140" s="42" t="s">
        <v>27</v>
      </c>
    </row>
    <row r="141" spans="1:12" x14ac:dyDescent="0.3">
      <c r="A141" s="83">
        <v>140</v>
      </c>
      <c r="B141" s="89">
        <v>76.382000000000005</v>
      </c>
      <c r="C141" s="89">
        <v>21.63</v>
      </c>
      <c r="D141" s="42">
        <v>1998</v>
      </c>
      <c r="E141" s="90">
        <v>11</v>
      </c>
      <c r="F141" s="42">
        <v>5</v>
      </c>
      <c r="G141" s="89">
        <v>3.5</v>
      </c>
      <c r="H141" s="42" t="s">
        <v>3</v>
      </c>
      <c r="I141" s="91">
        <v>10.8</v>
      </c>
      <c r="J141" s="90">
        <v>5</v>
      </c>
      <c r="K141" s="90">
        <v>42</v>
      </c>
      <c r="L141" s="42" t="s">
        <v>12</v>
      </c>
    </row>
    <row r="142" spans="1:12" x14ac:dyDescent="0.3">
      <c r="A142" s="83">
        <v>141</v>
      </c>
      <c r="B142" s="89">
        <v>76.38</v>
      </c>
      <c r="C142" s="89">
        <v>21.63</v>
      </c>
      <c r="D142" s="42">
        <v>1998</v>
      </c>
      <c r="E142" s="90">
        <v>11</v>
      </c>
      <c r="F142" s="42">
        <v>5</v>
      </c>
      <c r="G142" s="89">
        <v>3.3</v>
      </c>
      <c r="H142" s="42" t="s">
        <v>19</v>
      </c>
      <c r="I142" s="91">
        <v>10</v>
      </c>
      <c r="J142" s="90">
        <v>11</v>
      </c>
      <c r="K142" s="90">
        <v>12</v>
      </c>
      <c r="L142" s="42" t="s">
        <v>27</v>
      </c>
    </row>
    <row r="143" spans="1:12" x14ac:dyDescent="0.3">
      <c r="A143" s="83">
        <v>142</v>
      </c>
      <c r="B143" s="89">
        <v>71.168800000000005</v>
      </c>
      <c r="C143" s="89">
        <v>22.0932</v>
      </c>
      <c r="D143" s="42">
        <v>1998</v>
      </c>
      <c r="E143" s="90">
        <v>11</v>
      </c>
      <c r="F143" s="42">
        <v>28</v>
      </c>
      <c r="G143" s="89">
        <v>3.5</v>
      </c>
      <c r="H143" s="42" t="s">
        <v>3</v>
      </c>
      <c r="I143" s="91">
        <v>35</v>
      </c>
      <c r="J143" s="90">
        <v>16</v>
      </c>
      <c r="K143" s="90">
        <v>59</v>
      </c>
      <c r="L143" s="42" t="s">
        <v>12</v>
      </c>
    </row>
    <row r="144" spans="1:12" x14ac:dyDescent="0.3">
      <c r="A144" s="83">
        <v>143</v>
      </c>
      <c r="B144" s="89">
        <v>71.599999999999994</v>
      </c>
      <c r="C144" s="89">
        <v>21.94</v>
      </c>
      <c r="D144" s="42">
        <v>1998</v>
      </c>
      <c r="E144" s="90">
        <v>11</v>
      </c>
      <c r="F144" s="42">
        <v>28</v>
      </c>
      <c r="G144" s="89">
        <v>3.2</v>
      </c>
      <c r="H144" s="42" t="s">
        <v>19</v>
      </c>
      <c r="I144" s="91">
        <v>15</v>
      </c>
      <c r="J144" s="90">
        <v>22</v>
      </c>
      <c r="K144" s="90">
        <v>29</v>
      </c>
      <c r="L144" s="42" t="s">
        <v>27</v>
      </c>
    </row>
    <row r="145" spans="1:12" x14ac:dyDescent="0.3">
      <c r="A145" s="83">
        <v>144</v>
      </c>
      <c r="B145" s="89">
        <v>73.663600000000002</v>
      </c>
      <c r="C145" s="89">
        <v>24.793900000000001</v>
      </c>
      <c r="D145" s="42">
        <v>1998</v>
      </c>
      <c r="E145" s="90">
        <v>12</v>
      </c>
      <c r="F145" s="42">
        <v>26</v>
      </c>
      <c r="G145" s="89">
        <v>3.3</v>
      </c>
      <c r="H145" s="42" t="s">
        <v>11</v>
      </c>
      <c r="I145" s="91">
        <v>35</v>
      </c>
      <c r="J145" s="90">
        <v>20</v>
      </c>
      <c r="K145" s="90">
        <v>14</v>
      </c>
      <c r="L145" s="42" t="s">
        <v>12</v>
      </c>
    </row>
    <row r="146" spans="1:12" x14ac:dyDescent="0.3">
      <c r="A146" s="83">
        <v>145</v>
      </c>
      <c r="B146" s="89">
        <v>73.64</v>
      </c>
      <c r="C146" s="89">
        <v>24.88</v>
      </c>
      <c r="D146" s="42">
        <v>1998</v>
      </c>
      <c r="E146" s="90">
        <v>12</v>
      </c>
      <c r="F146" s="42">
        <v>27</v>
      </c>
      <c r="G146" s="89">
        <v>3.3</v>
      </c>
      <c r="H146" s="42" t="s">
        <v>19</v>
      </c>
      <c r="I146" s="91">
        <v>5</v>
      </c>
      <c r="J146" s="90">
        <v>1</v>
      </c>
      <c r="K146" s="90">
        <v>44</v>
      </c>
      <c r="L146" s="42" t="s">
        <v>27</v>
      </c>
    </row>
    <row r="147" spans="1:12" x14ac:dyDescent="0.3">
      <c r="A147" s="83">
        <v>146</v>
      </c>
      <c r="B147" s="89">
        <v>76.5</v>
      </c>
      <c r="C147" s="89">
        <v>18.3</v>
      </c>
      <c r="D147" s="42">
        <v>1999</v>
      </c>
      <c r="E147" s="90">
        <v>2</v>
      </c>
      <c r="F147" s="42">
        <v>20</v>
      </c>
      <c r="G147" s="89">
        <v>3.8</v>
      </c>
      <c r="H147" s="42" t="s">
        <v>28</v>
      </c>
      <c r="I147" s="91">
        <v>10</v>
      </c>
      <c r="J147" s="90">
        <v>16</v>
      </c>
      <c r="K147" s="90">
        <v>50</v>
      </c>
      <c r="L147" s="42" t="s">
        <v>27</v>
      </c>
    </row>
    <row r="148" spans="1:12" x14ac:dyDescent="0.3">
      <c r="A148" s="83">
        <v>147</v>
      </c>
      <c r="B148" s="89">
        <v>78.55</v>
      </c>
      <c r="C148" s="89">
        <v>21.46</v>
      </c>
      <c r="D148" s="42">
        <v>1999</v>
      </c>
      <c r="E148" s="90">
        <v>2</v>
      </c>
      <c r="F148" s="42">
        <v>27</v>
      </c>
      <c r="G148" s="89">
        <v>3.8</v>
      </c>
      <c r="H148" s="42" t="s">
        <v>19</v>
      </c>
      <c r="I148" s="91">
        <v>34</v>
      </c>
      <c r="J148" s="90">
        <v>3</v>
      </c>
      <c r="K148" s="90">
        <v>37</v>
      </c>
      <c r="L148" s="42" t="s">
        <v>27</v>
      </c>
    </row>
    <row r="149" spans="1:12" x14ac:dyDescent="0.3">
      <c r="A149" s="83">
        <v>148</v>
      </c>
      <c r="B149" s="89">
        <v>75.171000000000006</v>
      </c>
      <c r="C149" s="89">
        <v>21.434999999999999</v>
      </c>
      <c r="D149" s="42">
        <v>1999</v>
      </c>
      <c r="E149" s="90">
        <v>3</v>
      </c>
      <c r="F149" s="42">
        <v>3</v>
      </c>
      <c r="G149" s="89">
        <v>3.3</v>
      </c>
      <c r="H149" s="42" t="s">
        <v>18</v>
      </c>
      <c r="I149" s="91">
        <v>20</v>
      </c>
      <c r="J149" s="90">
        <v>6</v>
      </c>
      <c r="K149" s="90">
        <v>43</v>
      </c>
      <c r="L149" s="42" t="s">
        <v>12</v>
      </c>
    </row>
    <row r="150" spans="1:12" x14ac:dyDescent="0.3">
      <c r="A150" s="83">
        <v>149</v>
      </c>
      <c r="B150" s="89">
        <v>75.17</v>
      </c>
      <c r="C150" s="89">
        <v>21.43</v>
      </c>
      <c r="D150" s="42">
        <v>1999</v>
      </c>
      <c r="E150" s="90">
        <v>3</v>
      </c>
      <c r="F150" s="42">
        <v>3</v>
      </c>
      <c r="G150" s="89">
        <v>3.3</v>
      </c>
      <c r="H150" s="42" t="s">
        <v>29</v>
      </c>
      <c r="I150" s="91">
        <v>20</v>
      </c>
      <c r="J150" s="90">
        <v>12</v>
      </c>
      <c r="K150" s="90">
        <v>13</v>
      </c>
      <c r="L150" s="42" t="s">
        <v>27</v>
      </c>
    </row>
    <row r="151" spans="1:12" x14ac:dyDescent="0.3">
      <c r="A151" s="83">
        <v>150</v>
      </c>
      <c r="B151" s="89">
        <v>78.009</v>
      </c>
      <c r="C151" s="89">
        <v>23.539000000000001</v>
      </c>
      <c r="D151" s="42">
        <v>1999</v>
      </c>
      <c r="E151" s="90">
        <v>4</v>
      </c>
      <c r="F151" s="42">
        <v>3</v>
      </c>
      <c r="G151" s="89">
        <v>4.2</v>
      </c>
      <c r="H151" s="42" t="s">
        <v>18</v>
      </c>
      <c r="I151" s="91">
        <v>30</v>
      </c>
      <c r="J151" s="90">
        <v>9</v>
      </c>
      <c r="K151" s="90">
        <v>38</v>
      </c>
      <c r="L151" s="42" t="s">
        <v>12</v>
      </c>
    </row>
    <row r="152" spans="1:12" x14ac:dyDescent="0.3">
      <c r="A152" s="83">
        <v>151</v>
      </c>
      <c r="B152" s="84">
        <v>78.010000000000005</v>
      </c>
      <c r="C152" s="84">
        <v>23.54</v>
      </c>
      <c r="D152" s="85">
        <v>1999</v>
      </c>
      <c r="E152" s="86">
        <v>4</v>
      </c>
      <c r="F152" s="86">
        <v>3</v>
      </c>
      <c r="G152" s="84">
        <v>4.0999999999999996</v>
      </c>
      <c r="H152" s="87" t="s">
        <v>26</v>
      </c>
      <c r="I152" s="88">
        <v>30</v>
      </c>
      <c r="J152" s="86">
        <v>9</v>
      </c>
      <c r="K152" s="86">
        <v>38</v>
      </c>
      <c r="L152" s="85">
        <v>2</v>
      </c>
    </row>
    <row r="153" spans="1:12" x14ac:dyDescent="0.3">
      <c r="A153" s="83">
        <v>152</v>
      </c>
      <c r="B153" s="89">
        <v>78.099999999999994</v>
      </c>
      <c r="C153" s="89">
        <v>23.54</v>
      </c>
      <c r="D153" s="42">
        <v>1999</v>
      </c>
      <c r="E153" s="90">
        <v>4</v>
      </c>
      <c r="F153" s="42">
        <v>3</v>
      </c>
      <c r="G153" s="89">
        <v>4.2</v>
      </c>
      <c r="H153" s="42" t="s">
        <v>29</v>
      </c>
      <c r="I153" s="91">
        <v>30</v>
      </c>
      <c r="J153" s="90">
        <v>15</v>
      </c>
      <c r="K153" s="90">
        <v>8</v>
      </c>
      <c r="L153" s="42" t="s">
        <v>27</v>
      </c>
    </row>
    <row r="154" spans="1:12" x14ac:dyDescent="0.3">
      <c r="A154" s="83">
        <v>153</v>
      </c>
      <c r="B154" s="89">
        <v>77.186999999999998</v>
      </c>
      <c r="C154" s="89">
        <v>22.117000000000001</v>
      </c>
      <c r="D154" s="42">
        <v>1999</v>
      </c>
      <c r="E154" s="90">
        <v>5</v>
      </c>
      <c r="F154" s="42">
        <v>11</v>
      </c>
      <c r="G154" s="89">
        <v>3</v>
      </c>
      <c r="H154" s="42" t="s">
        <v>18</v>
      </c>
      <c r="I154" s="91">
        <v>5</v>
      </c>
      <c r="J154" s="90">
        <v>1</v>
      </c>
      <c r="K154" s="90">
        <v>56</v>
      </c>
      <c r="L154" s="42" t="s">
        <v>12</v>
      </c>
    </row>
    <row r="155" spans="1:12" x14ac:dyDescent="0.3">
      <c r="A155" s="83">
        <v>154</v>
      </c>
      <c r="B155" s="89">
        <v>77.19</v>
      </c>
      <c r="C155" s="89">
        <v>22.12</v>
      </c>
      <c r="D155" s="42">
        <v>1999</v>
      </c>
      <c r="E155" s="90">
        <v>5</v>
      </c>
      <c r="F155" s="42">
        <v>11</v>
      </c>
      <c r="G155" s="89">
        <v>2.9</v>
      </c>
      <c r="H155" s="42" t="s">
        <v>19</v>
      </c>
      <c r="I155" s="91">
        <v>5</v>
      </c>
      <c r="J155" s="90">
        <v>7</v>
      </c>
      <c r="K155" s="90">
        <v>26</v>
      </c>
      <c r="L155" s="42" t="s">
        <v>27</v>
      </c>
    </row>
    <row r="156" spans="1:12" x14ac:dyDescent="0.3">
      <c r="A156" s="83">
        <v>155</v>
      </c>
      <c r="B156" s="89">
        <v>76.445999999999998</v>
      </c>
      <c r="C156" s="89">
        <v>26.401</v>
      </c>
      <c r="D156" s="42">
        <v>1999</v>
      </c>
      <c r="E156" s="90">
        <v>7</v>
      </c>
      <c r="F156" s="42">
        <v>3</v>
      </c>
      <c r="G156" s="89">
        <v>3</v>
      </c>
      <c r="H156" s="42" t="s">
        <v>18</v>
      </c>
      <c r="I156" s="91">
        <v>10</v>
      </c>
      <c r="J156" s="90">
        <v>15</v>
      </c>
      <c r="K156" s="90">
        <v>59</v>
      </c>
      <c r="L156" s="42" t="s">
        <v>12</v>
      </c>
    </row>
    <row r="157" spans="1:12" x14ac:dyDescent="0.3">
      <c r="A157" s="83">
        <v>156</v>
      </c>
      <c r="B157" s="89">
        <v>76.45</v>
      </c>
      <c r="C157" s="89">
        <v>26.4</v>
      </c>
      <c r="D157" s="42">
        <v>1999</v>
      </c>
      <c r="E157" s="90">
        <v>7</v>
      </c>
      <c r="F157" s="42">
        <v>3</v>
      </c>
      <c r="G157" s="89">
        <v>3.5</v>
      </c>
      <c r="H157" s="42" t="s">
        <v>19</v>
      </c>
      <c r="I157" s="91">
        <v>10</v>
      </c>
      <c r="J157" s="90">
        <v>21</v>
      </c>
      <c r="K157" s="90">
        <v>29</v>
      </c>
      <c r="L157" s="42" t="s">
        <v>27</v>
      </c>
    </row>
    <row r="158" spans="1:12" x14ac:dyDescent="0.3">
      <c r="A158" s="83">
        <v>157</v>
      </c>
      <c r="B158" s="89">
        <v>74.16</v>
      </c>
      <c r="C158" s="89">
        <v>21.844000000000001</v>
      </c>
      <c r="D158" s="42">
        <v>1999</v>
      </c>
      <c r="E158" s="90">
        <v>7</v>
      </c>
      <c r="F158" s="42">
        <v>17</v>
      </c>
      <c r="G158" s="89">
        <v>3.4</v>
      </c>
      <c r="H158" s="42" t="s">
        <v>18</v>
      </c>
      <c r="I158" s="91">
        <v>5</v>
      </c>
      <c r="J158" s="90">
        <v>21</v>
      </c>
      <c r="K158" s="90">
        <v>48</v>
      </c>
      <c r="L158" s="42" t="s">
        <v>12</v>
      </c>
    </row>
    <row r="159" spans="1:12" x14ac:dyDescent="0.3">
      <c r="A159" s="83">
        <v>158</v>
      </c>
      <c r="B159" s="89">
        <v>74.16</v>
      </c>
      <c r="C159" s="89">
        <v>21.84</v>
      </c>
      <c r="D159" s="42">
        <v>1999</v>
      </c>
      <c r="E159" s="90">
        <v>7</v>
      </c>
      <c r="F159" s="42">
        <v>18</v>
      </c>
      <c r="G159" s="89">
        <v>3</v>
      </c>
      <c r="H159" s="42" t="s">
        <v>19</v>
      </c>
      <c r="I159" s="91">
        <v>5</v>
      </c>
      <c r="J159" s="90">
        <v>3</v>
      </c>
      <c r="K159" s="90">
        <v>18</v>
      </c>
      <c r="L159" s="42" t="s">
        <v>27</v>
      </c>
    </row>
    <row r="160" spans="1:12" x14ac:dyDescent="0.3">
      <c r="A160" s="83">
        <v>159</v>
      </c>
      <c r="B160" s="89">
        <v>71.932000000000002</v>
      </c>
      <c r="C160" s="89">
        <v>21.808</v>
      </c>
      <c r="D160" s="42">
        <v>1999</v>
      </c>
      <c r="E160" s="90">
        <v>9</v>
      </c>
      <c r="F160" s="42">
        <v>21</v>
      </c>
      <c r="G160" s="89">
        <v>3.3</v>
      </c>
      <c r="H160" s="42" t="s">
        <v>18</v>
      </c>
      <c r="I160" s="91">
        <v>2</v>
      </c>
      <c r="J160" s="90">
        <v>6</v>
      </c>
      <c r="K160" s="90">
        <v>23</v>
      </c>
      <c r="L160" s="42" t="s">
        <v>12</v>
      </c>
    </row>
    <row r="161" spans="1:12" x14ac:dyDescent="0.3">
      <c r="A161" s="83">
        <v>160</v>
      </c>
      <c r="B161" s="89">
        <v>71.930000000000007</v>
      </c>
      <c r="C161" s="89">
        <v>21.81</v>
      </c>
      <c r="D161" s="42">
        <v>1999</v>
      </c>
      <c r="E161" s="90">
        <v>9</v>
      </c>
      <c r="F161" s="42">
        <v>21</v>
      </c>
      <c r="G161" s="89">
        <v>3</v>
      </c>
      <c r="H161" s="42" t="s">
        <v>19</v>
      </c>
      <c r="I161" s="91">
        <v>2</v>
      </c>
      <c r="J161" s="90">
        <v>11</v>
      </c>
      <c r="K161" s="90">
        <v>53</v>
      </c>
      <c r="L161" s="42" t="s">
        <v>27</v>
      </c>
    </row>
    <row r="162" spans="1:12" x14ac:dyDescent="0.3">
      <c r="A162" s="83">
        <v>161</v>
      </c>
      <c r="B162" s="89">
        <v>77.457999999999998</v>
      </c>
      <c r="C162" s="89">
        <v>19.178000000000001</v>
      </c>
      <c r="D162" s="42">
        <v>1999</v>
      </c>
      <c r="E162" s="90">
        <v>10</v>
      </c>
      <c r="F162" s="42">
        <v>9</v>
      </c>
      <c r="G162" s="89">
        <v>3.3</v>
      </c>
      <c r="H162" s="42" t="s">
        <v>18</v>
      </c>
      <c r="I162" s="91">
        <v>15</v>
      </c>
      <c r="J162" s="90">
        <v>5</v>
      </c>
      <c r="K162" s="90">
        <v>58</v>
      </c>
      <c r="L162" s="42" t="s">
        <v>12</v>
      </c>
    </row>
    <row r="163" spans="1:12" x14ac:dyDescent="0.3">
      <c r="A163" s="83">
        <v>162</v>
      </c>
      <c r="B163" s="89">
        <v>77.459999999999994</v>
      </c>
      <c r="C163" s="89">
        <v>19.18</v>
      </c>
      <c r="D163" s="42">
        <v>1999</v>
      </c>
      <c r="E163" s="90">
        <v>10</v>
      </c>
      <c r="F163" s="42">
        <v>9</v>
      </c>
      <c r="G163" s="89">
        <v>2.4</v>
      </c>
      <c r="H163" s="42" t="s">
        <v>19</v>
      </c>
      <c r="I163" s="91">
        <v>15</v>
      </c>
      <c r="J163" s="90">
        <v>11</v>
      </c>
      <c r="K163" s="90">
        <v>28</v>
      </c>
      <c r="L163" s="42" t="s">
        <v>27</v>
      </c>
    </row>
    <row r="164" spans="1:12" x14ac:dyDescent="0.3">
      <c r="A164" s="83">
        <v>163</v>
      </c>
      <c r="B164" s="89">
        <v>77.739000000000004</v>
      </c>
      <c r="C164" s="89">
        <v>19.632000000000001</v>
      </c>
      <c r="D164" s="42">
        <v>2000</v>
      </c>
      <c r="E164" s="90">
        <v>3</v>
      </c>
      <c r="F164" s="42">
        <v>27</v>
      </c>
      <c r="G164" s="89">
        <v>3.2</v>
      </c>
      <c r="H164" s="42" t="s">
        <v>18</v>
      </c>
      <c r="I164" s="91">
        <v>15</v>
      </c>
      <c r="J164" s="90">
        <v>9</v>
      </c>
      <c r="K164" s="90">
        <v>59</v>
      </c>
      <c r="L164" s="42" t="s">
        <v>12</v>
      </c>
    </row>
    <row r="165" spans="1:12" x14ac:dyDescent="0.3">
      <c r="A165" s="83">
        <v>164</v>
      </c>
      <c r="B165" s="89">
        <v>77.739999999999995</v>
      </c>
      <c r="C165" s="89">
        <v>19.63</v>
      </c>
      <c r="D165" s="42">
        <v>2000</v>
      </c>
      <c r="E165" s="90">
        <v>3</v>
      </c>
      <c r="F165" s="42">
        <v>27</v>
      </c>
      <c r="G165" s="89">
        <v>3.2</v>
      </c>
      <c r="H165" s="42" t="s">
        <v>29</v>
      </c>
      <c r="I165" s="91">
        <v>15</v>
      </c>
      <c r="J165" s="90">
        <v>15</v>
      </c>
      <c r="K165" s="90">
        <v>29</v>
      </c>
      <c r="L165" s="42" t="s">
        <v>27</v>
      </c>
    </row>
    <row r="166" spans="1:12" x14ac:dyDescent="0.3">
      <c r="A166" s="83">
        <v>165</v>
      </c>
      <c r="B166" s="89">
        <v>74.507999999999996</v>
      </c>
      <c r="C166" s="89">
        <v>21.864000000000001</v>
      </c>
      <c r="D166" s="42">
        <v>2000</v>
      </c>
      <c r="E166" s="90">
        <v>4</v>
      </c>
      <c r="F166" s="42">
        <v>14</v>
      </c>
      <c r="G166" s="89">
        <v>3.4</v>
      </c>
      <c r="H166" s="42" t="s">
        <v>18</v>
      </c>
      <c r="I166" s="91">
        <v>10</v>
      </c>
      <c r="J166" s="90">
        <v>21</v>
      </c>
      <c r="K166" s="90">
        <v>41</v>
      </c>
      <c r="L166" s="42" t="s">
        <v>12</v>
      </c>
    </row>
    <row r="167" spans="1:12" x14ac:dyDescent="0.3">
      <c r="A167" s="83">
        <v>166</v>
      </c>
      <c r="B167" s="89">
        <v>74.510000000000005</v>
      </c>
      <c r="C167" s="89">
        <v>21.86</v>
      </c>
      <c r="D167" s="42">
        <v>2000</v>
      </c>
      <c r="E167" s="90">
        <v>4</v>
      </c>
      <c r="F167" s="42">
        <v>15</v>
      </c>
      <c r="G167" s="89">
        <v>3.4</v>
      </c>
      <c r="H167" s="42" t="s">
        <v>29</v>
      </c>
      <c r="I167" s="91">
        <v>10</v>
      </c>
      <c r="J167" s="90">
        <v>3</v>
      </c>
      <c r="K167" s="90">
        <v>11</v>
      </c>
      <c r="L167" s="42" t="s">
        <v>27</v>
      </c>
    </row>
    <row r="168" spans="1:12" x14ac:dyDescent="0.3">
      <c r="A168" s="83">
        <v>167</v>
      </c>
      <c r="B168" s="89">
        <v>79.004000000000005</v>
      </c>
      <c r="C168" s="89">
        <v>22.536000000000001</v>
      </c>
      <c r="D168" s="42">
        <v>2000</v>
      </c>
      <c r="E168" s="90">
        <v>5</v>
      </c>
      <c r="F168" s="42">
        <v>2</v>
      </c>
      <c r="G168" s="89">
        <v>3.1</v>
      </c>
      <c r="H168" s="42" t="s">
        <v>19</v>
      </c>
      <c r="I168" s="91">
        <v>15</v>
      </c>
      <c r="J168" s="90">
        <v>9</v>
      </c>
      <c r="K168" s="90">
        <v>25</v>
      </c>
      <c r="L168" s="42" t="s">
        <v>12</v>
      </c>
    </row>
    <row r="169" spans="1:12" x14ac:dyDescent="0.3">
      <c r="A169" s="83">
        <v>168</v>
      </c>
      <c r="B169" s="89">
        <v>79</v>
      </c>
      <c r="C169" s="89">
        <v>22.54</v>
      </c>
      <c r="D169" s="42">
        <v>2000</v>
      </c>
      <c r="E169" s="90">
        <v>5</v>
      </c>
      <c r="F169" s="42">
        <v>2</v>
      </c>
      <c r="G169" s="89">
        <v>3.1</v>
      </c>
      <c r="H169" s="42" t="s">
        <v>19</v>
      </c>
      <c r="I169" s="91">
        <v>15</v>
      </c>
      <c r="J169" s="90">
        <v>14</v>
      </c>
      <c r="K169" s="90">
        <v>55</v>
      </c>
      <c r="L169" s="42" t="s">
        <v>27</v>
      </c>
    </row>
    <row r="170" spans="1:12" x14ac:dyDescent="0.3">
      <c r="A170" s="83">
        <v>169</v>
      </c>
      <c r="B170" s="84">
        <v>76.62</v>
      </c>
      <c r="C170" s="84">
        <v>18.170000000000002</v>
      </c>
      <c r="D170" s="85">
        <v>2000</v>
      </c>
      <c r="E170" s="86">
        <v>6</v>
      </c>
      <c r="F170" s="85">
        <v>19</v>
      </c>
      <c r="G170" s="84">
        <v>4.7</v>
      </c>
      <c r="H170" s="87" t="s">
        <v>26</v>
      </c>
      <c r="I170" s="88">
        <v>0</v>
      </c>
      <c r="J170" s="86">
        <v>8</v>
      </c>
      <c r="K170" s="86">
        <v>22</v>
      </c>
      <c r="L170" s="85">
        <v>1</v>
      </c>
    </row>
    <row r="171" spans="1:12" x14ac:dyDescent="0.3">
      <c r="A171" s="83">
        <v>170</v>
      </c>
      <c r="B171" s="89">
        <v>79.423699999999997</v>
      </c>
      <c r="C171" s="89">
        <v>19.757000000000001</v>
      </c>
      <c r="D171" s="42">
        <v>2000</v>
      </c>
      <c r="E171" s="90">
        <v>6</v>
      </c>
      <c r="F171" s="42">
        <v>22</v>
      </c>
      <c r="G171" s="89">
        <v>4.2</v>
      </c>
      <c r="H171" s="42" t="s">
        <v>19</v>
      </c>
      <c r="I171" s="91">
        <v>35</v>
      </c>
      <c r="J171" s="90">
        <v>10</v>
      </c>
      <c r="K171" s="90">
        <v>10</v>
      </c>
      <c r="L171" s="42" t="s">
        <v>12</v>
      </c>
    </row>
    <row r="172" spans="1:12" x14ac:dyDescent="0.3">
      <c r="A172" s="83">
        <v>171</v>
      </c>
      <c r="B172" s="84">
        <v>78.81</v>
      </c>
      <c r="C172" s="84">
        <v>19.84</v>
      </c>
      <c r="D172" s="85">
        <v>2000</v>
      </c>
      <c r="E172" s="86">
        <v>6</v>
      </c>
      <c r="F172" s="85">
        <v>22</v>
      </c>
      <c r="G172" s="84">
        <v>4.0999999999999996</v>
      </c>
      <c r="H172" s="87" t="s">
        <v>26</v>
      </c>
      <c r="I172" s="88">
        <v>5</v>
      </c>
      <c r="J172" s="86">
        <v>10</v>
      </c>
      <c r="K172" s="86">
        <v>10</v>
      </c>
      <c r="L172" s="85">
        <v>2</v>
      </c>
    </row>
    <row r="173" spans="1:12" x14ac:dyDescent="0.3">
      <c r="A173" s="83">
        <v>172</v>
      </c>
      <c r="B173" s="89">
        <v>78.81</v>
      </c>
      <c r="C173" s="89">
        <v>19.84</v>
      </c>
      <c r="D173" s="42">
        <v>2000</v>
      </c>
      <c r="E173" s="90">
        <v>6</v>
      </c>
      <c r="F173" s="42">
        <v>22</v>
      </c>
      <c r="G173" s="89">
        <v>4.2</v>
      </c>
      <c r="H173" s="42" t="s">
        <v>19</v>
      </c>
      <c r="I173" s="91">
        <v>5</v>
      </c>
      <c r="J173" s="90">
        <v>15</v>
      </c>
      <c r="K173" s="90">
        <v>40</v>
      </c>
      <c r="L173" s="42" t="s">
        <v>27</v>
      </c>
    </row>
    <row r="174" spans="1:12" x14ac:dyDescent="0.3">
      <c r="A174" s="83">
        <v>173</v>
      </c>
      <c r="B174" s="89">
        <v>78.867000000000004</v>
      </c>
      <c r="C174" s="89">
        <v>21.95</v>
      </c>
      <c r="D174" s="42">
        <v>2000</v>
      </c>
      <c r="E174" s="90">
        <v>6</v>
      </c>
      <c r="F174" s="42">
        <v>30</v>
      </c>
      <c r="G174" s="89">
        <v>3.6</v>
      </c>
      <c r="H174" s="42" t="s">
        <v>18</v>
      </c>
      <c r="I174" s="91">
        <v>15</v>
      </c>
      <c r="J174" s="90">
        <v>13</v>
      </c>
      <c r="K174" s="90">
        <v>57</v>
      </c>
      <c r="L174" s="42" t="s">
        <v>12</v>
      </c>
    </row>
    <row r="175" spans="1:12" x14ac:dyDescent="0.3">
      <c r="A175" s="83">
        <v>174</v>
      </c>
      <c r="B175" s="89">
        <v>78.87</v>
      </c>
      <c r="C175" s="89">
        <v>21.95</v>
      </c>
      <c r="D175" s="42">
        <v>2000</v>
      </c>
      <c r="E175" s="90">
        <v>6</v>
      </c>
      <c r="F175" s="42">
        <v>30</v>
      </c>
      <c r="G175" s="89">
        <v>3.3</v>
      </c>
      <c r="H175" s="42" t="s">
        <v>19</v>
      </c>
      <c r="I175" s="91">
        <v>15</v>
      </c>
      <c r="J175" s="90">
        <v>19</v>
      </c>
      <c r="K175" s="90">
        <v>27</v>
      </c>
      <c r="L175" s="42" t="s">
        <v>27</v>
      </c>
    </row>
    <row r="176" spans="1:12" x14ac:dyDescent="0.3">
      <c r="A176" s="83">
        <v>175</v>
      </c>
      <c r="B176" s="89">
        <v>75.33</v>
      </c>
      <c r="C176" s="89">
        <v>21.743099999999998</v>
      </c>
      <c r="D176" s="42">
        <v>2000</v>
      </c>
      <c r="E176" s="90">
        <v>7</v>
      </c>
      <c r="F176" s="42">
        <v>10</v>
      </c>
      <c r="G176" s="89">
        <v>3.5</v>
      </c>
      <c r="H176" s="42" t="s">
        <v>18</v>
      </c>
      <c r="I176" s="91">
        <v>35</v>
      </c>
      <c r="J176" s="90">
        <v>12</v>
      </c>
      <c r="K176" s="90">
        <v>6</v>
      </c>
      <c r="L176" s="42" t="s">
        <v>12</v>
      </c>
    </row>
    <row r="177" spans="1:12" x14ac:dyDescent="0.3">
      <c r="A177" s="83">
        <v>176</v>
      </c>
      <c r="B177" s="89">
        <v>75.510000000000005</v>
      </c>
      <c r="C177" s="89">
        <v>21.51</v>
      </c>
      <c r="D177" s="42">
        <v>2000</v>
      </c>
      <c r="E177" s="90">
        <v>7</v>
      </c>
      <c r="F177" s="42">
        <v>10</v>
      </c>
      <c r="G177" s="89">
        <v>3.3</v>
      </c>
      <c r="H177" s="42" t="s">
        <v>19</v>
      </c>
      <c r="I177" s="91">
        <v>20</v>
      </c>
      <c r="J177" s="90">
        <v>17</v>
      </c>
      <c r="K177" s="90">
        <v>36</v>
      </c>
      <c r="L177" s="42" t="s">
        <v>27</v>
      </c>
    </row>
    <row r="178" spans="1:12" x14ac:dyDescent="0.3">
      <c r="A178" s="83">
        <v>177</v>
      </c>
      <c r="B178" s="89">
        <v>75.171000000000006</v>
      </c>
      <c r="C178" s="89">
        <v>21.715</v>
      </c>
      <c r="D178" s="42">
        <v>2000</v>
      </c>
      <c r="E178" s="90">
        <v>7</v>
      </c>
      <c r="F178" s="42">
        <v>24</v>
      </c>
      <c r="G178" s="89">
        <v>3.3</v>
      </c>
      <c r="H178" s="42" t="s">
        <v>18</v>
      </c>
      <c r="I178" s="91">
        <v>15</v>
      </c>
      <c r="J178" s="90">
        <v>9</v>
      </c>
      <c r="K178" s="90">
        <v>19</v>
      </c>
      <c r="L178" s="42" t="s">
        <v>12</v>
      </c>
    </row>
    <row r="179" spans="1:12" x14ac:dyDescent="0.3">
      <c r="A179" s="83">
        <v>178</v>
      </c>
      <c r="B179" s="89">
        <v>75.17</v>
      </c>
      <c r="C179" s="89">
        <v>21.72</v>
      </c>
      <c r="D179" s="42">
        <v>2000</v>
      </c>
      <c r="E179" s="90">
        <v>7</v>
      </c>
      <c r="F179" s="42">
        <v>24</v>
      </c>
      <c r="G179" s="89">
        <v>3</v>
      </c>
      <c r="H179" s="42" t="s">
        <v>19</v>
      </c>
      <c r="I179" s="91">
        <v>15</v>
      </c>
      <c r="J179" s="90">
        <v>14</v>
      </c>
      <c r="K179" s="90">
        <v>49</v>
      </c>
      <c r="L179" s="42" t="s">
        <v>27</v>
      </c>
    </row>
    <row r="180" spans="1:12" x14ac:dyDescent="0.3">
      <c r="A180" s="83">
        <v>179</v>
      </c>
      <c r="B180" s="89">
        <v>72.254000000000005</v>
      </c>
      <c r="C180" s="89">
        <v>21.763999999999999</v>
      </c>
      <c r="D180" s="42">
        <v>2000</v>
      </c>
      <c r="E180" s="90">
        <v>8</v>
      </c>
      <c r="F180" s="42">
        <v>10</v>
      </c>
      <c r="G180" s="89">
        <v>3.6</v>
      </c>
      <c r="H180" s="42" t="s">
        <v>18</v>
      </c>
      <c r="I180" s="91">
        <v>5</v>
      </c>
      <c r="J180" s="90">
        <v>13</v>
      </c>
      <c r="K180" s="90">
        <v>30</v>
      </c>
      <c r="L180" s="42" t="s">
        <v>12</v>
      </c>
    </row>
    <row r="181" spans="1:12" x14ac:dyDescent="0.3">
      <c r="A181" s="83">
        <v>180</v>
      </c>
      <c r="B181" s="89">
        <v>72.25</v>
      </c>
      <c r="C181" s="89">
        <v>21.76</v>
      </c>
      <c r="D181" s="42">
        <v>2000</v>
      </c>
      <c r="E181" s="90">
        <v>8</v>
      </c>
      <c r="F181" s="42">
        <v>10</v>
      </c>
      <c r="G181" s="89">
        <v>2.9</v>
      </c>
      <c r="H181" s="42" t="s">
        <v>19</v>
      </c>
      <c r="I181" s="91">
        <v>5</v>
      </c>
      <c r="J181" s="90">
        <v>19</v>
      </c>
      <c r="K181" s="90">
        <v>0</v>
      </c>
      <c r="L181" s="42" t="s">
        <v>27</v>
      </c>
    </row>
    <row r="182" spans="1:12" x14ac:dyDescent="0.3">
      <c r="A182" s="83">
        <v>181</v>
      </c>
      <c r="B182" s="89">
        <v>72.191000000000003</v>
      </c>
      <c r="C182" s="89">
        <v>21.808</v>
      </c>
      <c r="D182" s="42">
        <v>2000</v>
      </c>
      <c r="E182" s="90">
        <v>8</v>
      </c>
      <c r="F182" s="42">
        <v>13</v>
      </c>
      <c r="G182" s="89">
        <v>3.1</v>
      </c>
      <c r="H182" s="42" t="s">
        <v>19</v>
      </c>
      <c r="I182" s="91">
        <v>27.8</v>
      </c>
      <c r="J182" s="90">
        <v>4</v>
      </c>
      <c r="K182" s="90">
        <v>24</v>
      </c>
      <c r="L182" s="42" t="s">
        <v>12</v>
      </c>
    </row>
    <row r="183" spans="1:12" x14ac:dyDescent="0.3">
      <c r="A183" s="83">
        <v>182</v>
      </c>
      <c r="B183" s="89">
        <v>72.19</v>
      </c>
      <c r="C183" s="89">
        <v>21.81</v>
      </c>
      <c r="D183" s="42">
        <v>2000</v>
      </c>
      <c r="E183" s="90">
        <v>8</v>
      </c>
      <c r="F183" s="42">
        <v>13</v>
      </c>
      <c r="G183" s="89">
        <v>3.1</v>
      </c>
      <c r="H183" s="42" t="s">
        <v>19</v>
      </c>
      <c r="I183" s="91">
        <v>27</v>
      </c>
      <c r="J183" s="90">
        <v>9</v>
      </c>
      <c r="K183" s="90">
        <v>54</v>
      </c>
      <c r="L183" s="42" t="s">
        <v>27</v>
      </c>
    </row>
    <row r="184" spans="1:12" x14ac:dyDescent="0.3">
      <c r="A184" s="83">
        <v>183</v>
      </c>
      <c r="B184" s="89">
        <v>72.3352</v>
      </c>
      <c r="C184" s="89">
        <v>21.802199999999999</v>
      </c>
      <c r="D184" s="42">
        <v>2000</v>
      </c>
      <c r="E184" s="90">
        <v>9</v>
      </c>
      <c r="F184" s="42">
        <v>12</v>
      </c>
      <c r="G184" s="89">
        <v>3.7</v>
      </c>
      <c r="H184" s="42" t="s">
        <v>2</v>
      </c>
      <c r="I184" s="91">
        <v>35</v>
      </c>
      <c r="J184" s="90">
        <v>0</v>
      </c>
      <c r="K184" s="90">
        <v>53</v>
      </c>
      <c r="L184" s="42" t="s">
        <v>10</v>
      </c>
    </row>
    <row r="185" spans="1:12" x14ac:dyDescent="0.3">
      <c r="A185" s="83">
        <v>184</v>
      </c>
      <c r="B185" s="84">
        <v>72.42</v>
      </c>
      <c r="C185" s="84">
        <v>21.81</v>
      </c>
      <c r="D185" s="85">
        <v>2000</v>
      </c>
      <c r="E185" s="86">
        <v>9</v>
      </c>
      <c r="F185" s="85">
        <v>12</v>
      </c>
      <c r="G185" s="84">
        <v>4.3</v>
      </c>
      <c r="H185" s="87" t="s">
        <v>26</v>
      </c>
      <c r="I185" s="88">
        <v>0</v>
      </c>
      <c r="J185" s="86">
        <v>0</v>
      </c>
      <c r="K185" s="86">
        <v>53</v>
      </c>
      <c r="L185" s="85">
        <v>1</v>
      </c>
    </row>
    <row r="186" spans="1:12" x14ac:dyDescent="0.3">
      <c r="A186" s="83">
        <v>185</v>
      </c>
      <c r="B186" s="89">
        <v>79.085999999999999</v>
      </c>
      <c r="C186" s="89">
        <v>22.356999999999999</v>
      </c>
      <c r="D186" s="42">
        <v>2000</v>
      </c>
      <c r="E186" s="90">
        <v>9</v>
      </c>
      <c r="F186" s="42">
        <v>12</v>
      </c>
      <c r="G186" s="89">
        <v>4.0999999999999996</v>
      </c>
      <c r="H186" s="42" t="s">
        <v>18</v>
      </c>
      <c r="I186" s="91">
        <v>8.9</v>
      </c>
      <c r="J186" s="90">
        <v>2</v>
      </c>
      <c r="K186" s="90">
        <v>46</v>
      </c>
      <c r="L186" s="42" t="s">
        <v>12</v>
      </c>
    </row>
    <row r="187" spans="1:12" x14ac:dyDescent="0.3">
      <c r="A187" s="83">
        <v>186</v>
      </c>
      <c r="B187" s="89">
        <v>72.12</v>
      </c>
      <c r="C187" s="89">
        <v>21.68</v>
      </c>
      <c r="D187" s="42">
        <v>2000</v>
      </c>
      <c r="E187" s="90">
        <v>9</v>
      </c>
      <c r="F187" s="42">
        <v>12</v>
      </c>
      <c r="G187" s="89">
        <v>3.8</v>
      </c>
      <c r="H187" s="42" t="s">
        <v>19</v>
      </c>
      <c r="I187" s="91">
        <v>10</v>
      </c>
      <c r="J187" s="90">
        <v>6</v>
      </c>
      <c r="K187" s="90">
        <v>23</v>
      </c>
      <c r="L187" s="42" t="s">
        <v>27</v>
      </c>
    </row>
    <row r="188" spans="1:12" x14ac:dyDescent="0.3">
      <c r="A188" s="83">
        <v>187</v>
      </c>
      <c r="B188" s="89">
        <v>72.147999999999996</v>
      </c>
      <c r="C188" s="89">
        <v>21.696999999999999</v>
      </c>
      <c r="D188" s="42">
        <v>2000</v>
      </c>
      <c r="E188" s="90">
        <v>9</v>
      </c>
      <c r="F188" s="42">
        <v>13</v>
      </c>
      <c r="G188" s="89">
        <v>3.2</v>
      </c>
      <c r="H188" s="42" t="s">
        <v>19</v>
      </c>
      <c r="I188" s="91">
        <v>5</v>
      </c>
      <c r="J188" s="90">
        <v>12</v>
      </c>
      <c r="K188" s="90">
        <v>40</v>
      </c>
      <c r="L188" s="42" t="s">
        <v>12</v>
      </c>
    </row>
    <row r="189" spans="1:12" x14ac:dyDescent="0.3">
      <c r="A189" s="83">
        <v>188</v>
      </c>
      <c r="B189" s="89">
        <v>72.138999999999996</v>
      </c>
      <c r="C189" s="89">
        <v>21.696999999999999</v>
      </c>
      <c r="D189" s="42">
        <v>2000</v>
      </c>
      <c r="E189" s="90">
        <v>9</v>
      </c>
      <c r="F189" s="42">
        <v>13</v>
      </c>
      <c r="G189" s="89">
        <v>3.1</v>
      </c>
      <c r="H189" s="42" t="s">
        <v>19</v>
      </c>
      <c r="I189" s="91">
        <v>5</v>
      </c>
      <c r="J189" s="90">
        <v>13</v>
      </c>
      <c r="K189" s="90">
        <v>5</v>
      </c>
      <c r="L189" s="42" t="s">
        <v>12</v>
      </c>
    </row>
    <row r="190" spans="1:12" x14ac:dyDescent="0.3">
      <c r="A190" s="83">
        <v>189</v>
      </c>
      <c r="B190" s="89">
        <v>72.150000000000006</v>
      </c>
      <c r="C190" s="89">
        <v>21.7</v>
      </c>
      <c r="D190" s="42">
        <v>2000</v>
      </c>
      <c r="E190" s="90">
        <v>9</v>
      </c>
      <c r="F190" s="42">
        <v>13</v>
      </c>
      <c r="G190" s="89">
        <v>3.2</v>
      </c>
      <c r="H190" s="42" t="s">
        <v>19</v>
      </c>
      <c r="I190" s="91">
        <v>5</v>
      </c>
      <c r="J190" s="90">
        <v>18</v>
      </c>
      <c r="K190" s="90">
        <v>10</v>
      </c>
      <c r="L190" s="42" t="s">
        <v>27</v>
      </c>
    </row>
    <row r="191" spans="1:12" x14ac:dyDescent="0.3">
      <c r="A191" s="83">
        <v>190</v>
      </c>
      <c r="B191" s="89">
        <v>72.14</v>
      </c>
      <c r="C191" s="89">
        <v>21.7</v>
      </c>
      <c r="D191" s="42">
        <v>2000</v>
      </c>
      <c r="E191" s="90">
        <v>9</v>
      </c>
      <c r="F191" s="42">
        <v>13</v>
      </c>
      <c r="G191" s="89">
        <v>3.1</v>
      </c>
      <c r="H191" s="42" t="s">
        <v>19</v>
      </c>
      <c r="I191" s="91">
        <v>5</v>
      </c>
      <c r="J191" s="90">
        <v>18</v>
      </c>
      <c r="K191" s="90">
        <v>35</v>
      </c>
      <c r="L191" s="42" t="s">
        <v>27</v>
      </c>
    </row>
    <row r="192" spans="1:12" x14ac:dyDescent="0.3">
      <c r="A192" s="83">
        <v>191</v>
      </c>
      <c r="B192" s="89">
        <v>72.135000000000005</v>
      </c>
      <c r="C192" s="89">
        <v>21.731000000000002</v>
      </c>
      <c r="D192" s="42">
        <v>2000</v>
      </c>
      <c r="E192" s="90">
        <v>9</v>
      </c>
      <c r="F192" s="42">
        <v>14</v>
      </c>
      <c r="G192" s="89">
        <v>3.1</v>
      </c>
      <c r="H192" s="42" t="s">
        <v>19</v>
      </c>
      <c r="I192" s="91">
        <v>1.4</v>
      </c>
      <c r="J192" s="90">
        <v>16</v>
      </c>
      <c r="K192" s="90">
        <v>35</v>
      </c>
      <c r="L192" s="42" t="s">
        <v>12</v>
      </c>
    </row>
    <row r="193" spans="1:12" x14ac:dyDescent="0.3">
      <c r="A193" s="83">
        <v>192</v>
      </c>
      <c r="B193" s="89">
        <v>72.14</v>
      </c>
      <c r="C193" s="89">
        <v>21.73</v>
      </c>
      <c r="D193" s="42">
        <v>2000</v>
      </c>
      <c r="E193" s="90">
        <v>9</v>
      </c>
      <c r="F193" s="42">
        <v>14</v>
      </c>
      <c r="G193" s="89">
        <v>3.1</v>
      </c>
      <c r="H193" s="42" t="s">
        <v>19</v>
      </c>
      <c r="I193" s="91">
        <v>1</v>
      </c>
      <c r="J193" s="90">
        <v>22</v>
      </c>
      <c r="K193" s="90">
        <v>5</v>
      </c>
      <c r="L193" s="42" t="s">
        <v>27</v>
      </c>
    </row>
    <row r="194" spans="1:12" x14ac:dyDescent="0.3">
      <c r="A194" s="83">
        <v>193</v>
      </c>
      <c r="B194" s="89">
        <v>79.018000000000001</v>
      </c>
      <c r="C194" s="89">
        <v>25.693999999999999</v>
      </c>
      <c r="D194" s="42">
        <v>2000</v>
      </c>
      <c r="E194" s="90">
        <v>10</v>
      </c>
      <c r="F194" s="42">
        <v>7</v>
      </c>
      <c r="G194" s="89">
        <v>3.4</v>
      </c>
      <c r="H194" s="42" t="s">
        <v>19</v>
      </c>
      <c r="I194" s="91">
        <v>33</v>
      </c>
      <c r="J194" s="90">
        <v>15</v>
      </c>
      <c r="K194" s="90">
        <v>32</v>
      </c>
      <c r="L194" s="42" t="s">
        <v>12</v>
      </c>
    </row>
    <row r="195" spans="1:12" x14ac:dyDescent="0.3">
      <c r="A195" s="83">
        <v>194</v>
      </c>
      <c r="B195" s="89">
        <v>79.2</v>
      </c>
      <c r="C195" s="89">
        <v>25.69</v>
      </c>
      <c r="D195" s="42">
        <v>2000</v>
      </c>
      <c r="E195" s="90">
        <v>10</v>
      </c>
      <c r="F195" s="42">
        <v>7</v>
      </c>
      <c r="G195" s="89">
        <v>3.4</v>
      </c>
      <c r="H195" s="42" t="s">
        <v>19</v>
      </c>
      <c r="I195" s="91">
        <v>33</v>
      </c>
      <c r="J195" s="90">
        <v>21</v>
      </c>
      <c r="K195" s="90">
        <v>2</v>
      </c>
      <c r="L195" s="42" t="s">
        <v>27</v>
      </c>
    </row>
    <row r="196" spans="1:12" x14ac:dyDescent="0.3">
      <c r="A196" s="83">
        <v>195</v>
      </c>
      <c r="B196" s="89">
        <v>76.343000000000004</v>
      </c>
      <c r="C196" s="89">
        <v>19.292999999999999</v>
      </c>
      <c r="D196" s="42">
        <v>2000</v>
      </c>
      <c r="E196" s="90">
        <v>10</v>
      </c>
      <c r="F196" s="42">
        <v>9</v>
      </c>
      <c r="G196" s="89">
        <v>3.1</v>
      </c>
      <c r="H196" s="42" t="s">
        <v>18</v>
      </c>
      <c r="I196" s="91">
        <v>15</v>
      </c>
      <c r="J196" s="90">
        <v>2</v>
      </c>
      <c r="K196" s="90">
        <v>47</v>
      </c>
      <c r="L196" s="42" t="s">
        <v>12</v>
      </c>
    </row>
    <row r="197" spans="1:12" x14ac:dyDescent="0.3">
      <c r="A197" s="83">
        <v>196</v>
      </c>
      <c r="B197" s="89">
        <v>76.34</v>
      </c>
      <c r="C197" s="89">
        <v>19.29</v>
      </c>
      <c r="D197" s="42">
        <v>2000</v>
      </c>
      <c r="E197" s="90">
        <v>10</v>
      </c>
      <c r="F197" s="42">
        <v>9</v>
      </c>
      <c r="G197" s="89">
        <v>3.1</v>
      </c>
      <c r="H197" s="42" t="s">
        <v>29</v>
      </c>
      <c r="I197" s="91">
        <v>15</v>
      </c>
      <c r="J197" s="90">
        <v>8</v>
      </c>
      <c r="K197" s="90">
        <v>17</v>
      </c>
      <c r="L197" s="42" t="s">
        <v>27</v>
      </c>
    </row>
    <row r="198" spans="1:12" x14ac:dyDescent="0.3">
      <c r="A198" s="83">
        <v>197</v>
      </c>
      <c r="B198" s="89">
        <v>80.286600000000007</v>
      </c>
      <c r="C198" s="89">
        <v>23.259399999999999</v>
      </c>
      <c r="D198" s="42">
        <v>2000</v>
      </c>
      <c r="E198" s="90">
        <v>10</v>
      </c>
      <c r="F198" s="42">
        <v>16</v>
      </c>
      <c r="G198" s="89">
        <v>4.5</v>
      </c>
      <c r="H198" s="42" t="s">
        <v>2</v>
      </c>
      <c r="I198" s="91">
        <v>25.9</v>
      </c>
      <c r="J198" s="90">
        <v>22</v>
      </c>
      <c r="K198" s="90">
        <v>33</v>
      </c>
      <c r="L198" s="42" t="s">
        <v>10</v>
      </c>
    </row>
    <row r="199" spans="1:12" x14ac:dyDescent="0.3">
      <c r="A199" s="83">
        <v>198</v>
      </c>
      <c r="B199" s="89">
        <v>80.3</v>
      </c>
      <c r="C199" s="89">
        <v>23.28</v>
      </c>
      <c r="D199" s="42">
        <v>2000</v>
      </c>
      <c r="E199" s="90">
        <v>10</v>
      </c>
      <c r="F199" s="42">
        <v>16</v>
      </c>
      <c r="G199" s="89">
        <v>4.7</v>
      </c>
      <c r="H199" s="42" t="s">
        <v>2</v>
      </c>
      <c r="I199" s="91">
        <v>33</v>
      </c>
      <c r="J199" s="90">
        <v>22</v>
      </c>
      <c r="K199" s="90">
        <v>33</v>
      </c>
      <c r="L199" s="42" t="s">
        <v>25</v>
      </c>
    </row>
    <row r="200" spans="1:12" x14ac:dyDescent="0.3">
      <c r="A200" s="83">
        <v>199</v>
      </c>
      <c r="B200" s="89">
        <v>80.33</v>
      </c>
      <c r="C200" s="89">
        <v>23.22</v>
      </c>
      <c r="D200" s="42">
        <v>2000</v>
      </c>
      <c r="E200" s="90">
        <v>10</v>
      </c>
      <c r="F200" s="42">
        <v>17</v>
      </c>
      <c r="G200" s="89">
        <v>5.2</v>
      </c>
      <c r="H200" s="42" t="s">
        <v>19</v>
      </c>
      <c r="I200" s="91">
        <v>33</v>
      </c>
      <c r="J200" s="90">
        <v>4</v>
      </c>
      <c r="K200" s="90">
        <v>3</v>
      </c>
      <c r="L200" s="42" t="s">
        <v>27</v>
      </c>
    </row>
    <row r="201" spans="1:12" x14ac:dyDescent="0.3">
      <c r="A201" s="83">
        <v>200</v>
      </c>
      <c r="B201" s="89">
        <v>79.507999999999996</v>
      </c>
      <c r="C201" s="89">
        <v>22.465</v>
      </c>
      <c r="D201" s="42">
        <v>2001</v>
      </c>
      <c r="E201" s="90">
        <v>1</v>
      </c>
      <c r="F201" s="42">
        <v>3</v>
      </c>
      <c r="G201" s="89">
        <v>3</v>
      </c>
      <c r="H201" s="42" t="s">
        <v>19</v>
      </c>
      <c r="I201" s="91">
        <v>33</v>
      </c>
      <c r="J201" s="90">
        <v>16</v>
      </c>
      <c r="K201" s="90">
        <v>45</v>
      </c>
      <c r="L201" s="42" t="s">
        <v>12</v>
      </c>
    </row>
    <row r="202" spans="1:12" x14ac:dyDescent="0.3">
      <c r="A202" s="83">
        <v>201</v>
      </c>
      <c r="B202" s="89">
        <v>79.510000000000005</v>
      </c>
      <c r="C202" s="89">
        <v>22.47</v>
      </c>
      <c r="D202" s="42">
        <v>2001</v>
      </c>
      <c r="E202" s="90">
        <v>1</v>
      </c>
      <c r="F202" s="42">
        <v>3</v>
      </c>
      <c r="G202" s="89">
        <v>3</v>
      </c>
      <c r="H202" s="42" t="s">
        <v>19</v>
      </c>
      <c r="I202" s="91">
        <v>33</v>
      </c>
      <c r="J202" s="90">
        <v>22</v>
      </c>
      <c r="K202" s="90">
        <v>15</v>
      </c>
      <c r="L202" s="42" t="s">
        <v>27</v>
      </c>
    </row>
    <row r="203" spans="1:12" x14ac:dyDescent="0.3">
      <c r="A203" s="83">
        <v>202</v>
      </c>
      <c r="B203" s="84">
        <v>80.22</v>
      </c>
      <c r="C203" s="84">
        <v>26.71</v>
      </c>
      <c r="D203" s="85">
        <v>2001</v>
      </c>
      <c r="E203" s="86">
        <v>1</v>
      </c>
      <c r="F203" s="86">
        <v>8</v>
      </c>
      <c r="G203" s="84">
        <v>3.9</v>
      </c>
      <c r="H203" s="87" t="s">
        <v>26</v>
      </c>
      <c r="I203" s="88">
        <v>33</v>
      </c>
      <c r="J203" s="86">
        <v>15</v>
      </c>
      <c r="K203" s="86">
        <v>44</v>
      </c>
      <c r="L203" s="85">
        <v>2</v>
      </c>
    </row>
    <row r="204" spans="1:12" x14ac:dyDescent="0.3">
      <c r="A204" s="83">
        <v>203</v>
      </c>
      <c r="B204" s="89">
        <v>75.399000000000001</v>
      </c>
      <c r="C204" s="89">
        <v>22.731000000000002</v>
      </c>
      <c r="D204" s="42">
        <v>2001</v>
      </c>
      <c r="E204" s="90">
        <v>1</v>
      </c>
      <c r="F204" s="42">
        <v>12</v>
      </c>
      <c r="G204" s="89">
        <v>3.4</v>
      </c>
      <c r="H204" s="42" t="s">
        <v>18</v>
      </c>
      <c r="I204" s="91">
        <v>2.9</v>
      </c>
      <c r="J204" s="90">
        <v>23</v>
      </c>
      <c r="K204" s="90">
        <v>36</v>
      </c>
      <c r="L204" s="42" t="s">
        <v>12</v>
      </c>
    </row>
    <row r="205" spans="1:12" x14ac:dyDescent="0.3">
      <c r="A205" s="83">
        <v>204</v>
      </c>
      <c r="B205" s="89">
        <v>75.400000000000006</v>
      </c>
      <c r="C205" s="89">
        <v>22.73</v>
      </c>
      <c r="D205" s="42">
        <v>2001</v>
      </c>
      <c r="E205" s="90">
        <v>1</v>
      </c>
      <c r="F205" s="42">
        <v>13</v>
      </c>
      <c r="G205" s="89">
        <v>3.3</v>
      </c>
      <c r="H205" s="42" t="s">
        <v>19</v>
      </c>
      <c r="I205" s="91">
        <v>2</v>
      </c>
      <c r="J205" s="90">
        <v>5</v>
      </c>
      <c r="K205" s="90">
        <v>6</v>
      </c>
      <c r="L205" s="42" t="s">
        <v>27</v>
      </c>
    </row>
    <row r="206" spans="1:12" x14ac:dyDescent="0.3">
      <c r="A206" s="83">
        <v>205</v>
      </c>
      <c r="B206" s="89">
        <v>79.772000000000006</v>
      </c>
      <c r="C206" s="89">
        <v>23.161000000000001</v>
      </c>
      <c r="D206" s="42">
        <v>2001</v>
      </c>
      <c r="E206" s="90">
        <v>1</v>
      </c>
      <c r="F206" s="42">
        <v>23</v>
      </c>
      <c r="G206" s="89">
        <v>3.4</v>
      </c>
      <c r="H206" s="42" t="s">
        <v>20</v>
      </c>
      <c r="I206" s="91">
        <v>13.1</v>
      </c>
      <c r="J206" s="90">
        <v>17</v>
      </c>
      <c r="K206" s="90">
        <v>52</v>
      </c>
      <c r="L206" s="42" t="s">
        <v>12</v>
      </c>
    </row>
    <row r="207" spans="1:12" x14ac:dyDescent="0.3">
      <c r="A207" s="83">
        <v>206</v>
      </c>
      <c r="B207" s="89">
        <v>79.77</v>
      </c>
      <c r="C207" s="89">
        <v>23.16</v>
      </c>
      <c r="D207" s="42">
        <v>2001</v>
      </c>
      <c r="E207" s="90">
        <v>1</v>
      </c>
      <c r="F207" s="42">
        <v>23</v>
      </c>
      <c r="G207" s="89">
        <v>3.4</v>
      </c>
      <c r="H207" s="42" t="s">
        <v>20</v>
      </c>
      <c r="I207" s="91">
        <v>13</v>
      </c>
      <c r="J207" s="90">
        <v>23</v>
      </c>
      <c r="K207" s="90">
        <v>22</v>
      </c>
      <c r="L207" s="42" t="s">
        <v>27</v>
      </c>
    </row>
    <row r="208" spans="1:12" x14ac:dyDescent="0.3">
      <c r="A208" s="83">
        <v>207</v>
      </c>
      <c r="B208" s="89">
        <v>71.165000000000006</v>
      </c>
      <c r="C208" s="89">
        <v>23.222999999999999</v>
      </c>
      <c r="D208" s="42">
        <v>2001</v>
      </c>
      <c r="E208" s="90">
        <v>1</v>
      </c>
      <c r="F208" s="42">
        <v>26</v>
      </c>
      <c r="G208" s="89">
        <v>4.7</v>
      </c>
      <c r="H208" s="42" t="s">
        <v>2</v>
      </c>
      <c r="I208" s="91">
        <v>10</v>
      </c>
      <c r="J208" s="90">
        <v>8</v>
      </c>
      <c r="K208" s="90">
        <v>42</v>
      </c>
      <c r="L208" s="42" t="s">
        <v>25</v>
      </c>
    </row>
    <row r="209" spans="1:12" x14ac:dyDescent="0.3">
      <c r="A209" s="83">
        <v>208</v>
      </c>
      <c r="B209" s="89">
        <v>71.058000000000007</v>
      </c>
      <c r="C209" s="89">
        <v>23.527000000000001</v>
      </c>
      <c r="D209" s="42">
        <v>2001</v>
      </c>
      <c r="E209" s="90">
        <v>1</v>
      </c>
      <c r="F209" s="42">
        <v>26</v>
      </c>
      <c r="G209" s="89">
        <v>3.3</v>
      </c>
      <c r="H209" s="42" t="s">
        <v>19</v>
      </c>
      <c r="I209" s="91">
        <v>33</v>
      </c>
      <c r="J209" s="90">
        <v>12</v>
      </c>
      <c r="K209" s="90">
        <v>23</v>
      </c>
      <c r="L209" s="42" t="s">
        <v>12</v>
      </c>
    </row>
    <row r="210" spans="1:12" x14ac:dyDescent="0.3">
      <c r="A210" s="83">
        <v>209</v>
      </c>
      <c r="B210" s="89">
        <v>71.599999999999994</v>
      </c>
      <c r="C210" s="89">
        <v>23.53</v>
      </c>
      <c r="D210" s="42">
        <v>2001</v>
      </c>
      <c r="E210" s="90">
        <v>1</v>
      </c>
      <c r="F210" s="42">
        <v>26</v>
      </c>
      <c r="G210" s="89">
        <v>3.3</v>
      </c>
      <c r="H210" s="42" t="s">
        <v>19</v>
      </c>
      <c r="I210" s="91">
        <v>33</v>
      </c>
      <c r="J210" s="90">
        <v>17</v>
      </c>
      <c r="K210" s="90">
        <v>53</v>
      </c>
      <c r="L210" s="42" t="s">
        <v>27</v>
      </c>
    </row>
    <row r="211" spans="1:12" x14ac:dyDescent="0.3">
      <c r="A211" s="83">
        <v>210</v>
      </c>
      <c r="B211" s="89">
        <v>71.251000000000005</v>
      </c>
      <c r="C211" s="89">
        <v>23.329000000000001</v>
      </c>
      <c r="D211" s="42">
        <v>2001</v>
      </c>
      <c r="E211" s="90">
        <v>1</v>
      </c>
      <c r="F211" s="42">
        <v>26</v>
      </c>
      <c r="G211" s="89">
        <v>3.7</v>
      </c>
      <c r="H211" s="42" t="s">
        <v>19</v>
      </c>
      <c r="I211" s="91">
        <v>5</v>
      </c>
      <c r="J211" s="90">
        <v>18</v>
      </c>
      <c r="K211" s="90">
        <v>44</v>
      </c>
      <c r="L211" s="42" t="s">
        <v>12</v>
      </c>
    </row>
    <row r="212" spans="1:12" x14ac:dyDescent="0.3">
      <c r="A212" s="83">
        <v>211</v>
      </c>
      <c r="B212" s="89">
        <v>71.041700000000006</v>
      </c>
      <c r="C212" s="89">
        <v>23.5319</v>
      </c>
      <c r="D212" s="42">
        <v>2001</v>
      </c>
      <c r="E212" s="90">
        <v>1</v>
      </c>
      <c r="F212" s="42">
        <v>26</v>
      </c>
      <c r="G212" s="89">
        <v>3.9</v>
      </c>
      <c r="H212" s="42" t="s">
        <v>19</v>
      </c>
      <c r="I212" s="91">
        <v>35</v>
      </c>
      <c r="J212" s="90">
        <v>18</v>
      </c>
      <c r="K212" s="90">
        <v>51</v>
      </c>
      <c r="L212" s="42" t="s">
        <v>12</v>
      </c>
    </row>
    <row r="213" spans="1:12" x14ac:dyDescent="0.3">
      <c r="A213" s="83">
        <v>212</v>
      </c>
      <c r="B213" s="89">
        <v>71.003900000000002</v>
      </c>
      <c r="C213" s="89">
        <v>23.488900000000001</v>
      </c>
      <c r="D213" s="42">
        <v>2001</v>
      </c>
      <c r="E213" s="90">
        <v>1</v>
      </c>
      <c r="F213" s="42">
        <v>26</v>
      </c>
      <c r="G213" s="89">
        <v>3.9</v>
      </c>
      <c r="H213" s="42" t="s">
        <v>19</v>
      </c>
      <c r="I213" s="91">
        <v>35</v>
      </c>
      <c r="J213" s="90">
        <v>23</v>
      </c>
      <c r="K213" s="90">
        <v>14</v>
      </c>
      <c r="L213" s="42" t="s">
        <v>12</v>
      </c>
    </row>
    <row r="214" spans="1:12" x14ac:dyDescent="0.3">
      <c r="A214" s="83">
        <v>213</v>
      </c>
      <c r="B214" s="89">
        <v>71.25</v>
      </c>
      <c r="C214" s="89">
        <v>23.33</v>
      </c>
      <c r="D214" s="42">
        <v>2001</v>
      </c>
      <c r="E214" s="90">
        <v>1</v>
      </c>
      <c r="F214" s="42">
        <v>27</v>
      </c>
      <c r="G214" s="89">
        <v>3.7</v>
      </c>
      <c r="H214" s="42" t="s">
        <v>19</v>
      </c>
      <c r="I214" s="91">
        <v>5</v>
      </c>
      <c r="J214" s="90">
        <v>0</v>
      </c>
      <c r="K214" s="90">
        <v>14</v>
      </c>
      <c r="L214" s="42" t="s">
        <v>27</v>
      </c>
    </row>
    <row r="215" spans="1:12" x14ac:dyDescent="0.3">
      <c r="A215" s="83">
        <v>214</v>
      </c>
      <c r="B215" s="89">
        <v>71.099999999999994</v>
      </c>
      <c r="C215" s="89">
        <v>23.37</v>
      </c>
      <c r="D215" s="42">
        <v>2001</v>
      </c>
      <c r="E215" s="90">
        <v>1</v>
      </c>
      <c r="F215" s="42">
        <v>27</v>
      </c>
      <c r="G215" s="89">
        <v>3.9</v>
      </c>
      <c r="H215" s="42" t="s">
        <v>19</v>
      </c>
      <c r="I215" s="91">
        <v>5</v>
      </c>
      <c r="J215" s="90">
        <v>4</v>
      </c>
      <c r="K215" s="90">
        <v>44</v>
      </c>
      <c r="L215" s="42" t="s">
        <v>27</v>
      </c>
    </row>
    <row r="216" spans="1:12" x14ac:dyDescent="0.3">
      <c r="A216" s="83">
        <v>215</v>
      </c>
      <c r="B216" s="89">
        <v>71.322299999999998</v>
      </c>
      <c r="C216" s="89">
        <v>23.609400000000001</v>
      </c>
      <c r="D216" s="42">
        <v>2001</v>
      </c>
      <c r="E216" s="90">
        <v>1</v>
      </c>
      <c r="F216" s="42">
        <v>28</v>
      </c>
      <c r="G216" s="89">
        <v>3.8</v>
      </c>
      <c r="H216" s="42" t="s">
        <v>2</v>
      </c>
      <c r="I216" s="91">
        <v>35</v>
      </c>
      <c r="J216" s="90">
        <v>19</v>
      </c>
      <c r="K216" s="90">
        <v>43</v>
      </c>
      <c r="L216" s="42" t="s">
        <v>10</v>
      </c>
    </row>
    <row r="217" spans="1:12" x14ac:dyDescent="0.3">
      <c r="A217" s="83">
        <v>216</v>
      </c>
      <c r="B217" s="84">
        <v>71.38</v>
      </c>
      <c r="C217" s="84">
        <v>23.66</v>
      </c>
      <c r="D217" s="85">
        <v>2001</v>
      </c>
      <c r="E217" s="86">
        <v>1</v>
      </c>
      <c r="F217" s="85">
        <v>28</v>
      </c>
      <c r="G217" s="84">
        <v>4.2</v>
      </c>
      <c r="H217" s="87" t="s">
        <v>26</v>
      </c>
      <c r="I217" s="88">
        <v>0</v>
      </c>
      <c r="J217" s="86">
        <v>19</v>
      </c>
      <c r="K217" s="86">
        <v>43</v>
      </c>
      <c r="L217" s="85">
        <v>1</v>
      </c>
    </row>
    <row r="218" spans="1:12" x14ac:dyDescent="0.3">
      <c r="A218" s="83">
        <v>217</v>
      </c>
      <c r="B218" s="89">
        <v>72.306600000000003</v>
      </c>
      <c r="C218" s="89">
        <v>22.553000000000001</v>
      </c>
      <c r="D218" s="42">
        <v>2001</v>
      </c>
      <c r="E218" s="90">
        <v>1</v>
      </c>
      <c r="F218" s="42">
        <v>30</v>
      </c>
      <c r="G218" s="89">
        <v>3.5</v>
      </c>
      <c r="H218" s="42" t="s">
        <v>2</v>
      </c>
      <c r="I218" s="91">
        <v>10</v>
      </c>
      <c r="J218" s="90">
        <v>21</v>
      </c>
      <c r="K218" s="90">
        <v>29</v>
      </c>
      <c r="L218" s="42" t="s">
        <v>10</v>
      </c>
    </row>
    <row r="219" spans="1:12" x14ac:dyDescent="0.3">
      <c r="A219" s="83">
        <v>218</v>
      </c>
      <c r="B219" s="89">
        <v>80.307000000000002</v>
      </c>
      <c r="C219" s="89">
        <v>22.675999999999998</v>
      </c>
      <c r="D219" s="42">
        <v>2001</v>
      </c>
      <c r="E219" s="90">
        <v>2</v>
      </c>
      <c r="F219" s="42">
        <v>21</v>
      </c>
      <c r="G219" s="89">
        <v>3.1</v>
      </c>
      <c r="H219" s="42" t="s">
        <v>19</v>
      </c>
      <c r="I219" s="91">
        <v>33</v>
      </c>
      <c r="J219" s="90">
        <v>18</v>
      </c>
      <c r="K219" s="90">
        <v>22</v>
      </c>
      <c r="L219" s="42" t="s">
        <v>12</v>
      </c>
    </row>
    <row r="220" spans="1:12" x14ac:dyDescent="0.3">
      <c r="A220" s="83">
        <v>219</v>
      </c>
      <c r="B220" s="89">
        <v>80.31</v>
      </c>
      <c r="C220" s="89">
        <v>22.68</v>
      </c>
      <c r="D220" s="42">
        <v>2001</v>
      </c>
      <c r="E220" s="90">
        <v>2</v>
      </c>
      <c r="F220" s="42">
        <v>21</v>
      </c>
      <c r="G220" s="89">
        <v>3.1</v>
      </c>
      <c r="H220" s="42" t="s">
        <v>19</v>
      </c>
      <c r="I220" s="91">
        <v>33</v>
      </c>
      <c r="J220" s="90">
        <v>23</v>
      </c>
      <c r="K220" s="90">
        <v>52</v>
      </c>
      <c r="L220" s="42" t="s">
        <v>27</v>
      </c>
    </row>
    <row r="221" spans="1:12" x14ac:dyDescent="0.3">
      <c r="A221" s="83">
        <v>220</v>
      </c>
      <c r="B221" s="89">
        <v>71.58</v>
      </c>
      <c r="C221" s="89">
        <v>21.4</v>
      </c>
      <c r="D221" s="42">
        <v>2001</v>
      </c>
      <c r="E221" s="90">
        <v>2</v>
      </c>
      <c r="F221" s="42">
        <v>27</v>
      </c>
      <c r="G221" s="89">
        <v>3.7</v>
      </c>
      <c r="H221" s="42" t="s">
        <v>29</v>
      </c>
      <c r="I221" s="91">
        <v>7</v>
      </c>
      <c r="J221" s="90">
        <v>7</v>
      </c>
      <c r="K221" s="90">
        <v>56</v>
      </c>
      <c r="L221" s="42" t="s">
        <v>27</v>
      </c>
    </row>
    <row r="222" spans="1:12" x14ac:dyDescent="0.3">
      <c r="A222" s="83">
        <v>221</v>
      </c>
      <c r="B222" s="89">
        <v>71.808000000000007</v>
      </c>
      <c r="C222" s="89">
        <v>24.175999999999998</v>
      </c>
      <c r="D222" s="42">
        <v>2001</v>
      </c>
      <c r="E222" s="90">
        <v>3</v>
      </c>
      <c r="F222" s="42">
        <v>15</v>
      </c>
      <c r="G222" s="89">
        <v>3.1</v>
      </c>
      <c r="H222" s="42" t="s">
        <v>19</v>
      </c>
      <c r="I222" s="91">
        <v>15</v>
      </c>
      <c r="J222" s="90">
        <v>3</v>
      </c>
      <c r="K222" s="90">
        <v>3</v>
      </c>
      <c r="L222" s="42" t="s">
        <v>12</v>
      </c>
    </row>
    <row r="223" spans="1:12" x14ac:dyDescent="0.3">
      <c r="A223" s="83">
        <v>222</v>
      </c>
      <c r="B223" s="89">
        <v>71.81</v>
      </c>
      <c r="C223" s="89">
        <v>24.18</v>
      </c>
      <c r="D223" s="42">
        <v>2001</v>
      </c>
      <c r="E223" s="90">
        <v>3</v>
      </c>
      <c r="F223" s="42">
        <v>15</v>
      </c>
      <c r="G223" s="89">
        <v>3.1</v>
      </c>
      <c r="H223" s="42" t="s">
        <v>19</v>
      </c>
      <c r="I223" s="91">
        <v>15</v>
      </c>
      <c r="J223" s="90">
        <v>8</v>
      </c>
      <c r="K223" s="90">
        <v>33</v>
      </c>
      <c r="L223" s="42" t="s">
        <v>27</v>
      </c>
    </row>
    <row r="224" spans="1:12" x14ac:dyDescent="0.3">
      <c r="A224" s="83">
        <v>223</v>
      </c>
      <c r="B224" s="89">
        <v>71.400000000000006</v>
      </c>
      <c r="C224" s="89">
        <v>23.74</v>
      </c>
      <c r="D224" s="42">
        <v>2001</v>
      </c>
      <c r="E224" s="90">
        <v>3</v>
      </c>
      <c r="F224" s="42">
        <v>30</v>
      </c>
      <c r="G224" s="89">
        <v>3.1</v>
      </c>
      <c r="H224" s="42" t="s">
        <v>19</v>
      </c>
      <c r="I224" s="91">
        <v>15</v>
      </c>
      <c r="J224" s="90">
        <v>19</v>
      </c>
      <c r="K224" s="90">
        <v>17</v>
      </c>
      <c r="L224" s="42" t="s">
        <v>27</v>
      </c>
    </row>
    <row r="225" spans="1:12" x14ac:dyDescent="0.3">
      <c r="A225" s="83">
        <v>224</v>
      </c>
      <c r="B225" s="89">
        <v>76.37</v>
      </c>
      <c r="C225" s="89">
        <v>18.7</v>
      </c>
      <c r="D225" s="42">
        <v>2001</v>
      </c>
      <c r="E225" s="90">
        <v>5</v>
      </c>
      <c r="F225" s="42">
        <v>15</v>
      </c>
      <c r="G225" s="89">
        <v>3.2</v>
      </c>
      <c r="H225" s="42" t="s">
        <v>19</v>
      </c>
      <c r="I225" s="91">
        <v>9</v>
      </c>
      <c r="J225" s="90">
        <v>22</v>
      </c>
      <c r="K225" s="90">
        <v>35</v>
      </c>
      <c r="L225" s="42" t="s">
        <v>27</v>
      </c>
    </row>
    <row r="226" spans="1:12" x14ac:dyDescent="0.3">
      <c r="A226" s="83">
        <v>225</v>
      </c>
      <c r="B226" s="89">
        <v>70.97</v>
      </c>
      <c r="C226" s="89">
        <v>22.885000000000002</v>
      </c>
      <c r="D226" s="42">
        <v>2001</v>
      </c>
      <c r="E226" s="90">
        <v>8</v>
      </c>
      <c r="F226" s="42">
        <v>7</v>
      </c>
      <c r="G226" s="89">
        <v>3.2</v>
      </c>
      <c r="H226" s="42" t="s">
        <v>19</v>
      </c>
      <c r="I226" s="91">
        <v>4.8</v>
      </c>
      <c r="J226" s="90">
        <v>11</v>
      </c>
      <c r="K226" s="90">
        <v>14</v>
      </c>
      <c r="L226" s="42" t="s">
        <v>12</v>
      </c>
    </row>
    <row r="227" spans="1:12" x14ac:dyDescent="0.3">
      <c r="A227" s="83">
        <v>226</v>
      </c>
      <c r="B227" s="89">
        <v>70.97</v>
      </c>
      <c r="C227" s="89">
        <v>22.89</v>
      </c>
      <c r="D227" s="42">
        <v>2001</v>
      </c>
      <c r="E227" s="90">
        <v>8</v>
      </c>
      <c r="F227" s="42">
        <v>7</v>
      </c>
      <c r="G227" s="89">
        <v>3.2</v>
      </c>
      <c r="H227" s="42" t="s">
        <v>19</v>
      </c>
      <c r="I227" s="91">
        <v>4</v>
      </c>
      <c r="J227" s="90">
        <v>16</v>
      </c>
      <c r="K227" s="90">
        <v>44</v>
      </c>
      <c r="L227" s="42" t="s">
        <v>27</v>
      </c>
    </row>
    <row r="228" spans="1:12" x14ac:dyDescent="0.3">
      <c r="A228" s="83">
        <v>227</v>
      </c>
      <c r="B228" s="89">
        <v>76.725999999999999</v>
      </c>
      <c r="C228" s="89">
        <v>19.065999999999999</v>
      </c>
      <c r="D228" s="42">
        <v>2001</v>
      </c>
      <c r="E228" s="90">
        <v>11</v>
      </c>
      <c r="F228" s="42">
        <v>5</v>
      </c>
      <c r="G228" s="89">
        <v>3.1</v>
      </c>
      <c r="H228" s="42" t="s">
        <v>2</v>
      </c>
      <c r="I228" s="91">
        <v>15</v>
      </c>
      <c r="J228" s="90">
        <v>22</v>
      </c>
      <c r="K228" s="90">
        <v>31</v>
      </c>
      <c r="L228" s="42" t="s">
        <v>12</v>
      </c>
    </row>
    <row r="229" spans="1:12" x14ac:dyDescent="0.3">
      <c r="A229" s="83">
        <v>228</v>
      </c>
      <c r="B229" s="89">
        <v>76.73</v>
      </c>
      <c r="C229" s="89">
        <v>19.7</v>
      </c>
      <c r="D229" s="42">
        <v>2001</v>
      </c>
      <c r="E229" s="90">
        <v>11</v>
      </c>
      <c r="F229" s="42">
        <v>6</v>
      </c>
      <c r="G229" s="89">
        <v>3.1</v>
      </c>
      <c r="H229" s="42" t="s">
        <v>28</v>
      </c>
      <c r="I229" s="91">
        <v>15</v>
      </c>
      <c r="J229" s="90">
        <v>4</v>
      </c>
      <c r="K229" s="90">
        <v>1</v>
      </c>
      <c r="L229" s="42" t="s">
        <v>27</v>
      </c>
    </row>
    <row r="230" spans="1:12" x14ac:dyDescent="0.3">
      <c r="A230" s="83">
        <v>229</v>
      </c>
      <c r="B230" s="89">
        <v>77.167000000000002</v>
      </c>
      <c r="C230" s="89">
        <v>19.388000000000002</v>
      </c>
      <c r="D230" s="42">
        <v>2001</v>
      </c>
      <c r="E230" s="90">
        <v>11</v>
      </c>
      <c r="F230" s="42">
        <v>8</v>
      </c>
      <c r="G230" s="89">
        <v>3.1</v>
      </c>
      <c r="H230" s="42" t="s">
        <v>19</v>
      </c>
      <c r="I230" s="91">
        <v>15</v>
      </c>
      <c r="J230" s="90">
        <v>6</v>
      </c>
      <c r="K230" s="90">
        <v>36</v>
      </c>
      <c r="L230" s="42" t="s">
        <v>12</v>
      </c>
    </row>
    <row r="231" spans="1:12" x14ac:dyDescent="0.3">
      <c r="A231" s="83">
        <v>230</v>
      </c>
      <c r="B231" s="89">
        <v>77.17</v>
      </c>
      <c r="C231" s="89">
        <v>19.39</v>
      </c>
      <c r="D231" s="42">
        <v>2001</v>
      </c>
      <c r="E231" s="90">
        <v>11</v>
      </c>
      <c r="F231" s="42">
        <v>8</v>
      </c>
      <c r="G231" s="89">
        <v>3.1</v>
      </c>
      <c r="H231" s="42" t="s">
        <v>19</v>
      </c>
      <c r="I231" s="91">
        <v>15</v>
      </c>
      <c r="J231" s="90">
        <v>12</v>
      </c>
      <c r="K231" s="90">
        <v>6</v>
      </c>
      <c r="L231" s="42" t="s">
        <v>27</v>
      </c>
    </row>
    <row r="232" spans="1:12" x14ac:dyDescent="0.3">
      <c r="A232" s="83">
        <v>231</v>
      </c>
      <c r="B232" s="89">
        <v>72.876800000000003</v>
      </c>
      <c r="C232" s="89">
        <v>19.942499999999999</v>
      </c>
      <c r="D232" s="42">
        <v>2001</v>
      </c>
      <c r="E232" s="90">
        <v>12</v>
      </c>
      <c r="F232" s="42">
        <v>22</v>
      </c>
      <c r="G232" s="89">
        <v>3.1</v>
      </c>
      <c r="H232" s="42" t="s">
        <v>18</v>
      </c>
      <c r="I232" s="91">
        <v>10</v>
      </c>
      <c r="J232" s="90">
        <v>12</v>
      </c>
      <c r="K232" s="90">
        <v>55</v>
      </c>
      <c r="L232" s="42" t="s">
        <v>12</v>
      </c>
    </row>
    <row r="233" spans="1:12" x14ac:dyDescent="0.3">
      <c r="A233" s="83">
        <v>232</v>
      </c>
      <c r="B233" s="89">
        <v>72.760000000000005</v>
      </c>
      <c r="C233" s="89">
        <v>19.73</v>
      </c>
      <c r="D233" s="42">
        <v>2001</v>
      </c>
      <c r="E233" s="90">
        <v>12</v>
      </c>
      <c r="F233" s="42">
        <v>22</v>
      </c>
      <c r="G233" s="89">
        <v>3.3</v>
      </c>
      <c r="H233" s="42" t="s">
        <v>19</v>
      </c>
      <c r="I233" s="91">
        <v>10</v>
      </c>
      <c r="J233" s="90">
        <v>18</v>
      </c>
      <c r="K233" s="90">
        <v>25</v>
      </c>
      <c r="L233" s="42" t="s">
        <v>27</v>
      </c>
    </row>
    <row r="234" spans="1:12" x14ac:dyDescent="0.3">
      <c r="A234" s="83">
        <v>233</v>
      </c>
      <c r="B234" s="89">
        <v>73.568600000000004</v>
      </c>
      <c r="C234" s="89">
        <v>24.917999999999999</v>
      </c>
      <c r="D234" s="42">
        <v>2002</v>
      </c>
      <c r="E234" s="90">
        <v>1</v>
      </c>
      <c r="F234" s="42">
        <v>22</v>
      </c>
      <c r="G234" s="89">
        <v>4.0999999999999996</v>
      </c>
      <c r="H234" s="42" t="s">
        <v>18</v>
      </c>
      <c r="I234" s="91">
        <v>10</v>
      </c>
      <c r="J234" s="90">
        <v>11</v>
      </c>
      <c r="K234" s="90">
        <v>29</v>
      </c>
      <c r="L234" s="42" t="s">
        <v>12</v>
      </c>
    </row>
    <row r="235" spans="1:12" x14ac:dyDescent="0.3">
      <c r="A235" s="83">
        <v>234</v>
      </c>
      <c r="B235" s="89">
        <v>73.52</v>
      </c>
      <c r="C235" s="89">
        <v>24.99</v>
      </c>
      <c r="D235" s="42">
        <v>2002</v>
      </c>
      <c r="E235" s="90">
        <v>1</v>
      </c>
      <c r="F235" s="42">
        <v>22</v>
      </c>
      <c r="G235" s="89">
        <v>3.2</v>
      </c>
      <c r="H235" s="42" t="s">
        <v>19</v>
      </c>
      <c r="I235" s="91">
        <v>5</v>
      </c>
      <c r="J235" s="90">
        <v>16</v>
      </c>
      <c r="K235" s="90">
        <v>59</v>
      </c>
      <c r="L235" s="42" t="s">
        <v>27</v>
      </c>
    </row>
    <row r="236" spans="1:12" x14ac:dyDescent="0.3">
      <c r="A236" s="83">
        <v>235</v>
      </c>
      <c r="B236" s="89">
        <v>73.087999999999994</v>
      </c>
      <c r="C236" s="89">
        <v>22.937000000000001</v>
      </c>
      <c r="D236" s="42">
        <v>2002</v>
      </c>
      <c r="E236" s="90">
        <v>1</v>
      </c>
      <c r="F236" s="42">
        <v>23</v>
      </c>
      <c r="G236" s="89">
        <v>3</v>
      </c>
      <c r="H236" s="42" t="s">
        <v>19</v>
      </c>
      <c r="I236" s="91">
        <v>19.8</v>
      </c>
      <c r="J236" s="90">
        <v>10</v>
      </c>
      <c r="K236" s="90">
        <v>11</v>
      </c>
      <c r="L236" s="42" t="s">
        <v>12</v>
      </c>
    </row>
    <row r="237" spans="1:12" x14ac:dyDescent="0.3">
      <c r="A237" s="83">
        <v>236</v>
      </c>
      <c r="B237" s="89">
        <v>73.900000000000006</v>
      </c>
      <c r="C237" s="89">
        <v>22.94</v>
      </c>
      <c r="D237" s="42">
        <v>2002</v>
      </c>
      <c r="E237" s="90">
        <v>1</v>
      </c>
      <c r="F237" s="42">
        <v>23</v>
      </c>
      <c r="G237" s="89">
        <v>3</v>
      </c>
      <c r="H237" s="42" t="s">
        <v>19</v>
      </c>
      <c r="I237" s="91">
        <v>19</v>
      </c>
      <c r="J237" s="90">
        <v>15</v>
      </c>
      <c r="K237" s="90">
        <v>41</v>
      </c>
      <c r="L237" s="42" t="s">
        <v>27</v>
      </c>
    </row>
    <row r="238" spans="1:12" x14ac:dyDescent="0.3">
      <c r="A238" s="83">
        <v>237</v>
      </c>
      <c r="B238" s="89">
        <v>71.31</v>
      </c>
      <c r="C238" s="89">
        <v>23.413</v>
      </c>
      <c r="D238" s="42">
        <v>2002</v>
      </c>
      <c r="E238" s="90">
        <v>1</v>
      </c>
      <c r="F238" s="42">
        <v>29</v>
      </c>
      <c r="G238" s="89">
        <v>3.2</v>
      </c>
      <c r="H238" s="42" t="s">
        <v>19</v>
      </c>
      <c r="I238" s="91">
        <v>10</v>
      </c>
      <c r="J238" s="90">
        <v>17</v>
      </c>
      <c r="K238" s="90">
        <v>42</v>
      </c>
      <c r="L238" s="42" t="s">
        <v>12</v>
      </c>
    </row>
    <row r="239" spans="1:12" x14ac:dyDescent="0.3">
      <c r="A239" s="83">
        <v>238</v>
      </c>
      <c r="B239" s="89">
        <v>71.31</v>
      </c>
      <c r="C239" s="89">
        <v>23.41</v>
      </c>
      <c r="D239" s="42">
        <v>2002</v>
      </c>
      <c r="E239" s="90">
        <v>1</v>
      </c>
      <c r="F239" s="42">
        <v>29</v>
      </c>
      <c r="G239" s="89">
        <v>3.2</v>
      </c>
      <c r="H239" s="42" t="s">
        <v>19</v>
      </c>
      <c r="I239" s="91">
        <v>10</v>
      </c>
      <c r="J239" s="90">
        <v>23</v>
      </c>
      <c r="K239" s="90">
        <v>12</v>
      </c>
      <c r="L239" s="42" t="s">
        <v>27</v>
      </c>
    </row>
    <row r="240" spans="1:12" x14ac:dyDescent="0.3">
      <c r="A240" s="83">
        <v>239</v>
      </c>
      <c r="B240" s="89">
        <v>74.784000000000006</v>
      </c>
      <c r="C240" s="89">
        <v>20.626999999999999</v>
      </c>
      <c r="D240" s="42">
        <v>2002</v>
      </c>
      <c r="E240" s="90">
        <v>2</v>
      </c>
      <c r="F240" s="42">
        <v>6</v>
      </c>
      <c r="G240" s="89">
        <v>3</v>
      </c>
      <c r="H240" s="42" t="s">
        <v>18</v>
      </c>
      <c r="I240" s="91">
        <v>5</v>
      </c>
      <c r="J240" s="90">
        <v>4</v>
      </c>
      <c r="K240" s="90">
        <v>15</v>
      </c>
      <c r="L240" s="42" t="s">
        <v>12</v>
      </c>
    </row>
    <row r="241" spans="1:12" x14ac:dyDescent="0.3">
      <c r="A241" s="83">
        <v>240</v>
      </c>
      <c r="B241" s="89">
        <v>74.78</v>
      </c>
      <c r="C241" s="89">
        <v>20.63</v>
      </c>
      <c r="D241" s="42">
        <v>2002</v>
      </c>
      <c r="E241" s="90">
        <v>2</v>
      </c>
      <c r="F241" s="42">
        <v>6</v>
      </c>
      <c r="G241" s="89">
        <v>3</v>
      </c>
      <c r="H241" s="42" t="s">
        <v>19</v>
      </c>
      <c r="I241" s="91">
        <v>5</v>
      </c>
      <c r="J241" s="90">
        <v>9</v>
      </c>
      <c r="K241" s="90">
        <v>45</v>
      </c>
      <c r="L241" s="42" t="s">
        <v>27</v>
      </c>
    </row>
    <row r="242" spans="1:12" x14ac:dyDescent="0.3">
      <c r="A242" s="83">
        <v>241</v>
      </c>
      <c r="B242" s="89">
        <v>79.305999999999997</v>
      </c>
      <c r="C242" s="89">
        <v>22.308</v>
      </c>
      <c r="D242" s="42">
        <v>2002</v>
      </c>
      <c r="E242" s="90">
        <v>3</v>
      </c>
      <c r="F242" s="42">
        <v>6</v>
      </c>
      <c r="G242" s="89">
        <v>3</v>
      </c>
      <c r="H242" s="42" t="s">
        <v>19</v>
      </c>
      <c r="I242" s="91">
        <v>37.9</v>
      </c>
      <c r="J242" s="90">
        <v>19</v>
      </c>
      <c r="K242" s="90">
        <v>24</v>
      </c>
      <c r="L242" s="42" t="s">
        <v>12</v>
      </c>
    </row>
    <row r="243" spans="1:12" x14ac:dyDescent="0.3">
      <c r="A243" s="83">
        <v>242</v>
      </c>
      <c r="B243" s="89">
        <v>79.31</v>
      </c>
      <c r="C243" s="89">
        <v>22.31</v>
      </c>
      <c r="D243" s="42">
        <v>2002</v>
      </c>
      <c r="E243" s="90">
        <v>3</v>
      </c>
      <c r="F243" s="42">
        <v>7</v>
      </c>
      <c r="G243" s="89">
        <v>3</v>
      </c>
      <c r="H243" s="42" t="s">
        <v>19</v>
      </c>
      <c r="I243" s="91">
        <v>37</v>
      </c>
      <c r="J243" s="90">
        <v>0</v>
      </c>
      <c r="K243" s="90">
        <v>54</v>
      </c>
      <c r="L243" s="42" t="s">
        <v>27</v>
      </c>
    </row>
    <row r="244" spans="1:12" x14ac:dyDescent="0.3">
      <c r="A244" s="83">
        <v>243</v>
      </c>
      <c r="B244" s="89">
        <v>72.543400000000005</v>
      </c>
      <c r="C244" s="89">
        <v>25.2986</v>
      </c>
      <c r="D244" s="42">
        <v>2002</v>
      </c>
      <c r="E244" s="90">
        <v>3</v>
      </c>
      <c r="F244" s="42">
        <v>13</v>
      </c>
      <c r="G244" s="89">
        <v>3.7</v>
      </c>
      <c r="H244" s="42" t="s">
        <v>19</v>
      </c>
      <c r="I244" s="91">
        <v>35</v>
      </c>
      <c r="J244" s="90">
        <v>19</v>
      </c>
      <c r="K244" s="90">
        <v>36</v>
      </c>
      <c r="L244" s="42" t="s">
        <v>12</v>
      </c>
    </row>
    <row r="245" spans="1:12" x14ac:dyDescent="0.3">
      <c r="A245" s="83">
        <v>244</v>
      </c>
      <c r="B245" s="89">
        <v>72.459999999999994</v>
      </c>
      <c r="C245" s="89">
        <v>25.19</v>
      </c>
      <c r="D245" s="42">
        <v>2002</v>
      </c>
      <c r="E245" s="90">
        <v>3</v>
      </c>
      <c r="F245" s="42">
        <v>14</v>
      </c>
      <c r="G245" s="89">
        <v>3.7</v>
      </c>
      <c r="H245" s="42" t="s">
        <v>19</v>
      </c>
      <c r="I245" s="91">
        <v>15</v>
      </c>
      <c r="J245" s="90">
        <v>1</v>
      </c>
      <c r="K245" s="90">
        <v>6</v>
      </c>
      <c r="L245" s="42" t="s">
        <v>27</v>
      </c>
    </row>
    <row r="246" spans="1:12" x14ac:dyDescent="0.3">
      <c r="A246" s="83">
        <v>245</v>
      </c>
      <c r="B246" s="89">
        <v>79.48</v>
      </c>
      <c r="C246" s="89">
        <v>22.6</v>
      </c>
      <c r="D246" s="42">
        <v>2002</v>
      </c>
      <c r="E246" s="90">
        <v>4</v>
      </c>
      <c r="F246" s="42">
        <v>17</v>
      </c>
      <c r="G246" s="89">
        <v>3.2</v>
      </c>
      <c r="H246" s="42" t="s">
        <v>19</v>
      </c>
      <c r="I246" s="91">
        <v>18.8</v>
      </c>
      <c r="J246" s="90">
        <v>3</v>
      </c>
      <c r="K246" s="90">
        <v>47</v>
      </c>
      <c r="L246" s="42" t="s">
        <v>12</v>
      </c>
    </row>
    <row r="247" spans="1:12" x14ac:dyDescent="0.3">
      <c r="A247" s="83">
        <v>246</v>
      </c>
      <c r="B247" s="89">
        <v>79.48</v>
      </c>
      <c r="C247" s="89">
        <v>22.6</v>
      </c>
      <c r="D247" s="42">
        <v>2002</v>
      </c>
      <c r="E247" s="90">
        <v>4</v>
      </c>
      <c r="F247" s="42">
        <v>17</v>
      </c>
      <c r="G247" s="89">
        <v>3.2</v>
      </c>
      <c r="H247" s="42" t="s">
        <v>19</v>
      </c>
      <c r="I247" s="91">
        <v>18</v>
      </c>
      <c r="J247" s="90">
        <v>9</v>
      </c>
      <c r="K247" s="90">
        <v>17</v>
      </c>
      <c r="L247" s="42" t="s">
        <v>27</v>
      </c>
    </row>
    <row r="248" spans="1:12" x14ac:dyDescent="0.3">
      <c r="A248" s="83">
        <v>247</v>
      </c>
      <c r="B248" s="89">
        <v>72.89</v>
      </c>
      <c r="C248" s="89">
        <v>21.141999999999999</v>
      </c>
      <c r="D248" s="42">
        <v>2002</v>
      </c>
      <c r="E248" s="90">
        <v>5</v>
      </c>
      <c r="F248" s="42">
        <v>5</v>
      </c>
      <c r="G248" s="89">
        <v>3.1</v>
      </c>
      <c r="H248" s="42" t="s">
        <v>18</v>
      </c>
      <c r="I248" s="91">
        <v>15</v>
      </c>
      <c r="J248" s="90">
        <v>10</v>
      </c>
      <c r="K248" s="90">
        <v>32</v>
      </c>
      <c r="L248" s="42" t="s">
        <v>12</v>
      </c>
    </row>
    <row r="249" spans="1:12" x14ac:dyDescent="0.3">
      <c r="A249" s="83">
        <v>248</v>
      </c>
      <c r="B249" s="89">
        <v>72.89</v>
      </c>
      <c r="C249" s="89">
        <v>21.14</v>
      </c>
      <c r="D249" s="42">
        <v>2002</v>
      </c>
      <c r="E249" s="90">
        <v>5</v>
      </c>
      <c r="F249" s="42">
        <v>5</v>
      </c>
      <c r="G249" s="89">
        <v>2.8</v>
      </c>
      <c r="H249" s="42" t="s">
        <v>19</v>
      </c>
      <c r="I249" s="91">
        <v>15</v>
      </c>
      <c r="J249" s="90">
        <v>16</v>
      </c>
      <c r="K249" s="90">
        <v>2</v>
      </c>
      <c r="L249" s="42" t="s">
        <v>27</v>
      </c>
    </row>
    <row r="250" spans="1:12" x14ac:dyDescent="0.3">
      <c r="A250" s="83">
        <v>249</v>
      </c>
      <c r="B250" s="89">
        <v>75.057900000000004</v>
      </c>
      <c r="C250" s="89">
        <v>21.5425</v>
      </c>
      <c r="D250" s="42">
        <v>2002</v>
      </c>
      <c r="E250" s="90">
        <v>5</v>
      </c>
      <c r="F250" s="42">
        <v>19</v>
      </c>
      <c r="G250" s="89">
        <v>3.4</v>
      </c>
      <c r="H250" s="42" t="s">
        <v>2</v>
      </c>
      <c r="I250" s="91">
        <v>10</v>
      </c>
      <c r="J250" s="90">
        <v>19</v>
      </c>
      <c r="K250" s="90">
        <v>25</v>
      </c>
      <c r="L250" s="42" t="s">
        <v>10</v>
      </c>
    </row>
    <row r="251" spans="1:12" x14ac:dyDescent="0.3">
      <c r="A251" s="83">
        <v>250</v>
      </c>
      <c r="B251" s="89">
        <v>75.209999999999994</v>
      </c>
      <c r="C251" s="89">
        <v>21.37</v>
      </c>
      <c r="D251" s="42">
        <v>2002</v>
      </c>
      <c r="E251" s="90">
        <v>5</v>
      </c>
      <c r="F251" s="42">
        <v>20</v>
      </c>
      <c r="G251" s="89">
        <v>3.7</v>
      </c>
      <c r="H251" s="42" t="s">
        <v>19</v>
      </c>
      <c r="I251" s="91">
        <v>15</v>
      </c>
      <c r="J251" s="90">
        <v>0</v>
      </c>
      <c r="K251" s="90">
        <v>55</v>
      </c>
      <c r="L251" s="42" t="s">
        <v>27</v>
      </c>
    </row>
    <row r="252" spans="1:12" x14ac:dyDescent="0.3">
      <c r="A252" s="83">
        <v>251</v>
      </c>
      <c r="B252" s="89">
        <v>75.658000000000001</v>
      </c>
      <c r="C252" s="89">
        <v>21.370999999999999</v>
      </c>
      <c r="D252" s="42">
        <v>2002</v>
      </c>
      <c r="E252" s="90">
        <v>8</v>
      </c>
      <c r="F252" s="42">
        <v>31</v>
      </c>
      <c r="G252" s="89">
        <v>3</v>
      </c>
      <c r="H252" s="42" t="s">
        <v>19</v>
      </c>
      <c r="I252" s="91">
        <v>10</v>
      </c>
      <c r="J252" s="90">
        <v>11</v>
      </c>
      <c r="K252" s="90">
        <v>42</v>
      </c>
      <c r="L252" s="42" t="s">
        <v>12</v>
      </c>
    </row>
    <row r="253" spans="1:12" x14ac:dyDescent="0.3">
      <c r="A253" s="83">
        <v>252</v>
      </c>
      <c r="B253" s="89">
        <v>75.66</v>
      </c>
      <c r="C253" s="89">
        <v>21.37</v>
      </c>
      <c r="D253" s="42">
        <v>2002</v>
      </c>
      <c r="E253" s="90">
        <v>8</v>
      </c>
      <c r="F253" s="42">
        <v>31</v>
      </c>
      <c r="G253" s="89">
        <v>3</v>
      </c>
      <c r="H253" s="42" t="s">
        <v>19</v>
      </c>
      <c r="I253" s="91">
        <v>10</v>
      </c>
      <c r="J253" s="90">
        <v>17</v>
      </c>
      <c r="K253" s="90">
        <v>12</v>
      </c>
      <c r="L253" s="42" t="s">
        <v>27</v>
      </c>
    </row>
    <row r="254" spans="1:12" x14ac:dyDescent="0.3">
      <c r="A254" s="83">
        <v>253</v>
      </c>
      <c r="B254" s="89">
        <v>73.778700000000001</v>
      </c>
      <c r="C254" s="89">
        <v>24.5976</v>
      </c>
      <c r="D254" s="42">
        <v>2002</v>
      </c>
      <c r="E254" s="90">
        <v>9</v>
      </c>
      <c r="F254" s="42">
        <v>13</v>
      </c>
      <c r="G254" s="89">
        <v>3.4</v>
      </c>
      <c r="H254" s="42" t="s">
        <v>19</v>
      </c>
      <c r="I254" s="91">
        <v>35</v>
      </c>
      <c r="J254" s="90">
        <v>13</v>
      </c>
      <c r="K254" s="90">
        <v>35</v>
      </c>
      <c r="L254" s="42" t="s">
        <v>12</v>
      </c>
    </row>
    <row r="255" spans="1:12" x14ac:dyDescent="0.3">
      <c r="A255" s="83">
        <v>254</v>
      </c>
      <c r="B255" s="89">
        <v>73.709999999999994</v>
      </c>
      <c r="C255" s="89">
        <v>24.68</v>
      </c>
      <c r="D255" s="42">
        <v>2002</v>
      </c>
      <c r="E255" s="90">
        <v>9</v>
      </c>
      <c r="F255" s="42">
        <v>13</v>
      </c>
      <c r="G255" s="89">
        <v>3.4</v>
      </c>
      <c r="H255" s="42" t="s">
        <v>19</v>
      </c>
      <c r="I255" s="91">
        <v>10</v>
      </c>
      <c r="J255" s="90">
        <v>19</v>
      </c>
      <c r="K255" s="90">
        <v>5</v>
      </c>
      <c r="L255" s="42" t="s">
        <v>27</v>
      </c>
    </row>
    <row r="256" spans="1:12" x14ac:dyDescent="0.3">
      <c r="A256" s="83">
        <v>255</v>
      </c>
      <c r="B256" s="89">
        <v>80.397000000000006</v>
      </c>
      <c r="C256" s="89">
        <v>23.75</v>
      </c>
      <c r="D256" s="42">
        <v>2002</v>
      </c>
      <c r="E256" s="90">
        <v>9</v>
      </c>
      <c r="F256" s="42">
        <v>21</v>
      </c>
      <c r="G256" s="89">
        <v>3.3</v>
      </c>
      <c r="H256" s="42" t="s">
        <v>19</v>
      </c>
      <c r="I256" s="91">
        <v>10</v>
      </c>
      <c r="J256" s="90">
        <v>10</v>
      </c>
      <c r="K256" s="90">
        <v>47</v>
      </c>
      <c r="L256" s="42" t="s">
        <v>12</v>
      </c>
    </row>
    <row r="257" spans="1:12" x14ac:dyDescent="0.3">
      <c r="A257" s="83">
        <v>256</v>
      </c>
      <c r="B257" s="89">
        <v>80.400000000000006</v>
      </c>
      <c r="C257" s="89">
        <v>23.75</v>
      </c>
      <c r="D257" s="42">
        <v>2002</v>
      </c>
      <c r="E257" s="90">
        <v>9</v>
      </c>
      <c r="F257" s="42">
        <v>21</v>
      </c>
      <c r="G257" s="89">
        <v>3.3</v>
      </c>
      <c r="H257" s="42" t="s">
        <v>19</v>
      </c>
      <c r="I257" s="91">
        <v>10</v>
      </c>
      <c r="J257" s="90">
        <v>16</v>
      </c>
      <c r="K257" s="90">
        <v>17</v>
      </c>
      <c r="L257" s="42" t="s">
        <v>27</v>
      </c>
    </row>
    <row r="258" spans="1:12" x14ac:dyDescent="0.3">
      <c r="A258" s="83">
        <v>257</v>
      </c>
      <c r="B258" s="89">
        <v>78.278999999999996</v>
      </c>
      <c r="C258" s="89">
        <v>19.640999999999998</v>
      </c>
      <c r="D258" s="42">
        <v>2002</v>
      </c>
      <c r="E258" s="90">
        <v>9</v>
      </c>
      <c r="F258" s="42">
        <v>24</v>
      </c>
      <c r="G258" s="89">
        <v>3</v>
      </c>
      <c r="H258" s="42" t="s">
        <v>19</v>
      </c>
      <c r="I258" s="91">
        <v>10</v>
      </c>
      <c r="J258" s="90">
        <v>17</v>
      </c>
      <c r="K258" s="90">
        <v>19</v>
      </c>
      <c r="L258" s="42" t="s">
        <v>12</v>
      </c>
    </row>
    <row r="259" spans="1:12" x14ac:dyDescent="0.3">
      <c r="A259" s="83">
        <v>258</v>
      </c>
      <c r="B259" s="89">
        <v>78.28</v>
      </c>
      <c r="C259" s="89">
        <v>19.64</v>
      </c>
      <c r="D259" s="42">
        <v>2002</v>
      </c>
      <c r="E259" s="90">
        <v>9</v>
      </c>
      <c r="F259" s="42">
        <v>24</v>
      </c>
      <c r="G259" s="89">
        <v>3</v>
      </c>
      <c r="H259" s="42" t="s">
        <v>19</v>
      </c>
      <c r="I259" s="91">
        <v>10</v>
      </c>
      <c r="J259" s="90">
        <v>22</v>
      </c>
      <c r="K259" s="90">
        <v>49</v>
      </c>
      <c r="L259" s="42" t="s">
        <v>27</v>
      </c>
    </row>
    <row r="260" spans="1:12" x14ac:dyDescent="0.3">
      <c r="A260" s="83">
        <v>259</v>
      </c>
      <c r="B260" s="89">
        <v>76.355000000000004</v>
      </c>
      <c r="C260" s="89">
        <v>21.279</v>
      </c>
      <c r="D260" s="42">
        <v>2002</v>
      </c>
      <c r="E260" s="90">
        <v>11</v>
      </c>
      <c r="F260" s="42">
        <v>2</v>
      </c>
      <c r="G260" s="89">
        <v>3.3</v>
      </c>
      <c r="H260" s="42" t="s">
        <v>18</v>
      </c>
      <c r="I260" s="91">
        <v>10</v>
      </c>
      <c r="J260" s="90">
        <v>21</v>
      </c>
      <c r="K260" s="90">
        <v>57</v>
      </c>
      <c r="L260" s="42" t="s">
        <v>12</v>
      </c>
    </row>
    <row r="261" spans="1:12" x14ac:dyDescent="0.3">
      <c r="A261" s="83">
        <v>260</v>
      </c>
      <c r="B261" s="89">
        <v>76.36</v>
      </c>
      <c r="C261" s="89">
        <v>21.28</v>
      </c>
      <c r="D261" s="42">
        <v>2002</v>
      </c>
      <c r="E261" s="90">
        <v>11</v>
      </c>
      <c r="F261" s="42">
        <v>3</v>
      </c>
      <c r="G261" s="89">
        <v>2.9</v>
      </c>
      <c r="H261" s="42" t="s">
        <v>19</v>
      </c>
      <c r="I261" s="91">
        <v>10</v>
      </c>
      <c r="J261" s="90">
        <v>3</v>
      </c>
      <c r="K261" s="90">
        <v>27</v>
      </c>
      <c r="L261" s="42" t="s">
        <v>27</v>
      </c>
    </row>
    <row r="262" spans="1:12" x14ac:dyDescent="0.3">
      <c r="A262" s="83">
        <v>261</v>
      </c>
      <c r="B262" s="89">
        <v>73.623999999999995</v>
      </c>
      <c r="C262" s="89">
        <v>20.704999999999998</v>
      </c>
      <c r="D262" s="42">
        <v>2002</v>
      </c>
      <c r="E262" s="90">
        <v>12</v>
      </c>
      <c r="F262" s="42">
        <v>1</v>
      </c>
      <c r="G262" s="89">
        <v>3.1</v>
      </c>
      <c r="H262" s="42" t="s">
        <v>18</v>
      </c>
      <c r="I262" s="91">
        <v>1.6</v>
      </c>
      <c r="J262" s="90">
        <v>7</v>
      </c>
      <c r="K262" s="90">
        <v>33</v>
      </c>
      <c r="L262" s="42" t="s">
        <v>12</v>
      </c>
    </row>
    <row r="263" spans="1:12" x14ac:dyDescent="0.3">
      <c r="A263" s="83">
        <v>262</v>
      </c>
      <c r="B263" s="89">
        <v>73.62</v>
      </c>
      <c r="C263" s="89">
        <v>20.71</v>
      </c>
      <c r="D263" s="42">
        <v>2002</v>
      </c>
      <c r="E263" s="90">
        <v>12</v>
      </c>
      <c r="F263" s="42">
        <v>1</v>
      </c>
      <c r="G263" s="89">
        <v>3</v>
      </c>
      <c r="H263" s="42" t="s">
        <v>19</v>
      </c>
      <c r="I263" s="91">
        <v>1</v>
      </c>
      <c r="J263" s="90">
        <v>13</v>
      </c>
      <c r="K263" s="90">
        <v>3</v>
      </c>
      <c r="L263" s="42" t="s">
        <v>27</v>
      </c>
    </row>
    <row r="264" spans="1:12" x14ac:dyDescent="0.3">
      <c r="A264" s="83">
        <v>263</v>
      </c>
      <c r="B264" s="89">
        <v>77.414000000000001</v>
      </c>
      <c r="C264" s="89">
        <v>20.613</v>
      </c>
      <c r="D264" s="42">
        <v>2003</v>
      </c>
      <c r="E264" s="90">
        <v>1</v>
      </c>
      <c r="F264" s="42">
        <v>19</v>
      </c>
      <c r="G264" s="89">
        <v>3.1</v>
      </c>
      <c r="H264" s="42" t="s">
        <v>18</v>
      </c>
      <c r="I264" s="91">
        <v>7.7</v>
      </c>
      <c r="J264" s="90">
        <v>9</v>
      </c>
      <c r="K264" s="90">
        <v>48</v>
      </c>
      <c r="L264" s="42" t="s">
        <v>12</v>
      </c>
    </row>
    <row r="265" spans="1:12" x14ac:dyDescent="0.3">
      <c r="A265" s="83">
        <v>264</v>
      </c>
      <c r="B265" s="89">
        <v>77.41</v>
      </c>
      <c r="C265" s="89">
        <v>20.61</v>
      </c>
      <c r="D265" s="42">
        <v>2003</v>
      </c>
      <c r="E265" s="90">
        <v>1</v>
      </c>
      <c r="F265" s="42">
        <v>19</v>
      </c>
      <c r="G265" s="89">
        <v>3.1</v>
      </c>
      <c r="H265" s="42" t="s">
        <v>29</v>
      </c>
      <c r="I265" s="91">
        <v>7</v>
      </c>
      <c r="J265" s="90">
        <v>15</v>
      </c>
      <c r="K265" s="90">
        <v>18</v>
      </c>
      <c r="L265" s="42" t="s">
        <v>27</v>
      </c>
    </row>
    <row r="266" spans="1:12" x14ac:dyDescent="0.3">
      <c r="A266" s="83">
        <v>265</v>
      </c>
      <c r="B266" s="89">
        <v>72.503</v>
      </c>
      <c r="C266" s="89">
        <v>20.138999999999999</v>
      </c>
      <c r="D266" s="42">
        <v>2003</v>
      </c>
      <c r="E266" s="90">
        <v>2</v>
      </c>
      <c r="F266" s="42">
        <v>12</v>
      </c>
      <c r="G266" s="89">
        <v>3.1</v>
      </c>
      <c r="H266" s="42" t="s">
        <v>18</v>
      </c>
      <c r="I266" s="91">
        <v>13.9</v>
      </c>
      <c r="J266" s="90">
        <v>20</v>
      </c>
      <c r="K266" s="90">
        <v>30</v>
      </c>
      <c r="L266" s="42" t="s">
        <v>12</v>
      </c>
    </row>
    <row r="267" spans="1:12" x14ac:dyDescent="0.3">
      <c r="A267" s="83">
        <v>266</v>
      </c>
      <c r="B267" s="89">
        <v>72.5</v>
      </c>
      <c r="C267" s="89">
        <v>20.14</v>
      </c>
      <c r="D267" s="42">
        <v>2003</v>
      </c>
      <c r="E267" s="90">
        <v>2</v>
      </c>
      <c r="F267" s="42">
        <v>13</v>
      </c>
      <c r="G267" s="89">
        <v>3.1</v>
      </c>
      <c r="H267" s="42" t="s">
        <v>29</v>
      </c>
      <c r="I267" s="91">
        <v>13</v>
      </c>
      <c r="J267" s="90">
        <v>2</v>
      </c>
      <c r="K267" s="90">
        <v>0</v>
      </c>
      <c r="L267" s="42" t="s">
        <v>27</v>
      </c>
    </row>
    <row r="268" spans="1:12" x14ac:dyDescent="0.3">
      <c r="A268" s="83">
        <v>267</v>
      </c>
      <c r="B268" s="89">
        <v>77.264499999999998</v>
      </c>
      <c r="C268" s="89">
        <v>21.372299999999999</v>
      </c>
      <c r="D268" s="42">
        <v>2003</v>
      </c>
      <c r="E268" s="90">
        <v>3</v>
      </c>
      <c r="F268" s="42">
        <v>10</v>
      </c>
      <c r="G268" s="89">
        <v>4</v>
      </c>
      <c r="H268" s="42" t="s">
        <v>2</v>
      </c>
      <c r="I268" s="91">
        <v>23.9</v>
      </c>
      <c r="J268" s="90">
        <v>22</v>
      </c>
      <c r="K268" s="90">
        <v>45</v>
      </c>
      <c r="L268" s="42" t="s">
        <v>10</v>
      </c>
    </row>
    <row r="269" spans="1:12" x14ac:dyDescent="0.3">
      <c r="A269" s="83">
        <v>268</v>
      </c>
      <c r="B269" s="84">
        <v>77.209999999999994</v>
      </c>
      <c r="C269" s="84">
        <v>21.4</v>
      </c>
      <c r="D269" s="85">
        <v>2003</v>
      </c>
      <c r="E269" s="86">
        <v>3</v>
      </c>
      <c r="F269" s="85">
        <v>10</v>
      </c>
      <c r="G269" s="84">
        <v>4.3</v>
      </c>
      <c r="H269" s="87" t="s">
        <v>26</v>
      </c>
      <c r="I269" s="88">
        <v>22.7</v>
      </c>
      <c r="J269" s="86">
        <v>22</v>
      </c>
      <c r="K269" s="86">
        <v>45</v>
      </c>
      <c r="L269" s="85">
        <v>1</v>
      </c>
    </row>
    <row r="270" spans="1:12" x14ac:dyDescent="0.3">
      <c r="A270" s="83">
        <v>269</v>
      </c>
      <c r="B270" s="89">
        <v>77.19</v>
      </c>
      <c r="C270" s="89">
        <v>21.27</v>
      </c>
      <c r="D270" s="42">
        <v>2003</v>
      </c>
      <c r="E270" s="90">
        <v>3</v>
      </c>
      <c r="F270" s="42">
        <v>11</v>
      </c>
      <c r="G270" s="89">
        <v>3.8</v>
      </c>
      <c r="H270" s="42" t="s">
        <v>19</v>
      </c>
      <c r="I270" s="91">
        <v>9</v>
      </c>
      <c r="J270" s="90">
        <v>4</v>
      </c>
      <c r="K270" s="90">
        <v>15</v>
      </c>
      <c r="L270" s="42" t="s">
        <v>27</v>
      </c>
    </row>
    <row r="271" spans="1:12" x14ac:dyDescent="0.3">
      <c r="A271" s="83">
        <v>270</v>
      </c>
      <c r="B271" s="89">
        <v>74.344999999999999</v>
      </c>
      <c r="C271" s="89">
        <v>21.830500000000001</v>
      </c>
      <c r="D271" s="42">
        <v>2003</v>
      </c>
      <c r="E271" s="90">
        <v>7</v>
      </c>
      <c r="F271" s="42">
        <v>27</v>
      </c>
      <c r="G271" s="89">
        <v>3.9</v>
      </c>
      <c r="H271" s="42" t="s">
        <v>2</v>
      </c>
      <c r="I271" s="91">
        <v>19.5</v>
      </c>
      <c r="J271" s="90">
        <v>4</v>
      </c>
      <c r="K271" s="90">
        <v>35</v>
      </c>
      <c r="L271" s="42" t="s">
        <v>10</v>
      </c>
    </row>
    <row r="272" spans="1:12" x14ac:dyDescent="0.3">
      <c r="A272" s="83">
        <v>271</v>
      </c>
      <c r="B272" s="84">
        <v>74.34</v>
      </c>
      <c r="C272" s="84">
        <v>21.88</v>
      </c>
      <c r="D272" s="85">
        <v>2003</v>
      </c>
      <c r="E272" s="86">
        <v>7</v>
      </c>
      <c r="F272" s="85">
        <v>27</v>
      </c>
      <c r="G272" s="84">
        <v>4.2</v>
      </c>
      <c r="H272" s="87" t="s">
        <v>26</v>
      </c>
      <c r="I272" s="88">
        <v>0</v>
      </c>
      <c r="J272" s="86">
        <v>4</v>
      </c>
      <c r="K272" s="86">
        <v>35</v>
      </c>
      <c r="L272" s="85">
        <v>1</v>
      </c>
    </row>
    <row r="273" spans="1:12" x14ac:dyDescent="0.3">
      <c r="A273" s="83">
        <v>272</v>
      </c>
      <c r="B273" s="89">
        <v>74.180000000000007</v>
      </c>
      <c r="C273" s="89">
        <v>21.71</v>
      </c>
      <c r="D273" s="42">
        <v>2003</v>
      </c>
      <c r="E273" s="90">
        <v>7</v>
      </c>
      <c r="F273" s="42">
        <v>27</v>
      </c>
      <c r="G273" s="89">
        <v>3.8</v>
      </c>
      <c r="H273" s="42" t="s">
        <v>19</v>
      </c>
      <c r="I273" s="91">
        <v>12</v>
      </c>
      <c r="J273" s="90">
        <v>10</v>
      </c>
      <c r="K273" s="90">
        <v>5</v>
      </c>
      <c r="L273" s="42" t="s">
        <v>27</v>
      </c>
    </row>
    <row r="274" spans="1:12" x14ac:dyDescent="0.3">
      <c r="A274" s="83">
        <v>273</v>
      </c>
      <c r="B274" s="89">
        <v>76.038600000000002</v>
      </c>
      <c r="C274" s="89">
        <v>21.5685</v>
      </c>
      <c r="D274" s="42">
        <v>2003</v>
      </c>
      <c r="E274" s="90">
        <v>11</v>
      </c>
      <c r="F274" s="42">
        <v>22</v>
      </c>
      <c r="G274" s="89">
        <v>3.6</v>
      </c>
      <c r="H274" s="42" t="s">
        <v>2</v>
      </c>
      <c r="I274" s="91">
        <v>35</v>
      </c>
      <c r="J274" s="90">
        <v>0</v>
      </c>
      <c r="K274" s="90">
        <v>18</v>
      </c>
      <c r="L274" s="42" t="s">
        <v>10</v>
      </c>
    </row>
    <row r="275" spans="1:12" x14ac:dyDescent="0.3">
      <c r="A275" s="83">
        <v>274</v>
      </c>
      <c r="B275" s="84">
        <v>75.97</v>
      </c>
      <c r="C275" s="84">
        <v>21.55</v>
      </c>
      <c r="D275" s="85">
        <v>2003</v>
      </c>
      <c r="E275" s="86">
        <v>11</v>
      </c>
      <c r="F275" s="85">
        <v>22</v>
      </c>
      <c r="G275" s="84">
        <v>4</v>
      </c>
      <c r="H275" s="87" t="s">
        <v>26</v>
      </c>
      <c r="I275" s="88">
        <v>10.5</v>
      </c>
      <c r="J275" s="86">
        <v>0</v>
      </c>
      <c r="K275" s="86">
        <v>18</v>
      </c>
      <c r="L275" s="85">
        <v>1</v>
      </c>
    </row>
    <row r="276" spans="1:12" x14ac:dyDescent="0.3">
      <c r="A276" s="83">
        <v>275</v>
      </c>
      <c r="B276" s="89">
        <v>76.099999999999994</v>
      </c>
      <c r="C276" s="89">
        <v>21.47</v>
      </c>
      <c r="D276" s="42">
        <v>2003</v>
      </c>
      <c r="E276" s="90">
        <v>11</v>
      </c>
      <c r="F276" s="42">
        <v>22</v>
      </c>
      <c r="G276" s="89">
        <v>3.5</v>
      </c>
      <c r="H276" s="42" t="s">
        <v>19</v>
      </c>
      <c r="I276" s="91">
        <v>3</v>
      </c>
      <c r="J276" s="90">
        <v>5</v>
      </c>
      <c r="K276" s="90">
        <v>48</v>
      </c>
      <c r="L276" s="42" t="s">
        <v>27</v>
      </c>
    </row>
    <row r="277" spans="1:12" x14ac:dyDescent="0.3">
      <c r="A277" s="83">
        <v>276</v>
      </c>
      <c r="B277" s="89">
        <v>80.238</v>
      </c>
      <c r="C277" s="89">
        <v>21.242999999999999</v>
      </c>
      <c r="D277" s="42">
        <v>2003</v>
      </c>
      <c r="E277" s="90">
        <v>11</v>
      </c>
      <c r="F277" s="42">
        <v>29</v>
      </c>
      <c r="G277" s="89">
        <v>3.1</v>
      </c>
      <c r="H277" s="42" t="s">
        <v>19</v>
      </c>
      <c r="I277" s="91">
        <v>13.3</v>
      </c>
      <c r="J277" s="90">
        <v>7</v>
      </c>
      <c r="K277" s="90">
        <v>5</v>
      </c>
      <c r="L277" s="42" t="s">
        <v>12</v>
      </c>
    </row>
    <row r="278" spans="1:12" x14ac:dyDescent="0.3">
      <c r="A278" s="83">
        <v>277</v>
      </c>
      <c r="B278" s="89">
        <v>80.239999999999995</v>
      </c>
      <c r="C278" s="89">
        <v>21.24</v>
      </c>
      <c r="D278" s="42">
        <v>2003</v>
      </c>
      <c r="E278" s="90">
        <v>11</v>
      </c>
      <c r="F278" s="42">
        <v>29</v>
      </c>
      <c r="G278" s="89">
        <v>3.1</v>
      </c>
      <c r="H278" s="42" t="s">
        <v>19</v>
      </c>
      <c r="I278" s="91">
        <v>13</v>
      </c>
      <c r="J278" s="90">
        <v>12</v>
      </c>
      <c r="K278" s="90">
        <v>35</v>
      </c>
      <c r="L278" s="42" t="s">
        <v>27</v>
      </c>
    </row>
    <row r="279" spans="1:12" x14ac:dyDescent="0.3">
      <c r="A279" s="83">
        <v>278</v>
      </c>
      <c r="B279" s="89">
        <v>74.546999999999997</v>
      </c>
      <c r="C279" s="89">
        <v>22.102</v>
      </c>
      <c r="D279" s="42">
        <v>2003</v>
      </c>
      <c r="E279" s="90">
        <v>12</v>
      </c>
      <c r="F279" s="42">
        <v>23</v>
      </c>
      <c r="G279" s="89">
        <v>3.7</v>
      </c>
      <c r="H279" s="42" t="s">
        <v>18</v>
      </c>
      <c r="I279" s="91">
        <v>5</v>
      </c>
      <c r="J279" s="90">
        <v>19</v>
      </c>
      <c r="K279" s="90">
        <v>9</v>
      </c>
      <c r="L279" s="42" t="s">
        <v>12</v>
      </c>
    </row>
    <row r="280" spans="1:12" x14ac:dyDescent="0.3">
      <c r="A280" s="83">
        <v>279</v>
      </c>
      <c r="B280" s="89">
        <v>74.55</v>
      </c>
      <c r="C280" s="89">
        <v>22.1</v>
      </c>
      <c r="D280" s="42">
        <v>2003</v>
      </c>
      <c r="E280" s="90">
        <v>12</v>
      </c>
      <c r="F280" s="42">
        <v>24</v>
      </c>
      <c r="G280" s="89">
        <v>3.4</v>
      </c>
      <c r="H280" s="42" t="s">
        <v>19</v>
      </c>
      <c r="I280" s="91">
        <v>5</v>
      </c>
      <c r="J280" s="90">
        <v>0</v>
      </c>
      <c r="K280" s="90">
        <v>39</v>
      </c>
      <c r="L280" s="42" t="s">
        <v>27</v>
      </c>
    </row>
    <row r="281" spans="1:12" x14ac:dyDescent="0.3">
      <c r="A281" s="83">
        <v>280</v>
      </c>
      <c r="B281" s="89">
        <v>74.066000000000003</v>
      </c>
      <c r="C281" s="89">
        <v>22.152999999999999</v>
      </c>
      <c r="D281" s="42">
        <v>2003</v>
      </c>
      <c r="E281" s="90">
        <v>12</v>
      </c>
      <c r="F281" s="42">
        <v>24</v>
      </c>
      <c r="G281" s="89">
        <v>3.1</v>
      </c>
      <c r="H281" s="42" t="s">
        <v>18</v>
      </c>
      <c r="I281" s="91">
        <v>40.6</v>
      </c>
      <c r="J281" s="90">
        <v>15</v>
      </c>
      <c r="K281" s="90">
        <v>47</v>
      </c>
      <c r="L281" s="42" t="s">
        <v>12</v>
      </c>
    </row>
    <row r="282" spans="1:12" x14ac:dyDescent="0.3">
      <c r="A282" s="83">
        <v>281</v>
      </c>
      <c r="B282" s="89">
        <v>74.7</v>
      </c>
      <c r="C282" s="89">
        <v>22.15</v>
      </c>
      <c r="D282" s="42">
        <v>2003</v>
      </c>
      <c r="E282" s="90">
        <v>12</v>
      </c>
      <c r="F282" s="42">
        <v>24</v>
      </c>
      <c r="G282" s="89">
        <v>2.7</v>
      </c>
      <c r="H282" s="42" t="s">
        <v>19</v>
      </c>
      <c r="I282" s="91">
        <v>40</v>
      </c>
      <c r="J282" s="90">
        <v>21</v>
      </c>
      <c r="K282" s="90">
        <v>17</v>
      </c>
      <c r="L282" s="42" t="s">
        <v>27</v>
      </c>
    </row>
    <row r="283" spans="1:12" x14ac:dyDescent="0.3">
      <c r="A283" s="83">
        <v>282</v>
      </c>
      <c r="B283" s="89">
        <v>76.891000000000005</v>
      </c>
      <c r="C283" s="89">
        <v>20.670999999999999</v>
      </c>
      <c r="D283" s="42">
        <v>2003</v>
      </c>
      <c r="E283" s="90">
        <v>12</v>
      </c>
      <c r="F283" s="42">
        <v>26</v>
      </c>
      <c r="G283" s="89">
        <v>3.2</v>
      </c>
      <c r="H283" s="42" t="s">
        <v>18</v>
      </c>
      <c r="I283" s="91">
        <v>13.2</v>
      </c>
      <c r="J283" s="90">
        <v>18</v>
      </c>
      <c r="K283" s="90">
        <v>37</v>
      </c>
      <c r="L283" s="42" t="s">
        <v>12</v>
      </c>
    </row>
    <row r="284" spans="1:12" x14ac:dyDescent="0.3">
      <c r="A284" s="83">
        <v>283</v>
      </c>
      <c r="B284" s="89">
        <v>76.89</v>
      </c>
      <c r="C284" s="89">
        <v>20.67</v>
      </c>
      <c r="D284" s="42">
        <v>2003</v>
      </c>
      <c r="E284" s="90">
        <v>12</v>
      </c>
      <c r="F284" s="42">
        <v>27</v>
      </c>
      <c r="G284" s="89">
        <v>3.1</v>
      </c>
      <c r="H284" s="42" t="s">
        <v>19</v>
      </c>
      <c r="I284" s="91">
        <v>13</v>
      </c>
      <c r="J284" s="90">
        <v>0</v>
      </c>
      <c r="K284" s="90">
        <v>7</v>
      </c>
      <c r="L284" s="42" t="s">
        <v>27</v>
      </c>
    </row>
    <row r="285" spans="1:12" x14ac:dyDescent="0.3">
      <c r="A285" s="83">
        <v>284</v>
      </c>
      <c r="B285" s="89">
        <v>72.732299999999995</v>
      </c>
      <c r="C285" s="89">
        <v>25.276800000000001</v>
      </c>
      <c r="D285" s="42">
        <v>2004</v>
      </c>
      <c r="E285" s="90">
        <v>2</v>
      </c>
      <c r="F285" s="42">
        <v>19</v>
      </c>
      <c r="G285" s="89">
        <v>4.0999999999999996</v>
      </c>
      <c r="H285" s="42" t="s">
        <v>19</v>
      </c>
      <c r="I285" s="91">
        <v>35</v>
      </c>
      <c r="J285" s="90">
        <v>2</v>
      </c>
      <c r="K285" s="90">
        <v>40</v>
      </c>
      <c r="L285" s="42" t="s">
        <v>12</v>
      </c>
    </row>
    <row r="286" spans="1:12" x14ac:dyDescent="0.3">
      <c r="A286" s="83">
        <v>285</v>
      </c>
      <c r="B286" s="84">
        <v>72.66</v>
      </c>
      <c r="C286" s="84">
        <v>25.3</v>
      </c>
      <c r="D286" s="85">
        <v>2004</v>
      </c>
      <c r="E286" s="86">
        <v>2</v>
      </c>
      <c r="F286" s="85">
        <v>19</v>
      </c>
      <c r="G286" s="84">
        <v>4</v>
      </c>
      <c r="H286" s="87" t="s">
        <v>26</v>
      </c>
      <c r="I286" s="88">
        <v>7</v>
      </c>
      <c r="J286" s="86">
        <v>2</v>
      </c>
      <c r="K286" s="86">
        <v>40</v>
      </c>
      <c r="L286" s="85">
        <v>2</v>
      </c>
    </row>
    <row r="287" spans="1:12" x14ac:dyDescent="0.3">
      <c r="A287" s="83">
        <v>286</v>
      </c>
      <c r="B287" s="89">
        <v>72.66</v>
      </c>
      <c r="C287" s="89">
        <v>25.3</v>
      </c>
      <c r="D287" s="42">
        <v>2004</v>
      </c>
      <c r="E287" s="90">
        <v>2</v>
      </c>
      <c r="F287" s="42">
        <v>19</v>
      </c>
      <c r="G287" s="89">
        <v>4.0999999999999996</v>
      </c>
      <c r="H287" s="42" t="s">
        <v>19</v>
      </c>
      <c r="I287" s="91">
        <v>7</v>
      </c>
      <c r="J287" s="90">
        <v>8</v>
      </c>
      <c r="K287" s="90">
        <v>10</v>
      </c>
      <c r="L287" s="42" t="s">
        <v>27</v>
      </c>
    </row>
    <row r="288" spans="1:12" x14ac:dyDescent="0.3">
      <c r="A288" s="83">
        <v>287</v>
      </c>
      <c r="B288" s="89">
        <v>75.799000000000007</v>
      </c>
      <c r="C288" s="89">
        <v>21.687000000000001</v>
      </c>
      <c r="D288" s="42">
        <v>2004</v>
      </c>
      <c r="E288" s="90">
        <v>3</v>
      </c>
      <c r="F288" s="42">
        <v>1</v>
      </c>
      <c r="G288" s="89">
        <v>3</v>
      </c>
      <c r="H288" s="42" t="s">
        <v>18</v>
      </c>
      <c r="I288" s="91">
        <v>10</v>
      </c>
      <c r="J288" s="90">
        <v>6</v>
      </c>
      <c r="K288" s="90">
        <v>38</v>
      </c>
      <c r="L288" s="42" t="s">
        <v>12</v>
      </c>
    </row>
    <row r="289" spans="1:12" x14ac:dyDescent="0.3">
      <c r="A289" s="83">
        <v>288</v>
      </c>
      <c r="B289" s="89">
        <v>75.8</v>
      </c>
      <c r="C289" s="89">
        <v>21.69</v>
      </c>
      <c r="D289" s="42">
        <v>2004</v>
      </c>
      <c r="E289" s="90">
        <v>3</v>
      </c>
      <c r="F289" s="42">
        <v>1</v>
      </c>
      <c r="G289" s="89">
        <v>3</v>
      </c>
      <c r="H289" s="42" t="s">
        <v>19</v>
      </c>
      <c r="I289" s="91">
        <v>10</v>
      </c>
      <c r="J289" s="90">
        <v>12</v>
      </c>
      <c r="K289" s="90">
        <v>8</v>
      </c>
      <c r="L289" s="42" t="s">
        <v>27</v>
      </c>
    </row>
    <row r="290" spans="1:12" x14ac:dyDescent="0.3">
      <c r="A290" s="83">
        <v>289</v>
      </c>
      <c r="B290" s="89">
        <v>78.975999999999999</v>
      </c>
      <c r="C290" s="89">
        <v>21.204000000000001</v>
      </c>
      <c r="D290" s="42">
        <v>2004</v>
      </c>
      <c r="E290" s="90">
        <v>5</v>
      </c>
      <c r="F290" s="42">
        <v>12</v>
      </c>
      <c r="G290" s="89">
        <v>3</v>
      </c>
      <c r="H290" s="42" t="s">
        <v>19</v>
      </c>
      <c r="I290" s="91">
        <v>4</v>
      </c>
      <c r="J290" s="90">
        <v>0</v>
      </c>
      <c r="K290" s="90">
        <v>29</v>
      </c>
      <c r="L290" s="42" t="s">
        <v>12</v>
      </c>
    </row>
    <row r="291" spans="1:12" x14ac:dyDescent="0.3">
      <c r="A291" s="83">
        <v>290</v>
      </c>
      <c r="B291" s="89">
        <v>78.98</v>
      </c>
      <c r="C291" s="89">
        <v>21.2</v>
      </c>
      <c r="D291" s="42">
        <v>2004</v>
      </c>
      <c r="E291" s="90">
        <v>5</v>
      </c>
      <c r="F291" s="42">
        <v>12</v>
      </c>
      <c r="G291" s="89">
        <v>3</v>
      </c>
      <c r="H291" s="42" t="s">
        <v>19</v>
      </c>
      <c r="I291" s="91">
        <v>4</v>
      </c>
      <c r="J291" s="90">
        <v>5</v>
      </c>
      <c r="K291" s="90">
        <v>59</v>
      </c>
      <c r="L291" s="42" t="s">
        <v>27</v>
      </c>
    </row>
    <row r="292" spans="1:12" x14ac:dyDescent="0.3">
      <c r="A292" s="83">
        <v>291</v>
      </c>
      <c r="B292" s="89">
        <v>73.651899999999998</v>
      </c>
      <c r="C292" s="89">
        <v>24.8142</v>
      </c>
      <c r="D292" s="42">
        <v>2004</v>
      </c>
      <c r="E292" s="90">
        <v>6</v>
      </c>
      <c r="F292" s="42">
        <v>17</v>
      </c>
      <c r="G292" s="89">
        <v>3.6</v>
      </c>
      <c r="H292" s="42" t="s">
        <v>2</v>
      </c>
      <c r="I292" s="91">
        <v>35</v>
      </c>
      <c r="J292" s="90">
        <v>8</v>
      </c>
      <c r="K292" s="90">
        <v>41</v>
      </c>
      <c r="L292" s="42" t="s">
        <v>10</v>
      </c>
    </row>
    <row r="293" spans="1:12" x14ac:dyDescent="0.3">
      <c r="A293" s="83">
        <v>292</v>
      </c>
      <c r="B293" s="84">
        <v>73.53</v>
      </c>
      <c r="C293" s="84">
        <v>24.75</v>
      </c>
      <c r="D293" s="85">
        <v>2004</v>
      </c>
      <c r="E293" s="86">
        <v>6</v>
      </c>
      <c r="F293" s="85">
        <v>17</v>
      </c>
      <c r="G293" s="84">
        <v>4.0999999999999996</v>
      </c>
      <c r="H293" s="87" t="s">
        <v>26</v>
      </c>
      <c r="I293" s="88">
        <v>0</v>
      </c>
      <c r="J293" s="86">
        <v>8</v>
      </c>
      <c r="K293" s="86">
        <v>41</v>
      </c>
      <c r="L293" s="85">
        <v>1</v>
      </c>
    </row>
    <row r="294" spans="1:12" x14ac:dyDescent="0.3">
      <c r="A294" s="83">
        <v>293</v>
      </c>
      <c r="B294" s="89">
        <v>73.61</v>
      </c>
      <c r="C294" s="89">
        <v>24.94</v>
      </c>
      <c r="D294" s="42">
        <v>2004</v>
      </c>
      <c r="E294" s="90">
        <v>6</v>
      </c>
      <c r="F294" s="42">
        <v>17</v>
      </c>
      <c r="G294" s="89">
        <v>3.9</v>
      </c>
      <c r="H294" s="42" t="s">
        <v>19</v>
      </c>
      <c r="I294" s="91">
        <v>6</v>
      </c>
      <c r="J294" s="90">
        <v>14</v>
      </c>
      <c r="K294" s="90">
        <v>11</v>
      </c>
      <c r="L294" s="42" t="s">
        <v>27</v>
      </c>
    </row>
    <row r="295" spans="1:12" x14ac:dyDescent="0.3">
      <c r="A295" s="83">
        <v>294</v>
      </c>
      <c r="B295" s="89">
        <v>71.569999999999993</v>
      </c>
      <c r="C295" s="89">
        <v>23.905000000000001</v>
      </c>
      <c r="D295" s="42">
        <v>2004</v>
      </c>
      <c r="E295" s="90">
        <v>7</v>
      </c>
      <c r="F295" s="42">
        <v>17</v>
      </c>
      <c r="G295" s="89">
        <v>3.8</v>
      </c>
      <c r="H295" s="42" t="s">
        <v>2</v>
      </c>
      <c r="I295" s="91">
        <v>10</v>
      </c>
      <c r="J295" s="90">
        <v>18</v>
      </c>
      <c r="K295" s="90">
        <v>21</v>
      </c>
      <c r="L295" s="42" t="s">
        <v>25</v>
      </c>
    </row>
    <row r="296" spans="1:12" x14ac:dyDescent="0.3">
      <c r="A296" s="83">
        <v>295</v>
      </c>
      <c r="B296" s="89">
        <v>75.323999999999998</v>
      </c>
      <c r="C296" s="89">
        <v>21.858000000000001</v>
      </c>
      <c r="D296" s="42">
        <v>2004</v>
      </c>
      <c r="E296" s="90">
        <v>10</v>
      </c>
      <c r="F296" s="42">
        <v>28</v>
      </c>
      <c r="G296" s="89">
        <v>3.2</v>
      </c>
      <c r="H296" s="42" t="s">
        <v>18</v>
      </c>
      <c r="I296" s="91">
        <v>13.4</v>
      </c>
      <c r="J296" s="90">
        <v>23</v>
      </c>
      <c r="K296" s="90">
        <v>41</v>
      </c>
      <c r="L296" s="42" t="s">
        <v>12</v>
      </c>
    </row>
    <row r="297" spans="1:12" x14ac:dyDescent="0.3">
      <c r="A297" s="83">
        <v>296</v>
      </c>
      <c r="B297" s="89">
        <v>77.929000000000002</v>
      </c>
      <c r="C297" s="89">
        <v>20.137</v>
      </c>
      <c r="D297" s="42">
        <v>2004</v>
      </c>
      <c r="E297" s="90">
        <v>12</v>
      </c>
      <c r="F297" s="42">
        <v>2</v>
      </c>
      <c r="G297" s="89">
        <v>3.1</v>
      </c>
      <c r="H297" s="42" t="s">
        <v>18</v>
      </c>
      <c r="I297" s="91">
        <v>19.899999999999999</v>
      </c>
      <c r="J297" s="90">
        <v>9</v>
      </c>
      <c r="K297" s="90">
        <v>48</v>
      </c>
      <c r="L297" s="42" t="s">
        <v>12</v>
      </c>
    </row>
    <row r="298" spans="1:12" x14ac:dyDescent="0.3">
      <c r="A298" s="83">
        <v>297</v>
      </c>
      <c r="B298" s="89">
        <v>77.930000000000007</v>
      </c>
      <c r="C298" s="89">
        <v>20.14</v>
      </c>
      <c r="D298" s="42">
        <v>2004</v>
      </c>
      <c r="E298" s="90">
        <v>12</v>
      </c>
      <c r="F298" s="42">
        <v>2</v>
      </c>
      <c r="G298" s="89">
        <v>3.1</v>
      </c>
      <c r="H298" s="42" t="s">
        <v>19</v>
      </c>
      <c r="I298" s="91">
        <v>19</v>
      </c>
      <c r="J298" s="90">
        <v>15</v>
      </c>
      <c r="K298" s="90">
        <v>18</v>
      </c>
      <c r="L298" s="42" t="s">
        <v>27</v>
      </c>
    </row>
    <row r="299" spans="1:12" x14ac:dyDescent="0.3">
      <c r="A299" s="83">
        <v>298</v>
      </c>
      <c r="B299" s="89">
        <v>71.652000000000001</v>
      </c>
      <c r="C299" s="89">
        <v>22.806999999999999</v>
      </c>
      <c r="D299" s="42">
        <v>2005</v>
      </c>
      <c r="E299" s="90">
        <v>1</v>
      </c>
      <c r="F299" s="42">
        <v>3</v>
      </c>
      <c r="G299" s="89">
        <v>3</v>
      </c>
      <c r="H299" s="42" t="s">
        <v>18</v>
      </c>
      <c r="I299" s="91">
        <v>20.3</v>
      </c>
      <c r="J299" s="90">
        <v>0</v>
      </c>
      <c r="K299" s="90">
        <v>36</v>
      </c>
      <c r="L299" s="42" t="s">
        <v>12</v>
      </c>
    </row>
    <row r="300" spans="1:12" x14ac:dyDescent="0.3">
      <c r="A300" s="83">
        <v>299</v>
      </c>
      <c r="B300" s="89">
        <v>71.650000000000006</v>
      </c>
      <c r="C300" s="89">
        <v>22.81</v>
      </c>
      <c r="D300" s="42">
        <v>2005</v>
      </c>
      <c r="E300" s="90">
        <v>1</v>
      </c>
      <c r="F300" s="42">
        <v>3</v>
      </c>
      <c r="G300" s="89">
        <v>3.1</v>
      </c>
      <c r="H300" s="42" t="s">
        <v>19</v>
      </c>
      <c r="I300" s="91">
        <v>20</v>
      </c>
      <c r="J300" s="90">
        <v>6</v>
      </c>
      <c r="K300" s="90">
        <v>6</v>
      </c>
      <c r="L300" s="42" t="s">
        <v>27</v>
      </c>
    </row>
    <row r="301" spans="1:12" x14ac:dyDescent="0.3">
      <c r="A301" s="83">
        <v>300</v>
      </c>
      <c r="B301" s="89">
        <v>72.257000000000005</v>
      </c>
      <c r="C301" s="89">
        <v>23.388000000000002</v>
      </c>
      <c r="D301" s="42">
        <v>2005</v>
      </c>
      <c r="E301" s="90">
        <v>1</v>
      </c>
      <c r="F301" s="42">
        <v>6</v>
      </c>
      <c r="G301" s="89">
        <v>3.4</v>
      </c>
      <c r="H301" s="42" t="s">
        <v>18</v>
      </c>
      <c r="I301" s="91">
        <v>3.1</v>
      </c>
      <c r="J301" s="90">
        <v>11</v>
      </c>
      <c r="K301" s="90">
        <v>27</v>
      </c>
      <c r="L301" s="42" t="s">
        <v>12</v>
      </c>
    </row>
    <row r="302" spans="1:12" x14ac:dyDescent="0.3">
      <c r="A302" s="83">
        <v>301</v>
      </c>
      <c r="B302" s="89">
        <v>72.260000000000005</v>
      </c>
      <c r="C302" s="89">
        <v>23.39</v>
      </c>
      <c r="D302" s="42">
        <v>2005</v>
      </c>
      <c r="E302" s="90">
        <v>1</v>
      </c>
      <c r="F302" s="42">
        <v>6</v>
      </c>
      <c r="G302" s="89">
        <v>2.9</v>
      </c>
      <c r="H302" s="42" t="s">
        <v>19</v>
      </c>
      <c r="I302" s="91">
        <v>3</v>
      </c>
      <c r="J302" s="90">
        <v>16</v>
      </c>
      <c r="K302" s="90">
        <v>57</v>
      </c>
      <c r="L302" s="42" t="s">
        <v>27</v>
      </c>
    </row>
    <row r="303" spans="1:12" x14ac:dyDescent="0.3">
      <c r="A303" s="83">
        <v>302</v>
      </c>
      <c r="B303" s="84">
        <v>79.38</v>
      </c>
      <c r="C303" s="84">
        <v>26.36</v>
      </c>
      <c r="D303" s="85">
        <v>2005</v>
      </c>
      <c r="E303" s="86">
        <v>1</v>
      </c>
      <c r="F303" s="85">
        <v>14</v>
      </c>
      <c r="G303" s="84">
        <v>4.2</v>
      </c>
      <c r="H303" s="87" t="s">
        <v>26</v>
      </c>
      <c r="I303" s="88">
        <v>33</v>
      </c>
      <c r="J303" s="86">
        <v>5</v>
      </c>
      <c r="K303" s="86">
        <v>16</v>
      </c>
      <c r="L303" s="85">
        <v>2</v>
      </c>
    </row>
    <row r="304" spans="1:12" x14ac:dyDescent="0.3">
      <c r="A304" s="83">
        <v>303</v>
      </c>
      <c r="B304" s="89">
        <v>78.7</v>
      </c>
      <c r="C304" s="89">
        <v>22.46</v>
      </c>
      <c r="D304" s="42">
        <v>2005</v>
      </c>
      <c r="E304" s="90">
        <v>3</v>
      </c>
      <c r="F304" s="42">
        <v>25</v>
      </c>
      <c r="G304" s="89">
        <v>3.8</v>
      </c>
      <c r="H304" s="42" t="s">
        <v>19</v>
      </c>
      <c r="I304" s="91">
        <v>10</v>
      </c>
      <c r="J304" s="90">
        <v>19</v>
      </c>
      <c r="K304" s="90">
        <v>33</v>
      </c>
      <c r="L304" s="42" t="s">
        <v>27</v>
      </c>
    </row>
    <row r="305" spans="1:12" x14ac:dyDescent="0.3">
      <c r="A305" s="83">
        <v>304</v>
      </c>
      <c r="B305" s="89">
        <v>76.278000000000006</v>
      </c>
      <c r="C305" s="89">
        <v>21.457000000000001</v>
      </c>
      <c r="D305" s="42">
        <v>2005</v>
      </c>
      <c r="E305" s="90">
        <v>4</v>
      </c>
      <c r="F305" s="42">
        <v>1</v>
      </c>
      <c r="G305" s="89">
        <v>3.2</v>
      </c>
      <c r="H305" s="42" t="s">
        <v>19</v>
      </c>
      <c r="I305" s="91">
        <v>17.100000000000001</v>
      </c>
      <c r="J305" s="90">
        <v>16</v>
      </c>
      <c r="K305" s="90">
        <v>40</v>
      </c>
      <c r="L305" s="42" t="s">
        <v>12</v>
      </c>
    </row>
    <row r="306" spans="1:12" x14ac:dyDescent="0.3">
      <c r="A306" s="83">
        <v>305</v>
      </c>
      <c r="B306" s="89">
        <v>76.28</v>
      </c>
      <c r="C306" s="89">
        <v>21.46</v>
      </c>
      <c r="D306" s="42">
        <v>2005</v>
      </c>
      <c r="E306" s="90">
        <v>4</v>
      </c>
      <c r="F306" s="42">
        <v>1</v>
      </c>
      <c r="G306" s="89">
        <v>3.2</v>
      </c>
      <c r="H306" s="42" t="s">
        <v>19</v>
      </c>
      <c r="I306" s="91">
        <v>17</v>
      </c>
      <c r="J306" s="90">
        <v>22</v>
      </c>
      <c r="K306" s="90">
        <v>10</v>
      </c>
      <c r="L306" s="42" t="s">
        <v>27</v>
      </c>
    </row>
    <row r="307" spans="1:12" x14ac:dyDescent="0.3">
      <c r="A307" s="83">
        <v>306</v>
      </c>
      <c r="B307" s="89">
        <v>76.62</v>
      </c>
      <c r="C307" s="89">
        <v>18.600000000000001</v>
      </c>
      <c r="D307" s="42">
        <v>2005</v>
      </c>
      <c r="E307" s="90">
        <v>4</v>
      </c>
      <c r="F307" s="42">
        <v>13</v>
      </c>
      <c r="G307" s="89">
        <v>3.5</v>
      </c>
      <c r="H307" s="42" t="s">
        <v>19</v>
      </c>
      <c r="I307" s="91">
        <v>5</v>
      </c>
      <c r="J307" s="90">
        <v>11</v>
      </c>
      <c r="K307" s="90">
        <v>37</v>
      </c>
      <c r="L307" s="42" t="s">
        <v>27</v>
      </c>
    </row>
    <row r="308" spans="1:12" x14ac:dyDescent="0.3">
      <c r="A308" s="83">
        <v>307</v>
      </c>
      <c r="B308" s="89">
        <v>75.403000000000006</v>
      </c>
      <c r="C308" s="89">
        <v>27.148</v>
      </c>
      <c r="D308" s="42">
        <v>2005</v>
      </c>
      <c r="E308" s="90">
        <v>4</v>
      </c>
      <c r="F308" s="42">
        <v>24</v>
      </c>
      <c r="G308" s="89">
        <v>3.3</v>
      </c>
      <c r="H308" s="42" t="s">
        <v>19</v>
      </c>
      <c r="I308" s="91">
        <v>3.8</v>
      </c>
      <c r="J308" s="90">
        <v>14</v>
      </c>
      <c r="K308" s="90">
        <v>12</v>
      </c>
      <c r="L308" s="42" t="s">
        <v>12</v>
      </c>
    </row>
    <row r="309" spans="1:12" x14ac:dyDescent="0.3">
      <c r="A309" s="83">
        <v>308</v>
      </c>
      <c r="B309" s="89">
        <v>73.742400000000004</v>
      </c>
      <c r="C309" s="89">
        <v>24.955300000000001</v>
      </c>
      <c r="D309" s="42">
        <v>2005</v>
      </c>
      <c r="E309" s="90">
        <v>6</v>
      </c>
      <c r="F309" s="42">
        <v>1</v>
      </c>
      <c r="G309" s="89">
        <v>3.6</v>
      </c>
      <c r="H309" s="42" t="s">
        <v>18</v>
      </c>
      <c r="I309" s="91">
        <v>35</v>
      </c>
      <c r="J309" s="90">
        <v>11</v>
      </c>
      <c r="K309" s="90">
        <v>28</v>
      </c>
      <c r="L309" s="42" t="s">
        <v>12</v>
      </c>
    </row>
    <row r="310" spans="1:12" x14ac:dyDescent="0.3">
      <c r="A310" s="83">
        <v>309</v>
      </c>
      <c r="B310" s="89">
        <v>73.55</v>
      </c>
      <c r="C310" s="89">
        <v>25.3</v>
      </c>
      <c r="D310" s="42">
        <v>2005</v>
      </c>
      <c r="E310" s="90">
        <v>6</v>
      </c>
      <c r="F310" s="42">
        <v>1</v>
      </c>
      <c r="G310" s="89">
        <v>3.8</v>
      </c>
      <c r="H310" s="42" t="s">
        <v>19</v>
      </c>
      <c r="I310" s="91">
        <v>10</v>
      </c>
      <c r="J310" s="90">
        <v>16</v>
      </c>
      <c r="K310" s="90">
        <v>58</v>
      </c>
      <c r="L310" s="42" t="s">
        <v>27</v>
      </c>
    </row>
    <row r="311" spans="1:12" x14ac:dyDescent="0.3">
      <c r="A311" s="83">
        <v>310</v>
      </c>
      <c r="B311" s="89">
        <v>73.200999999999993</v>
      </c>
      <c r="C311" s="89">
        <v>19.238</v>
      </c>
      <c r="D311" s="42">
        <v>2005</v>
      </c>
      <c r="E311" s="90">
        <v>6</v>
      </c>
      <c r="F311" s="42">
        <v>14</v>
      </c>
      <c r="G311" s="89">
        <v>3.7</v>
      </c>
      <c r="H311" s="42" t="s">
        <v>20</v>
      </c>
      <c r="I311" s="91">
        <v>2</v>
      </c>
      <c r="J311" s="90">
        <v>12</v>
      </c>
      <c r="K311" s="90">
        <v>16</v>
      </c>
      <c r="L311" s="42" t="s">
        <v>12</v>
      </c>
    </row>
    <row r="312" spans="1:12" x14ac:dyDescent="0.3">
      <c r="A312" s="83">
        <v>311</v>
      </c>
      <c r="B312" s="89">
        <v>73.2</v>
      </c>
      <c r="C312" s="89">
        <v>19.239999999999998</v>
      </c>
      <c r="D312" s="42">
        <v>2005</v>
      </c>
      <c r="E312" s="90">
        <v>6</v>
      </c>
      <c r="F312" s="42">
        <v>14</v>
      </c>
      <c r="G312" s="89">
        <v>3.7</v>
      </c>
      <c r="H312" s="42" t="s">
        <v>20</v>
      </c>
      <c r="I312" s="91">
        <v>2</v>
      </c>
      <c r="J312" s="90">
        <v>17</v>
      </c>
      <c r="K312" s="90">
        <v>46</v>
      </c>
      <c r="L312" s="42" t="s">
        <v>27</v>
      </c>
    </row>
    <row r="313" spans="1:12" x14ac:dyDescent="0.3">
      <c r="A313" s="83">
        <v>312</v>
      </c>
      <c r="B313" s="89">
        <v>73.204999999999998</v>
      </c>
      <c r="C313" s="89">
        <v>19.143999999999998</v>
      </c>
      <c r="D313" s="42">
        <v>2005</v>
      </c>
      <c r="E313" s="90">
        <v>6</v>
      </c>
      <c r="F313" s="42">
        <v>18</v>
      </c>
      <c r="G313" s="89">
        <v>3.1</v>
      </c>
      <c r="H313" s="42" t="s">
        <v>19</v>
      </c>
      <c r="I313" s="91">
        <v>5</v>
      </c>
      <c r="J313" s="90">
        <v>3</v>
      </c>
      <c r="K313" s="90">
        <v>8</v>
      </c>
      <c r="L313" s="42" t="s">
        <v>12</v>
      </c>
    </row>
    <row r="314" spans="1:12" x14ac:dyDescent="0.3">
      <c r="A314" s="83">
        <v>313</v>
      </c>
      <c r="B314" s="89">
        <v>73.209999999999994</v>
      </c>
      <c r="C314" s="89">
        <v>19.14</v>
      </c>
      <c r="D314" s="42">
        <v>2005</v>
      </c>
      <c r="E314" s="90">
        <v>6</v>
      </c>
      <c r="F314" s="42">
        <v>18</v>
      </c>
      <c r="G314" s="89">
        <v>3.1</v>
      </c>
      <c r="H314" s="42" t="s">
        <v>19</v>
      </c>
      <c r="I314" s="91">
        <v>5</v>
      </c>
      <c r="J314" s="90">
        <v>8</v>
      </c>
      <c r="K314" s="90">
        <v>38</v>
      </c>
      <c r="L314" s="42" t="s">
        <v>27</v>
      </c>
    </row>
    <row r="315" spans="1:12" x14ac:dyDescent="0.3">
      <c r="A315" s="83">
        <v>314</v>
      </c>
      <c r="B315" s="89">
        <v>73.41</v>
      </c>
      <c r="C315" s="89">
        <v>20.178999999999998</v>
      </c>
      <c r="D315" s="42">
        <v>2005</v>
      </c>
      <c r="E315" s="90">
        <v>11</v>
      </c>
      <c r="F315" s="42">
        <v>4</v>
      </c>
      <c r="G315" s="89">
        <v>3.1</v>
      </c>
      <c r="H315" s="42" t="s">
        <v>19</v>
      </c>
      <c r="I315" s="91">
        <v>5</v>
      </c>
      <c r="J315" s="90">
        <v>11</v>
      </c>
      <c r="K315" s="90">
        <v>33</v>
      </c>
      <c r="L315" s="42" t="s">
        <v>12</v>
      </c>
    </row>
    <row r="316" spans="1:12" x14ac:dyDescent="0.3">
      <c r="A316" s="83">
        <v>315</v>
      </c>
      <c r="B316" s="89">
        <v>73.41</v>
      </c>
      <c r="C316" s="89">
        <v>20.18</v>
      </c>
      <c r="D316" s="42">
        <v>2005</v>
      </c>
      <c r="E316" s="90">
        <v>11</v>
      </c>
      <c r="F316" s="42">
        <v>4</v>
      </c>
      <c r="G316" s="89">
        <v>3.1</v>
      </c>
      <c r="H316" s="42" t="s">
        <v>19</v>
      </c>
      <c r="I316" s="91">
        <v>5</v>
      </c>
      <c r="J316" s="90">
        <v>17</v>
      </c>
      <c r="K316" s="90">
        <v>3</v>
      </c>
      <c r="L316" s="42" t="s">
        <v>27</v>
      </c>
    </row>
    <row r="317" spans="1:12" x14ac:dyDescent="0.3">
      <c r="A317" s="83">
        <v>316</v>
      </c>
      <c r="B317" s="89">
        <v>73.676000000000002</v>
      </c>
      <c r="C317" s="89">
        <v>25.123999999999999</v>
      </c>
      <c r="D317" s="42">
        <v>2005</v>
      </c>
      <c r="E317" s="90">
        <v>11</v>
      </c>
      <c r="F317" s="42">
        <v>28</v>
      </c>
      <c r="G317" s="89">
        <v>3</v>
      </c>
      <c r="H317" s="42" t="s">
        <v>19</v>
      </c>
      <c r="I317" s="91">
        <v>3.5</v>
      </c>
      <c r="J317" s="90">
        <v>20</v>
      </c>
      <c r="K317" s="90">
        <v>27</v>
      </c>
      <c r="L317" s="42" t="s">
        <v>12</v>
      </c>
    </row>
    <row r="318" spans="1:12" x14ac:dyDescent="0.3">
      <c r="A318" s="83">
        <v>317</v>
      </c>
      <c r="B318" s="89">
        <v>73.680000000000007</v>
      </c>
      <c r="C318" s="89">
        <v>25.12</v>
      </c>
      <c r="D318" s="42">
        <v>2005</v>
      </c>
      <c r="E318" s="90">
        <v>11</v>
      </c>
      <c r="F318" s="42">
        <v>29</v>
      </c>
      <c r="G318" s="89">
        <v>3</v>
      </c>
      <c r="H318" s="42" t="s">
        <v>19</v>
      </c>
      <c r="I318" s="91">
        <v>3</v>
      </c>
      <c r="J318" s="90">
        <v>1</v>
      </c>
      <c r="K318" s="90">
        <v>57</v>
      </c>
      <c r="L318" s="42" t="s">
        <v>27</v>
      </c>
    </row>
    <row r="319" spans="1:12" x14ac:dyDescent="0.3">
      <c r="A319" s="83">
        <v>318</v>
      </c>
      <c r="B319" s="89">
        <v>76.39</v>
      </c>
      <c r="C319" s="89">
        <v>18.22</v>
      </c>
      <c r="D319" s="42">
        <v>2006</v>
      </c>
      <c r="E319" s="90">
        <v>1</v>
      </c>
      <c r="F319" s="42">
        <v>4</v>
      </c>
      <c r="G319" s="89">
        <v>3.5</v>
      </c>
      <c r="H319" s="42" t="s">
        <v>19</v>
      </c>
      <c r="I319" s="91">
        <v>7</v>
      </c>
      <c r="J319" s="90">
        <v>16</v>
      </c>
      <c r="K319" s="90">
        <v>31</v>
      </c>
      <c r="L319" s="42" t="s">
        <v>27</v>
      </c>
    </row>
    <row r="320" spans="1:12" x14ac:dyDescent="0.3">
      <c r="A320" s="83">
        <v>319</v>
      </c>
      <c r="B320" s="89">
        <v>77.766000000000005</v>
      </c>
      <c r="C320" s="89">
        <v>22.43</v>
      </c>
      <c r="D320" s="42">
        <v>2006</v>
      </c>
      <c r="E320" s="90">
        <v>3</v>
      </c>
      <c r="F320" s="42">
        <v>7</v>
      </c>
      <c r="G320" s="89">
        <v>3.1</v>
      </c>
      <c r="H320" s="42" t="s">
        <v>19</v>
      </c>
      <c r="I320" s="91">
        <v>15</v>
      </c>
      <c r="J320" s="90">
        <v>4</v>
      </c>
      <c r="K320" s="90">
        <v>39</v>
      </c>
      <c r="L320" s="42" t="s">
        <v>12</v>
      </c>
    </row>
    <row r="321" spans="1:12" x14ac:dyDescent="0.3">
      <c r="A321" s="83">
        <v>320</v>
      </c>
      <c r="B321" s="89">
        <v>77.77</v>
      </c>
      <c r="C321" s="89">
        <v>22.43</v>
      </c>
      <c r="D321" s="42">
        <v>2006</v>
      </c>
      <c r="E321" s="90">
        <v>3</v>
      </c>
      <c r="F321" s="42">
        <v>7</v>
      </c>
      <c r="G321" s="89">
        <v>3.1</v>
      </c>
      <c r="H321" s="42" t="s">
        <v>19</v>
      </c>
      <c r="I321" s="91">
        <v>15</v>
      </c>
      <c r="J321" s="90">
        <v>10</v>
      </c>
      <c r="K321" s="90">
        <v>9</v>
      </c>
      <c r="L321" s="42" t="s">
        <v>27</v>
      </c>
    </row>
    <row r="322" spans="1:12" x14ac:dyDescent="0.3">
      <c r="A322" s="83">
        <v>321</v>
      </c>
      <c r="B322" s="89">
        <v>72.431399999999996</v>
      </c>
      <c r="C322" s="89">
        <v>24.194199999999999</v>
      </c>
      <c r="D322" s="42">
        <v>2006</v>
      </c>
      <c r="E322" s="90">
        <v>5</v>
      </c>
      <c r="F322" s="42">
        <v>7</v>
      </c>
      <c r="G322" s="89">
        <v>3.8</v>
      </c>
      <c r="H322" s="42" t="s">
        <v>19</v>
      </c>
      <c r="I322" s="91">
        <v>35</v>
      </c>
      <c r="J322" s="90">
        <v>5</v>
      </c>
      <c r="K322" s="90">
        <v>24</v>
      </c>
      <c r="L322" s="42" t="s">
        <v>12</v>
      </c>
    </row>
    <row r="323" spans="1:12" x14ac:dyDescent="0.3">
      <c r="A323" s="83">
        <v>322</v>
      </c>
      <c r="B323" s="89">
        <v>72.27</v>
      </c>
      <c r="C323" s="89">
        <v>24.2</v>
      </c>
      <c r="D323" s="42">
        <v>2006</v>
      </c>
      <c r="E323" s="90">
        <v>5</v>
      </c>
      <c r="F323" s="42">
        <v>7</v>
      </c>
      <c r="G323" s="89">
        <v>3.8</v>
      </c>
      <c r="H323" s="42" t="s">
        <v>19</v>
      </c>
      <c r="I323" s="91">
        <v>5</v>
      </c>
      <c r="J323" s="90">
        <v>10</v>
      </c>
      <c r="K323" s="90">
        <v>54</v>
      </c>
      <c r="L323" s="42" t="s">
        <v>27</v>
      </c>
    </row>
    <row r="324" spans="1:12" x14ac:dyDescent="0.3">
      <c r="A324" s="83">
        <v>323</v>
      </c>
      <c r="B324" s="89">
        <v>73.980599999999995</v>
      </c>
      <c r="C324" s="89">
        <v>26.745000000000001</v>
      </c>
      <c r="D324" s="42">
        <v>2006</v>
      </c>
      <c r="E324" s="90">
        <v>7</v>
      </c>
      <c r="F324" s="42">
        <v>19</v>
      </c>
      <c r="G324" s="89">
        <v>4</v>
      </c>
      <c r="H324" s="42" t="s">
        <v>2</v>
      </c>
      <c r="I324" s="91">
        <v>0</v>
      </c>
      <c r="J324" s="90">
        <v>16</v>
      </c>
      <c r="K324" s="90">
        <v>41</v>
      </c>
      <c r="L324" s="42" t="s">
        <v>22</v>
      </c>
    </row>
    <row r="325" spans="1:12" x14ac:dyDescent="0.3">
      <c r="A325" s="83">
        <v>324</v>
      </c>
      <c r="B325" s="89">
        <v>79.394000000000005</v>
      </c>
      <c r="C325" s="89">
        <v>22.297000000000001</v>
      </c>
      <c r="D325" s="42">
        <v>2006</v>
      </c>
      <c r="E325" s="90">
        <v>8</v>
      </c>
      <c r="F325" s="42">
        <v>5</v>
      </c>
      <c r="G325" s="89">
        <v>3.4</v>
      </c>
      <c r="H325" s="42" t="s">
        <v>19</v>
      </c>
      <c r="I325" s="91">
        <v>10</v>
      </c>
      <c r="J325" s="90">
        <v>2</v>
      </c>
      <c r="K325" s="90">
        <v>57</v>
      </c>
      <c r="L325" s="42" t="s">
        <v>12</v>
      </c>
    </row>
    <row r="326" spans="1:12" x14ac:dyDescent="0.3">
      <c r="A326" s="83">
        <v>325</v>
      </c>
      <c r="B326" s="89">
        <v>79.39</v>
      </c>
      <c r="C326" s="89">
        <v>22.3</v>
      </c>
      <c r="D326" s="42">
        <v>2006</v>
      </c>
      <c r="E326" s="90">
        <v>8</v>
      </c>
      <c r="F326" s="42">
        <v>5</v>
      </c>
      <c r="G326" s="89">
        <v>3.4</v>
      </c>
      <c r="H326" s="42" t="s">
        <v>19</v>
      </c>
      <c r="I326" s="91">
        <v>10</v>
      </c>
      <c r="J326" s="90">
        <v>8</v>
      </c>
      <c r="K326" s="90">
        <v>27</v>
      </c>
      <c r="L326" s="42" t="s">
        <v>27</v>
      </c>
    </row>
    <row r="327" spans="1:12" x14ac:dyDescent="0.3">
      <c r="A327" s="83">
        <v>326</v>
      </c>
      <c r="B327" s="89">
        <v>75.962100000000007</v>
      </c>
      <c r="C327" s="89">
        <v>26.625399999999999</v>
      </c>
      <c r="D327" s="42">
        <v>2006</v>
      </c>
      <c r="E327" s="90">
        <v>12</v>
      </c>
      <c r="F327" s="42">
        <v>23</v>
      </c>
      <c r="G327" s="89">
        <v>4.2</v>
      </c>
      <c r="H327" s="42" t="s">
        <v>2</v>
      </c>
      <c r="I327" s="91">
        <v>11.8</v>
      </c>
      <c r="J327" s="90">
        <v>22</v>
      </c>
      <c r="K327" s="90">
        <v>43</v>
      </c>
      <c r="L327" s="42" t="s">
        <v>16</v>
      </c>
    </row>
    <row r="328" spans="1:12" x14ac:dyDescent="0.3">
      <c r="A328" s="83">
        <v>327</v>
      </c>
      <c r="B328" s="84">
        <v>75.930000000000007</v>
      </c>
      <c r="C328" s="84">
        <v>26.63</v>
      </c>
      <c r="D328" s="85">
        <v>2006</v>
      </c>
      <c r="E328" s="86">
        <v>12</v>
      </c>
      <c r="F328" s="85">
        <v>23</v>
      </c>
      <c r="G328" s="84">
        <v>4.3</v>
      </c>
      <c r="H328" s="87" t="s">
        <v>26</v>
      </c>
      <c r="I328" s="88">
        <v>1.2</v>
      </c>
      <c r="J328" s="86">
        <v>22</v>
      </c>
      <c r="K328" s="86">
        <v>43</v>
      </c>
      <c r="L328" s="85">
        <v>1</v>
      </c>
    </row>
    <row r="329" spans="1:12" x14ac:dyDescent="0.3">
      <c r="A329" s="83">
        <v>328</v>
      </c>
      <c r="B329" s="89">
        <v>75.81</v>
      </c>
      <c r="C329" s="89">
        <v>26.64</v>
      </c>
      <c r="D329" s="42">
        <v>2006</v>
      </c>
      <c r="E329" s="90">
        <v>12</v>
      </c>
      <c r="F329" s="42">
        <v>24</v>
      </c>
      <c r="G329" s="89">
        <v>3.7</v>
      </c>
      <c r="H329" s="42" t="s">
        <v>19</v>
      </c>
      <c r="I329" s="91">
        <v>15</v>
      </c>
      <c r="J329" s="90">
        <v>4</v>
      </c>
      <c r="K329" s="90">
        <v>13</v>
      </c>
      <c r="L329" s="42" t="s">
        <v>27</v>
      </c>
    </row>
    <row r="330" spans="1:12" x14ac:dyDescent="0.3">
      <c r="A330" s="83">
        <v>329</v>
      </c>
      <c r="B330" s="89">
        <v>76.153999999999996</v>
      </c>
      <c r="C330" s="89">
        <v>26.881</v>
      </c>
      <c r="D330" s="42">
        <v>2006</v>
      </c>
      <c r="E330" s="90">
        <v>12</v>
      </c>
      <c r="F330" s="42">
        <v>24</v>
      </c>
      <c r="G330" s="89">
        <v>4.2</v>
      </c>
      <c r="H330" s="42" t="s">
        <v>2</v>
      </c>
      <c r="I330" s="91">
        <v>10</v>
      </c>
      <c r="J330" s="90">
        <v>22</v>
      </c>
      <c r="K330" s="90">
        <v>43</v>
      </c>
      <c r="L330" s="42" t="s">
        <v>25</v>
      </c>
    </row>
    <row r="331" spans="1:12" x14ac:dyDescent="0.3">
      <c r="A331" s="83">
        <v>330</v>
      </c>
      <c r="B331" s="84">
        <v>76.150000000000006</v>
      </c>
      <c r="C331" s="84">
        <v>26.88</v>
      </c>
      <c r="D331" s="85">
        <v>2006</v>
      </c>
      <c r="E331" s="86">
        <v>12</v>
      </c>
      <c r="F331" s="85">
        <v>24</v>
      </c>
      <c r="G331" s="84">
        <v>4.5999999999999996</v>
      </c>
      <c r="H331" s="87" t="s">
        <v>26</v>
      </c>
      <c r="I331" s="88">
        <v>10</v>
      </c>
      <c r="J331" s="86">
        <v>22</v>
      </c>
      <c r="K331" s="86">
        <v>43</v>
      </c>
      <c r="L331" s="85">
        <v>3</v>
      </c>
    </row>
    <row r="332" spans="1:12" x14ac:dyDescent="0.3">
      <c r="A332" s="83">
        <v>331</v>
      </c>
      <c r="B332" s="89">
        <v>78.659000000000006</v>
      </c>
      <c r="C332" s="89">
        <v>22.765000000000001</v>
      </c>
      <c r="D332" s="42">
        <v>2007</v>
      </c>
      <c r="E332" s="90">
        <v>6</v>
      </c>
      <c r="F332" s="42">
        <v>6</v>
      </c>
      <c r="G332" s="89">
        <v>3.3</v>
      </c>
      <c r="H332" s="42" t="s">
        <v>19</v>
      </c>
      <c r="I332" s="91">
        <v>8.1999999999999993</v>
      </c>
      <c r="J332" s="90">
        <v>8</v>
      </c>
      <c r="K332" s="90">
        <v>15</v>
      </c>
      <c r="L332" s="42" t="s">
        <v>12</v>
      </c>
    </row>
    <row r="333" spans="1:12" x14ac:dyDescent="0.3">
      <c r="A333" s="83">
        <v>332</v>
      </c>
      <c r="B333" s="89">
        <v>78.66</v>
      </c>
      <c r="C333" s="89">
        <v>22.77</v>
      </c>
      <c r="D333" s="42">
        <v>2007</v>
      </c>
      <c r="E333" s="90">
        <v>6</v>
      </c>
      <c r="F333" s="42">
        <v>6</v>
      </c>
      <c r="G333" s="89">
        <v>3.3</v>
      </c>
      <c r="H333" s="42" t="s">
        <v>19</v>
      </c>
      <c r="I333" s="91">
        <v>8</v>
      </c>
      <c r="J333" s="90">
        <v>13</v>
      </c>
      <c r="K333" s="90">
        <v>45</v>
      </c>
      <c r="L333" s="42" t="s">
        <v>27</v>
      </c>
    </row>
    <row r="334" spans="1:12" x14ac:dyDescent="0.3">
      <c r="A334" s="83">
        <v>333</v>
      </c>
      <c r="B334" s="89">
        <v>76.66</v>
      </c>
      <c r="C334" s="89">
        <v>18.7</v>
      </c>
      <c r="D334" s="42">
        <v>2007</v>
      </c>
      <c r="E334" s="90">
        <v>9</v>
      </c>
      <c r="F334" s="42">
        <v>6</v>
      </c>
      <c r="G334" s="89">
        <v>3.8</v>
      </c>
      <c r="H334" s="42" t="s">
        <v>19</v>
      </c>
      <c r="I334" s="91">
        <v>10</v>
      </c>
      <c r="J334" s="90">
        <v>12</v>
      </c>
      <c r="K334" s="90">
        <v>39</v>
      </c>
      <c r="L334" s="42" t="s">
        <v>27</v>
      </c>
    </row>
    <row r="335" spans="1:12" x14ac:dyDescent="0.3">
      <c r="A335" s="83">
        <v>334</v>
      </c>
      <c r="B335" s="89">
        <v>78.665000000000006</v>
      </c>
      <c r="C335" s="89">
        <v>22.786999999999999</v>
      </c>
      <c r="D335" s="42">
        <v>2008</v>
      </c>
      <c r="E335" s="90">
        <v>1</v>
      </c>
      <c r="F335" s="42">
        <v>10</v>
      </c>
      <c r="G335" s="89">
        <v>3.3</v>
      </c>
      <c r="H335" s="42" t="s">
        <v>19</v>
      </c>
      <c r="I335" s="91">
        <v>10</v>
      </c>
      <c r="J335" s="90">
        <v>23</v>
      </c>
      <c r="K335" s="90">
        <v>48</v>
      </c>
      <c r="L335" s="42" t="s">
        <v>12</v>
      </c>
    </row>
    <row r="336" spans="1:12" x14ac:dyDescent="0.3">
      <c r="A336" s="83">
        <v>335</v>
      </c>
      <c r="B336" s="89">
        <v>78.67</v>
      </c>
      <c r="C336" s="89">
        <v>22.79</v>
      </c>
      <c r="D336" s="42">
        <v>2008</v>
      </c>
      <c r="E336" s="90">
        <v>1</v>
      </c>
      <c r="F336" s="42">
        <v>11</v>
      </c>
      <c r="G336" s="89">
        <v>3.3</v>
      </c>
      <c r="H336" s="42" t="s">
        <v>19</v>
      </c>
      <c r="I336" s="91">
        <v>10</v>
      </c>
      <c r="J336" s="90">
        <v>5</v>
      </c>
      <c r="K336" s="90">
        <v>18</v>
      </c>
      <c r="L336" s="42" t="s">
        <v>27</v>
      </c>
    </row>
    <row r="337" spans="1:12" x14ac:dyDescent="0.3">
      <c r="A337" s="83">
        <v>336</v>
      </c>
      <c r="B337" s="89">
        <v>72.932699999999997</v>
      </c>
      <c r="C337" s="89">
        <v>21.289400000000001</v>
      </c>
      <c r="D337" s="42">
        <v>2008</v>
      </c>
      <c r="E337" s="90">
        <v>5</v>
      </c>
      <c r="F337" s="42">
        <v>2</v>
      </c>
      <c r="G337" s="89">
        <v>3.5</v>
      </c>
      <c r="H337" s="42" t="s">
        <v>2</v>
      </c>
      <c r="I337" s="91">
        <v>35</v>
      </c>
      <c r="J337" s="90">
        <v>21</v>
      </c>
      <c r="K337" s="90">
        <v>53</v>
      </c>
      <c r="L337" s="42" t="s">
        <v>10</v>
      </c>
    </row>
    <row r="338" spans="1:12" x14ac:dyDescent="0.3">
      <c r="A338" s="83">
        <v>337</v>
      </c>
      <c r="B338" s="89">
        <v>72.772999999999996</v>
      </c>
      <c r="C338" s="89">
        <v>21.231999999999999</v>
      </c>
      <c r="D338" s="42">
        <v>2008</v>
      </c>
      <c r="E338" s="90">
        <v>5</v>
      </c>
      <c r="F338" s="42">
        <v>2</v>
      </c>
      <c r="G338" s="89">
        <v>3</v>
      </c>
      <c r="H338" s="42" t="s">
        <v>19</v>
      </c>
      <c r="I338" s="91">
        <v>10</v>
      </c>
      <c r="J338" s="90">
        <v>22</v>
      </c>
      <c r="K338" s="90">
        <v>31</v>
      </c>
      <c r="L338" s="42" t="s">
        <v>12</v>
      </c>
    </row>
    <row r="339" spans="1:12" x14ac:dyDescent="0.3">
      <c r="A339" s="83">
        <v>338</v>
      </c>
      <c r="B339" s="89">
        <v>72.849999999999994</v>
      </c>
      <c r="C339" s="89">
        <v>21.22</v>
      </c>
      <c r="D339" s="42">
        <v>2008</v>
      </c>
      <c r="E339" s="90">
        <v>5</v>
      </c>
      <c r="F339" s="42">
        <v>3</v>
      </c>
      <c r="G339" s="89">
        <v>3.1</v>
      </c>
      <c r="H339" s="42" t="s">
        <v>19</v>
      </c>
      <c r="I339" s="91">
        <v>10</v>
      </c>
      <c r="J339" s="90">
        <v>3</v>
      </c>
      <c r="K339" s="90">
        <v>23</v>
      </c>
      <c r="L339" s="42" t="s">
        <v>27</v>
      </c>
    </row>
    <row r="340" spans="1:12" x14ac:dyDescent="0.3">
      <c r="A340" s="83">
        <v>339</v>
      </c>
      <c r="B340" s="89">
        <v>72.77</v>
      </c>
      <c r="C340" s="89">
        <v>21.23</v>
      </c>
      <c r="D340" s="42">
        <v>2008</v>
      </c>
      <c r="E340" s="90">
        <v>5</v>
      </c>
      <c r="F340" s="42">
        <v>3</v>
      </c>
      <c r="G340" s="89">
        <v>3</v>
      </c>
      <c r="H340" s="42" t="s">
        <v>19</v>
      </c>
      <c r="I340" s="91">
        <v>10</v>
      </c>
      <c r="J340" s="90">
        <v>4</v>
      </c>
      <c r="K340" s="90">
        <v>1</v>
      </c>
      <c r="L340" s="42" t="s">
        <v>27</v>
      </c>
    </row>
    <row r="341" spans="1:12" x14ac:dyDescent="0.3">
      <c r="A341" s="83">
        <v>340</v>
      </c>
      <c r="B341" s="89">
        <v>72.843999999999994</v>
      </c>
      <c r="C341" s="89">
        <v>21.504000000000001</v>
      </c>
      <c r="D341" s="42">
        <v>2008</v>
      </c>
      <c r="E341" s="90">
        <v>5</v>
      </c>
      <c r="F341" s="42">
        <v>20</v>
      </c>
      <c r="G341" s="89">
        <v>3.1</v>
      </c>
      <c r="H341" s="42" t="s">
        <v>19</v>
      </c>
      <c r="I341" s="91">
        <v>10</v>
      </c>
      <c r="J341" s="90">
        <v>8</v>
      </c>
      <c r="K341" s="90">
        <v>57</v>
      </c>
      <c r="L341" s="42" t="s">
        <v>12</v>
      </c>
    </row>
    <row r="342" spans="1:12" x14ac:dyDescent="0.3">
      <c r="A342" s="83">
        <v>341</v>
      </c>
      <c r="B342" s="89">
        <v>72.84</v>
      </c>
      <c r="C342" s="89">
        <v>21.5</v>
      </c>
      <c r="D342" s="42">
        <v>2008</v>
      </c>
      <c r="E342" s="90">
        <v>5</v>
      </c>
      <c r="F342" s="42">
        <v>20</v>
      </c>
      <c r="G342" s="89">
        <v>3.1</v>
      </c>
      <c r="H342" s="42" t="s">
        <v>19</v>
      </c>
      <c r="I342" s="91">
        <v>10</v>
      </c>
      <c r="J342" s="90">
        <v>14</v>
      </c>
      <c r="K342" s="90">
        <v>27</v>
      </c>
      <c r="L342" s="42" t="s">
        <v>27</v>
      </c>
    </row>
    <row r="343" spans="1:12" x14ac:dyDescent="0.3">
      <c r="A343" s="83">
        <v>342</v>
      </c>
      <c r="B343" s="89">
        <v>73.7684</v>
      </c>
      <c r="C343" s="89">
        <v>24.974900000000002</v>
      </c>
      <c r="D343" s="42">
        <v>2008</v>
      </c>
      <c r="E343" s="90">
        <v>6</v>
      </c>
      <c r="F343" s="42">
        <v>27</v>
      </c>
      <c r="G343" s="89">
        <v>3.7</v>
      </c>
      <c r="H343" s="42" t="s">
        <v>19</v>
      </c>
      <c r="I343" s="91">
        <v>35</v>
      </c>
      <c r="J343" s="90">
        <v>7</v>
      </c>
      <c r="K343" s="90">
        <v>53</v>
      </c>
      <c r="L343" s="42" t="s">
        <v>12</v>
      </c>
    </row>
    <row r="344" spans="1:12" x14ac:dyDescent="0.3">
      <c r="A344" s="83">
        <v>343</v>
      </c>
      <c r="B344" s="89">
        <v>73.63</v>
      </c>
      <c r="C344" s="89">
        <v>25.8</v>
      </c>
      <c r="D344" s="42">
        <v>2008</v>
      </c>
      <c r="E344" s="90">
        <v>6</v>
      </c>
      <c r="F344" s="42">
        <v>27</v>
      </c>
      <c r="G344" s="89">
        <v>3.7</v>
      </c>
      <c r="H344" s="42" t="s">
        <v>19</v>
      </c>
      <c r="I344" s="91">
        <v>12</v>
      </c>
      <c r="J344" s="90">
        <v>13</v>
      </c>
      <c r="K344" s="90">
        <v>23</v>
      </c>
      <c r="L344" s="42" t="s">
        <v>27</v>
      </c>
    </row>
    <row r="345" spans="1:12" x14ac:dyDescent="0.3">
      <c r="A345" s="83">
        <v>344</v>
      </c>
      <c r="B345" s="89">
        <v>74.510900000000007</v>
      </c>
      <c r="C345" s="89">
        <v>25.786799999999999</v>
      </c>
      <c r="D345" s="42">
        <v>2008</v>
      </c>
      <c r="E345" s="90">
        <v>7</v>
      </c>
      <c r="F345" s="42">
        <v>5</v>
      </c>
      <c r="G345" s="89">
        <v>3.6</v>
      </c>
      <c r="H345" s="42" t="s">
        <v>19</v>
      </c>
      <c r="I345" s="91">
        <v>35</v>
      </c>
      <c r="J345" s="90">
        <v>11</v>
      </c>
      <c r="K345" s="90">
        <v>59</v>
      </c>
      <c r="L345" s="42" t="s">
        <v>12</v>
      </c>
    </row>
    <row r="346" spans="1:12" x14ac:dyDescent="0.3">
      <c r="A346" s="83">
        <v>345</v>
      </c>
      <c r="B346" s="89">
        <v>74.23</v>
      </c>
      <c r="C346" s="89">
        <v>25.76</v>
      </c>
      <c r="D346" s="42">
        <v>2008</v>
      </c>
      <c r="E346" s="90">
        <v>7</v>
      </c>
      <c r="F346" s="42">
        <v>5</v>
      </c>
      <c r="G346" s="89">
        <v>3.6</v>
      </c>
      <c r="H346" s="42" t="s">
        <v>19</v>
      </c>
      <c r="I346" s="91">
        <v>9</v>
      </c>
      <c r="J346" s="90">
        <v>17</v>
      </c>
      <c r="K346" s="90">
        <v>29</v>
      </c>
      <c r="L346" s="42" t="s">
        <v>27</v>
      </c>
    </row>
    <row r="347" spans="1:12" x14ac:dyDescent="0.3">
      <c r="A347" s="83">
        <v>346</v>
      </c>
      <c r="B347" s="84">
        <v>71.73</v>
      </c>
      <c r="C347" s="84">
        <v>26.43</v>
      </c>
      <c r="D347" s="85">
        <v>2008</v>
      </c>
      <c r="E347" s="86">
        <v>10</v>
      </c>
      <c r="F347" s="85">
        <v>29</v>
      </c>
      <c r="G347" s="84">
        <v>6.8</v>
      </c>
      <c r="H347" s="87" t="s">
        <v>26</v>
      </c>
      <c r="I347" s="88">
        <v>0</v>
      </c>
      <c r="J347" s="86">
        <v>11</v>
      </c>
      <c r="K347" s="86">
        <v>32</v>
      </c>
      <c r="L347" s="85">
        <v>1</v>
      </c>
    </row>
    <row r="348" spans="1:12" x14ac:dyDescent="0.3">
      <c r="A348" s="83">
        <v>347</v>
      </c>
      <c r="B348" s="89">
        <v>72</v>
      </c>
      <c r="C348" s="89">
        <v>23.004000000000001</v>
      </c>
      <c r="D348" s="42">
        <v>2008</v>
      </c>
      <c r="E348" s="90">
        <v>12</v>
      </c>
      <c r="F348" s="42">
        <v>27</v>
      </c>
      <c r="G348" s="89">
        <v>3.2</v>
      </c>
      <c r="H348" s="42" t="s">
        <v>19</v>
      </c>
      <c r="I348" s="91">
        <v>10</v>
      </c>
      <c r="J348" s="90">
        <v>2</v>
      </c>
      <c r="K348" s="90">
        <v>12</v>
      </c>
      <c r="L348" s="42" t="s">
        <v>12</v>
      </c>
    </row>
    <row r="349" spans="1:12" x14ac:dyDescent="0.3">
      <c r="A349" s="83">
        <v>348</v>
      </c>
      <c r="B349" s="89">
        <v>72</v>
      </c>
      <c r="C349" s="89">
        <v>23</v>
      </c>
      <c r="D349" s="42">
        <v>2008</v>
      </c>
      <c r="E349" s="90">
        <v>12</v>
      </c>
      <c r="F349" s="42">
        <v>27</v>
      </c>
      <c r="G349" s="89">
        <v>3.2</v>
      </c>
      <c r="H349" s="42" t="s">
        <v>19</v>
      </c>
      <c r="I349" s="91">
        <v>10</v>
      </c>
      <c r="J349" s="90">
        <v>7</v>
      </c>
      <c r="K349" s="90">
        <v>42</v>
      </c>
      <c r="L349" s="42" t="s">
        <v>27</v>
      </c>
    </row>
    <row r="350" spans="1:12" x14ac:dyDescent="0.3">
      <c r="A350" s="83">
        <v>349</v>
      </c>
      <c r="B350" s="89">
        <v>72.578999999999994</v>
      </c>
      <c r="C350" s="89">
        <v>25.846</v>
      </c>
      <c r="D350" s="42">
        <v>2008</v>
      </c>
      <c r="E350" s="90">
        <v>12</v>
      </c>
      <c r="F350" s="42">
        <v>28</v>
      </c>
      <c r="G350" s="89">
        <v>3.2</v>
      </c>
      <c r="H350" s="42" t="s">
        <v>19</v>
      </c>
      <c r="I350" s="91">
        <v>10</v>
      </c>
      <c r="J350" s="90">
        <v>7</v>
      </c>
      <c r="K350" s="90">
        <v>39</v>
      </c>
      <c r="L350" s="42" t="s">
        <v>12</v>
      </c>
    </row>
    <row r="351" spans="1:12" x14ac:dyDescent="0.3">
      <c r="A351" s="83">
        <v>350</v>
      </c>
      <c r="B351" s="89">
        <v>72.58</v>
      </c>
      <c r="C351" s="89">
        <v>25.85</v>
      </c>
      <c r="D351" s="42">
        <v>2008</v>
      </c>
      <c r="E351" s="90">
        <v>12</v>
      </c>
      <c r="F351" s="42">
        <v>28</v>
      </c>
      <c r="G351" s="89">
        <v>3.2</v>
      </c>
      <c r="H351" s="42" t="s">
        <v>19</v>
      </c>
      <c r="I351" s="91">
        <v>10</v>
      </c>
      <c r="J351" s="90">
        <v>13</v>
      </c>
      <c r="K351" s="90">
        <v>9</v>
      </c>
      <c r="L351" s="42" t="s">
        <v>27</v>
      </c>
    </row>
    <row r="352" spans="1:12" x14ac:dyDescent="0.3">
      <c r="A352" s="83">
        <v>351</v>
      </c>
      <c r="B352" s="89">
        <v>75.218800000000002</v>
      </c>
      <c r="C352" s="89">
        <v>21.634899999999998</v>
      </c>
      <c r="D352" s="42">
        <v>2009</v>
      </c>
      <c r="E352" s="90">
        <v>1</v>
      </c>
      <c r="F352" s="42">
        <v>4</v>
      </c>
      <c r="G352" s="89">
        <v>3.9</v>
      </c>
      <c r="H352" s="42" t="s">
        <v>2</v>
      </c>
      <c r="I352" s="91">
        <v>35</v>
      </c>
      <c r="J352" s="90">
        <v>5</v>
      </c>
      <c r="K352" s="90">
        <v>20</v>
      </c>
      <c r="L352" s="42" t="s">
        <v>10</v>
      </c>
    </row>
    <row r="353" spans="1:12" x14ac:dyDescent="0.3">
      <c r="A353" s="83">
        <v>352</v>
      </c>
      <c r="B353" s="89">
        <v>75.331999999999994</v>
      </c>
      <c r="C353" s="89">
        <v>21.585000000000001</v>
      </c>
      <c r="D353" s="42">
        <v>2009</v>
      </c>
      <c r="E353" s="90">
        <v>1</v>
      </c>
      <c r="F353" s="42">
        <v>4</v>
      </c>
      <c r="G353" s="89">
        <v>4.0999999999999996</v>
      </c>
      <c r="H353" s="42" t="s">
        <v>2</v>
      </c>
      <c r="I353" s="91">
        <v>10</v>
      </c>
      <c r="J353" s="90">
        <v>5</v>
      </c>
      <c r="K353" s="90">
        <v>20</v>
      </c>
      <c r="L353" s="42" t="s">
        <v>25</v>
      </c>
    </row>
    <row r="354" spans="1:12" x14ac:dyDescent="0.3">
      <c r="A354" s="83">
        <v>353</v>
      </c>
      <c r="B354" s="89">
        <v>75.31</v>
      </c>
      <c r="C354" s="89">
        <v>21.57</v>
      </c>
      <c r="D354" s="42">
        <v>2009</v>
      </c>
      <c r="E354" s="90">
        <v>1</v>
      </c>
      <c r="F354" s="42">
        <v>4</v>
      </c>
      <c r="G354" s="89">
        <v>4.2</v>
      </c>
      <c r="H354" s="42" t="s">
        <v>19</v>
      </c>
      <c r="I354" s="91">
        <v>10</v>
      </c>
      <c r="J354" s="90">
        <v>10</v>
      </c>
      <c r="K354" s="90">
        <v>50</v>
      </c>
      <c r="L354" s="42" t="s">
        <v>27</v>
      </c>
    </row>
    <row r="355" spans="1:12" x14ac:dyDescent="0.3">
      <c r="A355" s="83">
        <v>354</v>
      </c>
      <c r="B355" s="89">
        <v>79.694999999999993</v>
      </c>
      <c r="C355" s="89">
        <v>22.300999999999998</v>
      </c>
      <c r="D355" s="42">
        <v>2009</v>
      </c>
      <c r="E355" s="90">
        <v>8</v>
      </c>
      <c r="F355" s="42">
        <v>1</v>
      </c>
      <c r="G355" s="89">
        <v>3.5</v>
      </c>
      <c r="H355" s="42" t="s">
        <v>19</v>
      </c>
      <c r="I355" s="91">
        <v>10</v>
      </c>
      <c r="J355" s="90">
        <v>18</v>
      </c>
      <c r="K355" s="90">
        <v>49</v>
      </c>
      <c r="L355" s="42" t="s">
        <v>12</v>
      </c>
    </row>
    <row r="356" spans="1:12" x14ac:dyDescent="0.3">
      <c r="A356" s="83">
        <v>355</v>
      </c>
      <c r="B356" s="89">
        <v>79.7</v>
      </c>
      <c r="C356" s="89">
        <v>22.3</v>
      </c>
      <c r="D356" s="42">
        <v>2009</v>
      </c>
      <c r="E356" s="90">
        <v>8</v>
      </c>
      <c r="F356" s="42">
        <v>2</v>
      </c>
      <c r="G356" s="89">
        <v>3.5</v>
      </c>
      <c r="H356" s="42" t="s">
        <v>19</v>
      </c>
      <c r="I356" s="91">
        <v>10</v>
      </c>
      <c r="J356" s="90">
        <v>0</v>
      </c>
      <c r="K356" s="90">
        <v>19</v>
      </c>
      <c r="L356" s="42" t="s">
        <v>27</v>
      </c>
    </row>
    <row r="357" spans="1:12" x14ac:dyDescent="0.3">
      <c r="A357" s="83">
        <v>356</v>
      </c>
      <c r="B357" s="89">
        <v>76.924999999999997</v>
      </c>
      <c r="C357" s="89">
        <v>21.555</v>
      </c>
      <c r="D357" s="42">
        <v>2010</v>
      </c>
      <c r="E357" s="90">
        <v>1</v>
      </c>
      <c r="F357" s="42">
        <v>25</v>
      </c>
      <c r="G357" s="89">
        <v>3.2</v>
      </c>
      <c r="H357" s="42" t="s">
        <v>19</v>
      </c>
      <c r="I357" s="91">
        <v>10</v>
      </c>
      <c r="J357" s="90">
        <v>17</v>
      </c>
      <c r="K357" s="90">
        <v>0</v>
      </c>
      <c r="L357" s="42" t="s">
        <v>12</v>
      </c>
    </row>
    <row r="358" spans="1:12" x14ac:dyDescent="0.3">
      <c r="A358" s="83">
        <v>357</v>
      </c>
      <c r="B358" s="89">
        <v>76.930000000000007</v>
      </c>
      <c r="C358" s="89">
        <v>21.56</v>
      </c>
      <c r="D358" s="42">
        <v>2010</v>
      </c>
      <c r="E358" s="90">
        <v>1</v>
      </c>
      <c r="F358" s="42">
        <v>25</v>
      </c>
      <c r="G358" s="89">
        <v>3.2</v>
      </c>
      <c r="H358" s="42" t="s">
        <v>19</v>
      </c>
      <c r="I358" s="91">
        <v>10</v>
      </c>
      <c r="J358" s="90">
        <v>22</v>
      </c>
      <c r="K358" s="90">
        <v>30</v>
      </c>
      <c r="L358" s="42" t="s">
        <v>27</v>
      </c>
    </row>
    <row r="359" spans="1:12" x14ac:dyDescent="0.3">
      <c r="A359" s="83">
        <v>358</v>
      </c>
      <c r="B359" s="89">
        <v>74.308000000000007</v>
      </c>
      <c r="C359" s="89">
        <v>18.693999999999999</v>
      </c>
      <c r="D359" s="42">
        <v>2010</v>
      </c>
      <c r="E359" s="90">
        <v>4</v>
      </c>
      <c r="F359" s="42">
        <v>15</v>
      </c>
      <c r="G359" s="89">
        <v>3.3</v>
      </c>
      <c r="H359" s="42" t="s">
        <v>19</v>
      </c>
      <c r="I359" s="91">
        <v>10</v>
      </c>
      <c r="J359" s="90">
        <v>20</v>
      </c>
      <c r="K359" s="90">
        <v>22</v>
      </c>
      <c r="L359" s="42" t="s">
        <v>12</v>
      </c>
    </row>
    <row r="360" spans="1:12" x14ac:dyDescent="0.3">
      <c r="A360" s="83">
        <v>359</v>
      </c>
      <c r="B360" s="89">
        <v>74.31</v>
      </c>
      <c r="C360" s="89">
        <v>18.690000000000001</v>
      </c>
      <c r="D360" s="42">
        <v>2010</v>
      </c>
      <c r="E360" s="90">
        <v>4</v>
      </c>
      <c r="F360" s="42">
        <v>16</v>
      </c>
      <c r="G360" s="89">
        <v>3.3</v>
      </c>
      <c r="H360" s="42" t="s">
        <v>19</v>
      </c>
      <c r="I360" s="91">
        <v>10</v>
      </c>
      <c r="J360" s="90">
        <v>1</v>
      </c>
      <c r="K360" s="90">
        <v>52</v>
      </c>
      <c r="L360" s="42" t="s">
        <v>27</v>
      </c>
    </row>
    <row r="361" spans="1:12" x14ac:dyDescent="0.3">
      <c r="A361" s="83">
        <v>360</v>
      </c>
      <c r="B361" s="89">
        <v>74.303100000000001</v>
      </c>
      <c r="C361" s="89">
        <v>26.407299999999999</v>
      </c>
      <c r="D361" s="42">
        <v>2010</v>
      </c>
      <c r="E361" s="90">
        <v>8</v>
      </c>
      <c r="F361" s="42">
        <v>15</v>
      </c>
      <c r="G361" s="89">
        <v>4</v>
      </c>
      <c r="H361" s="42" t="s">
        <v>19</v>
      </c>
      <c r="I361" s="91">
        <v>10</v>
      </c>
      <c r="J361" s="90">
        <v>6</v>
      </c>
      <c r="K361" s="90">
        <v>8</v>
      </c>
      <c r="L361" s="42" t="s">
        <v>12</v>
      </c>
    </row>
    <row r="362" spans="1:12" x14ac:dyDescent="0.3">
      <c r="A362" s="83">
        <v>361</v>
      </c>
      <c r="B362" s="89">
        <v>74.34</v>
      </c>
      <c r="C362" s="89">
        <v>26.43</v>
      </c>
      <c r="D362" s="42">
        <v>2010</v>
      </c>
      <c r="E362" s="90">
        <v>8</v>
      </c>
      <c r="F362" s="42">
        <v>15</v>
      </c>
      <c r="G362" s="89">
        <v>4</v>
      </c>
      <c r="H362" s="42" t="s">
        <v>19</v>
      </c>
      <c r="I362" s="91">
        <v>10</v>
      </c>
      <c r="J362" s="90">
        <v>11</v>
      </c>
      <c r="K362" s="90">
        <v>38</v>
      </c>
      <c r="L362" s="42" t="s">
        <v>27</v>
      </c>
    </row>
    <row r="363" spans="1:12" x14ac:dyDescent="0.3">
      <c r="A363" s="83">
        <v>362</v>
      </c>
      <c r="B363" s="89">
        <v>72.130399999999995</v>
      </c>
      <c r="C363" s="89">
        <v>23.777999999999999</v>
      </c>
      <c r="D363" s="42">
        <v>2010</v>
      </c>
      <c r="E363" s="90">
        <v>9</v>
      </c>
      <c r="F363" s="42">
        <v>2</v>
      </c>
      <c r="G363" s="89">
        <v>4</v>
      </c>
      <c r="H363" s="42" t="s">
        <v>2</v>
      </c>
      <c r="I363" s="91">
        <v>35</v>
      </c>
      <c r="J363" s="90">
        <v>3</v>
      </c>
      <c r="K363" s="90">
        <v>9</v>
      </c>
      <c r="L363" s="42" t="s">
        <v>10</v>
      </c>
    </row>
    <row r="364" spans="1:12" x14ac:dyDescent="0.3">
      <c r="A364" s="83">
        <v>363</v>
      </c>
      <c r="B364" s="89">
        <v>71.897999999999996</v>
      </c>
      <c r="C364" s="89">
        <v>23.625</v>
      </c>
      <c r="D364" s="42">
        <v>2010</v>
      </c>
      <c r="E364" s="90">
        <v>9</v>
      </c>
      <c r="F364" s="42">
        <v>2</v>
      </c>
      <c r="G364" s="89">
        <v>4</v>
      </c>
      <c r="H364" s="42" t="s">
        <v>2</v>
      </c>
      <c r="I364" s="91">
        <v>10</v>
      </c>
      <c r="J364" s="90">
        <v>3</v>
      </c>
      <c r="K364" s="90">
        <v>9</v>
      </c>
      <c r="L364" s="42" t="s">
        <v>25</v>
      </c>
    </row>
    <row r="365" spans="1:12" x14ac:dyDescent="0.3">
      <c r="A365" s="83">
        <v>364</v>
      </c>
      <c r="B365" s="89">
        <v>71.959999999999994</v>
      </c>
      <c r="C365" s="89">
        <v>23.65</v>
      </c>
      <c r="D365" s="42">
        <v>2010</v>
      </c>
      <c r="E365" s="90">
        <v>9</v>
      </c>
      <c r="F365" s="42">
        <v>2</v>
      </c>
      <c r="G365" s="89">
        <v>4.0999999999999996</v>
      </c>
      <c r="H365" s="42" t="s">
        <v>19</v>
      </c>
      <c r="I365" s="91">
        <v>10</v>
      </c>
      <c r="J365" s="90">
        <v>8</v>
      </c>
      <c r="K365" s="90">
        <v>39</v>
      </c>
      <c r="L365" s="42" t="s">
        <v>27</v>
      </c>
    </row>
    <row r="366" spans="1:12" x14ac:dyDescent="0.3">
      <c r="A366" s="83">
        <v>365</v>
      </c>
      <c r="B366" s="89">
        <v>72.533000000000001</v>
      </c>
      <c r="C366" s="89">
        <v>24.614000000000001</v>
      </c>
      <c r="D366" s="42">
        <v>2010</v>
      </c>
      <c r="E366" s="90">
        <v>11</v>
      </c>
      <c r="F366" s="42">
        <v>5</v>
      </c>
      <c r="G366" s="89">
        <v>3</v>
      </c>
      <c r="H366" s="42" t="s">
        <v>19</v>
      </c>
      <c r="I366" s="91">
        <v>10</v>
      </c>
      <c r="J366" s="90">
        <v>15</v>
      </c>
      <c r="K366" s="90">
        <v>57</v>
      </c>
      <c r="L366" s="42" t="s">
        <v>12</v>
      </c>
    </row>
    <row r="367" spans="1:12" x14ac:dyDescent="0.3">
      <c r="A367" s="83">
        <v>366</v>
      </c>
      <c r="B367" s="89">
        <v>72.53</v>
      </c>
      <c r="C367" s="89">
        <v>24.61</v>
      </c>
      <c r="D367" s="42">
        <v>2010</v>
      </c>
      <c r="E367" s="90">
        <v>11</v>
      </c>
      <c r="F367" s="42">
        <v>5</v>
      </c>
      <c r="G367" s="89">
        <v>3</v>
      </c>
      <c r="H367" s="42" t="s">
        <v>19</v>
      </c>
      <c r="I367" s="91">
        <v>10</v>
      </c>
      <c r="J367" s="90">
        <v>21</v>
      </c>
      <c r="K367" s="90">
        <v>27</v>
      </c>
      <c r="L367" s="42" t="s">
        <v>27</v>
      </c>
    </row>
    <row r="368" spans="1:12" x14ac:dyDescent="0.3">
      <c r="A368" s="83">
        <v>367</v>
      </c>
      <c r="B368" s="89">
        <v>73.705799999999996</v>
      </c>
      <c r="C368" s="89">
        <v>25.162299999999998</v>
      </c>
      <c r="D368" s="42">
        <v>2010</v>
      </c>
      <c r="E368" s="90">
        <v>11</v>
      </c>
      <c r="F368" s="42">
        <v>9</v>
      </c>
      <c r="G368" s="89">
        <v>4.5</v>
      </c>
      <c r="H368" s="42" t="s">
        <v>2</v>
      </c>
      <c r="I368" s="91">
        <v>19.399999999999999</v>
      </c>
      <c r="J368" s="90">
        <v>22</v>
      </c>
      <c r="K368" s="90">
        <v>46</v>
      </c>
      <c r="L368" s="42" t="s">
        <v>10</v>
      </c>
    </row>
    <row r="369" spans="1:12" x14ac:dyDescent="0.3">
      <c r="A369" s="83">
        <v>368</v>
      </c>
      <c r="B369" s="89">
        <v>73.649000000000001</v>
      </c>
      <c r="C369" s="89">
        <v>25.23</v>
      </c>
      <c r="D369" s="42">
        <v>2010</v>
      </c>
      <c r="E369" s="90">
        <v>11</v>
      </c>
      <c r="F369" s="42">
        <v>9</v>
      </c>
      <c r="G369" s="89">
        <v>4.5999999999999996</v>
      </c>
      <c r="H369" s="42" t="s">
        <v>2</v>
      </c>
      <c r="I369" s="91">
        <v>13.5</v>
      </c>
      <c r="J369" s="90">
        <v>22</v>
      </c>
      <c r="K369" s="90">
        <v>46</v>
      </c>
      <c r="L369" s="42" t="s">
        <v>25</v>
      </c>
    </row>
    <row r="370" spans="1:12" x14ac:dyDescent="0.3">
      <c r="A370" s="83">
        <v>369</v>
      </c>
      <c r="B370" s="89">
        <v>73.72</v>
      </c>
      <c r="C370" s="89">
        <v>25.22</v>
      </c>
      <c r="D370" s="42">
        <v>2010</v>
      </c>
      <c r="E370" s="90">
        <v>11</v>
      </c>
      <c r="F370" s="42">
        <v>10</v>
      </c>
      <c r="G370" s="89">
        <v>4.7</v>
      </c>
      <c r="H370" s="42" t="s">
        <v>19</v>
      </c>
      <c r="I370" s="91">
        <v>10</v>
      </c>
      <c r="J370" s="90">
        <v>4</v>
      </c>
      <c r="K370" s="90">
        <v>16</v>
      </c>
      <c r="L370" s="42" t="s">
        <v>27</v>
      </c>
    </row>
    <row r="371" spans="1:12" x14ac:dyDescent="0.3">
      <c r="A371" s="83">
        <v>370</v>
      </c>
      <c r="B371" s="89">
        <v>79.789699999999996</v>
      </c>
      <c r="C371" s="89">
        <v>22.750800000000002</v>
      </c>
      <c r="D371" s="42">
        <v>2011</v>
      </c>
      <c r="E371" s="90">
        <v>2</v>
      </c>
      <c r="F371" s="42">
        <v>8</v>
      </c>
      <c r="G371" s="89">
        <v>3.5</v>
      </c>
      <c r="H371" s="42" t="s">
        <v>19</v>
      </c>
      <c r="I371" s="91">
        <v>35</v>
      </c>
      <c r="J371" s="90">
        <v>7</v>
      </c>
      <c r="K371" s="90">
        <v>23</v>
      </c>
      <c r="L371" s="42" t="s">
        <v>12</v>
      </c>
    </row>
    <row r="372" spans="1:12" x14ac:dyDescent="0.3">
      <c r="A372" s="83">
        <v>371</v>
      </c>
      <c r="B372" s="89">
        <v>79.8</v>
      </c>
      <c r="C372" s="89">
        <v>22.66</v>
      </c>
      <c r="D372" s="42">
        <v>2011</v>
      </c>
      <c r="E372" s="90">
        <v>2</v>
      </c>
      <c r="F372" s="42">
        <v>8</v>
      </c>
      <c r="G372" s="89">
        <v>3.5</v>
      </c>
      <c r="H372" s="42" t="s">
        <v>19</v>
      </c>
      <c r="I372" s="91">
        <v>10</v>
      </c>
      <c r="J372" s="90">
        <v>12</v>
      </c>
      <c r="K372" s="90">
        <v>53</v>
      </c>
      <c r="L372" s="42" t="s">
        <v>27</v>
      </c>
    </row>
    <row r="373" spans="1:12" x14ac:dyDescent="0.3">
      <c r="A373" s="83">
        <v>372</v>
      </c>
      <c r="B373" s="89">
        <v>78.819699999999997</v>
      </c>
      <c r="C373" s="89">
        <v>22.013000000000002</v>
      </c>
      <c r="D373" s="42">
        <v>2012</v>
      </c>
      <c r="E373" s="90">
        <v>6</v>
      </c>
      <c r="F373" s="42">
        <v>12</v>
      </c>
      <c r="G373" s="89">
        <v>3.4</v>
      </c>
      <c r="H373" s="42" t="s">
        <v>19</v>
      </c>
      <c r="I373" s="91">
        <v>35</v>
      </c>
      <c r="J373" s="90">
        <v>1</v>
      </c>
      <c r="K373" s="90">
        <v>9</v>
      </c>
      <c r="L373" s="42" t="s">
        <v>12</v>
      </c>
    </row>
    <row r="374" spans="1:12" x14ac:dyDescent="0.3">
      <c r="A374" s="83">
        <v>373</v>
      </c>
      <c r="B374" s="89">
        <v>78.86</v>
      </c>
      <c r="C374" s="89">
        <v>22.32</v>
      </c>
      <c r="D374" s="42">
        <v>2012</v>
      </c>
      <c r="E374" s="90">
        <v>6</v>
      </c>
      <c r="F374" s="42">
        <v>12</v>
      </c>
      <c r="G374" s="89">
        <v>3.4</v>
      </c>
      <c r="H374" s="42" t="s">
        <v>19</v>
      </c>
      <c r="I374" s="91">
        <v>15</v>
      </c>
      <c r="J374" s="90">
        <v>6</v>
      </c>
      <c r="K374" s="90">
        <v>39</v>
      </c>
      <c r="L374" s="42" t="s">
        <v>27</v>
      </c>
    </row>
    <row r="375" spans="1:12" x14ac:dyDescent="0.3">
      <c r="A375" s="83">
        <v>374</v>
      </c>
      <c r="B375" s="89">
        <v>72.799000000000007</v>
      </c>
      <c r="C375" s="89">
        <v>21.225000000000001</v>
      </c>
      <c r="D375" s="42">
        <v>2012</v>
      </c>
      <c r="E375" s="90">
        <v>7</v>
      </c>
      <c r="F375" s="42">
        <v>30</v>
      </c>
      <c r="G375" s="89">
        <v>3.2</v>
      </c>
      <c r="H375" s="42" t="s">
        <v>19</v>
      </c>
      <c r="I375" s="91">
        <v>11.5</v>
      </c>
      <c r="J375" s="90">
        <v>8</v>
      </c>
      <c r="K375" s="90">
        <v>3</v>
      </c>
      <c r="L375" s="42" t="s">
        <v>12</v>
      </c>
    </row>
    <row r="376" spans="1:12" x14ac:dyDescent="0.3">
      <c r="A376" s="83">
        <v>375</v>
      </c>
      <c r="B376" s="89">
        <v>72.8</v>
      </c>
      <c r="C376" s="89">
        <v>21.23</v>
      </c>
      <c r="D376" s="42">
        <v>2012</v>
      </c>
      <c r="E376" s="90">
        <v>7</v>
      </c>
      <c r="F376" s="42">
        <v>30</v>
      </c>
      <c r="G376" s="89">
        <v>3.2</v>
      </c>
      <c r="H376" s="42" t="s">
        <v>19</v>
      </c>
      <c r="I376" s="91">
        <v>11</v>
      </c>
      <c r="J376" s="90">
        <v>13</v>
      </c>
      <c r="K376" s="90">
        <v>33</v>
      </c>
      <c r="L376" s="42" t="s">
        <v>27</v>
      </c>
    </row>
    <row r="377" spans="1:12" x14ac:dyDescent="0.3">
      <c r="A377" s="83">
        <v>376</v>
      </c>
      <c r="B377" s="89">
        <v>76.507000000000005</v>
      </c>
      <c r="C377" s="89">
        <v>21.297999999999998</v>
      </c>
      <c r="D377" s="42">
        <v>2012</v>
      </c>
      <c r="E377" s="90">
        <v>9</v>
      </c>
      <c r="F377" s="42">
        <v>12</v>
      </c>
      <c r="G377" s="89">
        <v>3</v>
      </c>
      <c r="H377" s="42" t="s">
        <v>19</v>
      </c>
      <c r="I377" s="91">
        <v>20</v>
      </c>
      <c r="J377" s="90">
        <v>16</v>
      </c>
      <c r="K377" s="90">
        <v>34</v>
      </c>
      <c r="L377" s="42" t="s">
        <v>12</v>
      </c>
    </row>
    <row r="378" spans="1:12" x14ac:dyDescent="0.3">
      <c r="A378" s="83">
        <v>377</v>
      </c>
      <c r="B378" s="89">
        <v>76.510000000000005</v>
      </c>
      <c r="C378" s="89">
        <v>21.3</v>
      </c>
      <c r="D378" s="42">
        <v>2012</v>
      </c>
      <c r="E378" s="90">
        <v>9</v>
      </c>
      <c r="F378" s="42">
        <v>12</v>
      </c>
      <c r="G378" s="89">
        <v>3</v>
      </c>
      <c r="H378" s="42" t="s">
        <v>19</v>
      </c>
      <c r="I378" s="91">
        <v>20</v>
      </c>
      <c r="J378" s="90">
        <v>22</v>
      </c>
      <c r="K378" s="90">
        <v>4</v>
      </c>
      <c r="L378" s="42" t="s">
        <v>27</v>
      </c>
    </row>
    <row r="379" spans="1:12" x14ac:dyDescent="0.3">
      <c r="A379" s="83">
        <v>378</v>
      </c>
      <c r="B379" s="89">
        <v>76.031999999999996</v>
      </c>
      <c r="C379" s="89">
        <v>22.056000000000001</v>
      </c>
      <c r="D379" s="42">
        <v>2012</v>
      </c>
      <c r="E379" s="90">
        <v>11</v>
      </c>
      <c r="F379" s="42">
        <v>20</v>
      </c>
      <c r="G379" s="89">
        <v>3.3</v>
      </c>
      <c r="H379" s="42" t="s">
        <v>19</v>
      </c>
      <c r="I379" s="91">
        <v>15</v>
      </c>
      <c r="J379" s="90">
        <v>4</v>
      </c>
      <c r="K379" s="90">
        <v>15</v>
      </c>
      <c r="L379" s="42" t="s">
        <v>12</v>
      </c>
    </row>
    <row r="380" spans="1:12" x14ac:dyDescent="0.3">
      <c r="A380" s="83">
        <v>379</v>
      </c>
      <c r="B380" s="89">
        <v>76.3</v>
      </c>
      <c r="C380" s="89">
        <v>22.6</v>
      </c>
      <c r="D380" s="42">
        <v>2012</v>
      </c>
      <c r="E380" s="90">
        <v>11</v>
      </c>
      <c r="F380" s="42">
        <v>20</v>
      </c>
      <c r="G380" s="89">
        <v>3.3</v>
      </c>
      <c r="H380" s="42" t="s">
        <v>19</v>
      </c>
      <c r="I380" s="91">
        <v>15</v>
      </c>
      <c r="J380" s="90">
        <v>9</v>
      </c>
      <c r="K380" s="90">
        <v>45</v>
      </c>
      <c r="L380" s="42" t="s">
        <v>27</v>
      </c>
    </row>
    <row r="381" spans="1:12" x14ac:dyDescent="0.3">
      <c r="A381" s="83">
        <v>380</v>
      </c>
      <c r="B381" s="89">
        <v>75.891499999999994</v>
      </c>
      <c r="C381" s="89">
        <v>26.261700000000001</v>
      </c>
      <c r="D381" s="42">
        <v>2013</v>
      </c>
      <c r="E381" s="90">
        <v>2</v>
      </c>
      <c r="F381" s="42">
        <v>24</v>
      </c>
      <c r="G381" s="89">
        <v>3.5</v>
      </c>
      <c r="H381" s="42" t="s">
        <v>2</v>
      </c>
      <c r="I381" s="91">
        <v>35</v>
      </c>
      <c r="J381" s="90">
        <v>0</v>
      </c>
      <c r="K381" s="90">
        <v>57</v>
      </c>
      <c r="L381" s="42" t="s">
        <v>10</v>
      </c>
    </row>
    <row r="382" spans="1:12" x14ac:dyDescent="0.3">
      <c r="A382" s="83">
        <v>381</v>
      </c>
      <c r="B382" s="89">
        <v>76.599999999999994</v>
      </c>
      <c r="C382" s="89">
        <v>26.19</v>
      </c>
      <c r="D382" s="42">
        <v>2013</v>
      </c>
      <c r="E382" s="90">
        <v>2</v>
      </c>
      <c r="F382" s="42">
        <v>24</v>
      </c>
      <c r="G382" s="89">
        <v>4.0999999999999996</v>
      </c>
      <c r="H382" s="42" t="s">
        <v>19</v>
      </c>
      <c r="I382" s="91">
        <v>10</v>
      </c>
      <c r="J382" s="90">
        <v>6</v>
      </c>
      <c r="K382" s="90">
        <v>27</v>
      </c>
      <c r="L382" s="42" t="s">
        <v>27</v>
      </c>
    </row>
    <row r="383" spans="1:12" x14ac:dyDescent="0.3">
      <c r="A383" s="83">
        <v>382</v>
      </c>
      <c r="B383" s="89">
        <v>73.376999999999995</v>
      </c>
      <c r="C383" s="89">
        <v>19.800999999999998</v>
      </c>
      <c r="D383" s="42">
        <v>2013</v>
      </c>
      <c r="E383" s="90">
        <v>2</v>
      </c>
      <c r="F383" s="42">
        <v>25</v>
      </c>
      <c r="G383" s="89">
        <v>3</v>
      </c>
      <c r="H383" s="42" t="s">
        <v>19</v>
      </c>
      <c r="I383" s="91">
        <v>10</v>
      </c>
      <c r="J383" s="90">
        <v>17</v>
      </c>
      <c r="K383" s="90">
        <v>21</v>
      </c>
      <c r="L383" s="42" t="s">
        <v>12</v>
      </c>
    </row>
    <row r="384" spans="1:12" x14ac:dyDescent="0.3">
      <c r="A384" s="83">
        <v>383</v>
      </c>
      <c r="B384" s="89">
        <v>73.38</v>
      </c>
      <c r="C384" s="89">
        <v>19.8</v>
      </c>
      <c r="D384" s="42">
        <v>2013</v>
      </c>
      <c r="E384" s="90">
        <v>2</v>
      </c>
      <c r="F384" s="42">
        <v>25</v>
      </c>
      <c r="G384" s="89">
        <v>3</v>
      </c>
      <c r="H384" s="42" t="s">
        <v>19</v>
      </c>
      <c r="I384" s="91">
        <v>10</v>
      </c>
      <c r="J384" s="90">
        <v>22</v>
      </c>
      <c r="K384" s="90">
        <v>51</v>
      </c>
      <c r="L384" s="42" t="s">
        <v>27</v>
      </c>
    </row>
    <row r="385" spans="1:12" x14ac:dyDescent="0.3">
      <c r="A385" s="83">
        <v>384</v>
      </c>
      <c r="B385" s="89">
        <v>71.019099999999995</v>
      </c>
      <c r="C385" s="89">
        <v>23.416899999999998</v>
      </c>
      <c r="D385" s="42">
        <v>2013</v>
      </c>
      <c r="E385" s="90">
        <v>4</v>
      </c>
      <c r="F385" s="42">
        <v>25</v>
      </c>
      <c r="G385" s="89">
        <v>3.5</v>
      </c>
      <c r="H385" s="42" t="s">
        <v>2</v>
      </c>
      <c r="I385" s="91">
        <v>10</v>
      </c>
      <c r="J385" s="90">
        <v>5</v>
      </c>
      <c r="K385" s="90">
        <v>57</v>
      </c>
      <c r="L385" s="42" t="s">
        <v>10</v>
      </c>
    </row>
    <row r="386" spans="1:12" x14ac:dyDescent="0.3">
      <c r="A386" s="83">
        <v>385</v>
      </c>
      <c r="B386" s="89">
        <v>74.831999999999994</v>
      </c>
      <c r="C386" s="89">
        <v>21.988</v>
      </c>
      <c r="D386" s="42">
        <v>2013</v>
      </c>
      <c r="E386" s="90">
        <v>6</v>
      </c>
      <c r="F386" s="42">
        <v>30</v>
      </c>
      <c r="G386" s="89">
        <v>3.3</v>
      </c>
      <c r="H386" s="42" t="s">
        <v>19</v>
      </c>
      <c r="I386" s="91">
        <v>19.100000000000001</v>
      </c>
      <c r="J386" s="90">
        <v>2</v>
      </c>
      <c r="K386" s="90">
        <v>44</v>
      </c>
      <c r="L386" s="42" t="s">
        <v>12</v>
      </c>
    </row>
    <row r="387" spans="1:12" x14ac:dyDescent="0.3">
      <c r="A387" s="83">
        <v>386</v>
      </c>
      <c r="B387" s="89">
        <v>74.83</v>
      </c>
      <c r="C387" s="89">
        <v>21.99</v>
      </c>
      <c r="D387" s="42">
        <v>2013</v>
      </c>
      <c r="E387" s="90">
        <v>6</v>
      </c>
      <c r="F387" s="42">
        <v>30</v>
      </c>
      <c r="G387" s="89">
        <v>3.3</v>
      </c>
      <c r="H387" s="42" t="s">
        <v>19</v>
      </c>
      <c r="I387" s="91">
        <v>19</v>
      </c>
      <c r="J387" s="90">
        <v>8</v>
      </c>
      <c r="K387" s="90">
        <v>14</v>
      </c>
      <c r="L387" s="42" t="s">
        <v>27</v>
      </c>
    </row>
    <row r="388" spans="1:12" x14ac:dyDescent="0.3">
      <c r="A388" s="83">
        <v>387</v>
      </c>
      <c r="B388" s="89">
        <v>75.522000000000006</v>
      </c>
      <c r="C388" s="89">
        <v>26.62</v>
      </c>
      <c r="D388" s="42">
        <v>2013</v>
      </c>
      <c r="E388" s="90">
        <v>9</v>
      </c>
      <c r="F388" s="42">
        <v>5</v>
      </c>
      <c r="G388" s="89">
        <v>3.1</v>
      </c>
      <c r="H388" s="42" t="s">
        <v>19</v>
      </c>
      <c r="I388" s="91">
        <v>11.1</v>
      </c>
      <c r="J388" s="90">
        <v>11</v>
      </c>
      <c r="K388" s="90">
        <v>29</v>
      </c>
      <c r="L388" s="42" t="s">
        <v>12</v>
      </c>
    </row>
    <row r="389" spans="1:12" x14ac:dyDescent="0.3">
      <c r="A389" s="83">
        <v>388</v>
      </c>
      <c r="B389" s="89">
        <v>75.52</v>
      </c>
      <c r="C389" s="89">
        <v>26.62</v>
      </c>
      <c r="D389" s="42">
        <v>2013</v>
      </c>
      <c r="E389" s="90">
        <v>9</v>
      </c>
      <c r="F389" s="42">
        <v>5</v>
      </c>
      <c r="G389" s="89">
        <v>3.1</v>
      </c>
      <c r="H389" s="42" t="s">
        <v>19</v>
      </c>
      <c r="I389" s="91">
        <v>11</v>
      </c>
      <c r="J389" s="90">
        <v>16</v>
      </c>
      <c r="K389" s="90">
        <v>59</v>
      </c>
      <c r="L389" s="42" t="s">
        <v>27</v>
      </c>
    </row>
    <row r="390" spans="1:12" x14ac:dyDescent="0.3">
      <c r="A390" s="83">
        <v>389</v>
      </c>
      <c r="B390" s="89">
        <v>73.997</v>
      </c>
      <c r="C390" s="89">
        <v>20.704999999999998</v>
      </c>
      <c r="D390" s="42">
        <v>2014</v>
      </c>
      <c r="E390" s="90">
        <v>1</v>
      </c>
      <c r="F390" s="42">
        <v>7</v>
      </c>
      <c r="G390" s="89">
        <v>3.3</v>
      </c>
      <c r="H390" s="42" t="s">
        <v>18</v>
      </c>
      <c r="I390" s="91">
        <v>15</v>
      </c>
      <c r="J390" s="90">
        <v>13</v>
      </c>
      <c r="K390" s="90">
        <v>50</v>
      </c>
      <c r="L390" s="42" t="s">
        <v>12</v>
      </c>
    </row>
    <row r="391" spans="1:12" x14ac:dyDescent="0.3">
      <c r="A391" s="83">
        <v>390</v>
      </c>
      <c r="B391" s="89">
        <v>73.099999999999994</v>
      </c>
      <c r="C391" s="89">
        <v>20.7</v>
      </c>
      <c r="D391" s="42">
        <v>2014</v>
      </c>
      <c r="E391" s="90">
        <v>1</v>
      </c>
      <c r="F391" s="42">
        <v>7</v>
      </c>
      <c r="G391" s="89">
        <v>3.5</v>
      </c>
      <c r="H391" s="42" t="s">
        <v>19</v>
      </c>
      <c r="I391" s="91">
        <v>15</v>
      </c>
      <c r="J391" s="90">
        <v>19</v>
      </c>
      <c r="K391" s="90">
        <v>20</v>
      </c>
      <c r="L391" s="42" t="s">
        <v>27</v>
      </c>
    </row>
    <row r="392" spans="1:12" x14ac:dyDescent="0.3">
      <c r="A392" s="83">
        <v>391</v>
      </c>
      <c r="B392" s="89">
        <v>73.420199999999994</v>
      </c>
      <c r="C392" s="89">
        <v>21.4255</v>
      </c>
      <c r="D392" s="42">
        <v>2014</v>
      </c>
      <c r="E392" s="90">
        <v>6</v>
      </c>
      <c r="F392" s="42">
        <v>21</v>
      </c>
      <c r="G392" s="89">
        <v>3.7</v>
      </c>
      <c r="H392" s="42" t="s">
        <v>2</v>
      </c>
      <c r="I392" s="91">
        <v>35</v>
      </c>
      <c r="J392" s="90">
        <v>15</v>
      </c>
      <c r="K392" s="90">
        <v>59</v>
      </c>
      <c r="L392" s="42" t="s">
        <v>10</v>
      </c>
    </row>
    <row r="393" spans="1:12" x14ac:dyDescent="0.3">
      <c r="A393" s="83">
        <v>392</v>
      </c>
      <c r="B393" s="89" t="s">
        <v>23</v>
      </c>
      <c r="C393" s="89" t="s">
        <v>24</v>
      </c>
      <c r="D393" s="42">
        <v>2014</v>
      </c>
      <c r="E393" s="90">
        <v>8</v>
      </c>
      <c r="F393" s="42">
        <v>20</v>
      </c>
      <c r="G393" s="89">
        <v>3.6</v>
      </c>
      <c r="H393" s="42" t="s">
        <v>18</v>
      </c>
      <c r="I393" s="91">
        <v>0</v>
      </c>
      <c r="J393" s="90">
        <v>1</v>
      </c>
      <c r="K393" s="90">
        <v>29</v>
      </c>
      <c r="L393" s="42" t="s">
        <v>12</v>
      </c>
    </row>
    <row r="394" spans="1:12" x14ac:dyDescent="0.3">
      <c r="A394" s="83">
        <v>393</v>
      </c>
      <c r="B394" s="89">
        <v>75.14</v>
      </c>
      <c r="C394" s="89">
        <v>21.87</v>
      </c>
      <c r="D394" s="42">
        <v>2014</v>
      </c>
      <c r="E394" s="90">
        <v>8</v>
      </c>
      <c r="F394" s="42">
        <v>20</v>
      </c>
      <c r="G394" s="89">
        <v>3.5</v>
      </c>
      <c r="H394" s="42" t="s">
        <v>19</v>
      </c>
      <c r="I394" s="91">
        <v>6</v>
      </c>
      <c r="J394" s="90">
        <v>6</v>
      </c>
      <c r="K394" s="90">
        <v>59</v>
      </c>
      <c r="L394" s="42" t="s">
        <v>27</v>
      </c>
    </row>
    <row r="395" spans="1:12" x14ac:dyDescent="0.3">
      <c r="A395" s="83">
        <v>394</v>
      </c>
      <c r="B395" s="89">
        <v>79.889899999999997</v>
      </c>
      <c r="C395" s="89">
        <v>23.041899999999998</v>
      </c>
      <c r="D395" s="42">
        <v>2014</v>
      </c>
      <c r="E395" s="90">
        <v>10</v>
      </c>
      <c r="F395" s="42">
        <v>22</v>
      </c>
      <c r="G395" s="89">
        <v>3.6</v>
      </c>
      <c r="H395" s="42" t="s">
        <v>2</v>
      </c>
      <c r="I395" s="91">
        <v>10</v>
      </c>
      <c r="J395" s="90">
        <v>5</v>
      </c>
      <c r="K395" s="90">
        <v>18</v>
      </c>
      <c r="L395" s="42" t="s">
        <v>10</v>
      </c>
    </row>
    <row r="396" spans="1:12" x14ac:dyDescent="0.3">
      <c r="A396" s="83">
        <v>395</v>
      </c>
      <c r="B396" s="89">
        <v>80.3</v>
      </c>
      <c r="C396" s="89">
        <v>23.5</v>
      </c>
      <c r="D396" s="42">
        <v>2014</v>
      </c>
      <c r="E396" s="90">
        <v>10</v>
      </c>
      <c r="F396" s="42">
        <v>22</v>
      </c>
      <c r="G396" s="89">
        <v>3.5</v>
      </c>
      <c r="H396" s="42" t="s">
        <v>19</v>
      </c>
      <c r="I396" s="91">
        <v>6</v>
      </c>
      <c r="J396" s="90">
        <v>10</v>
      </c>
      <c r="K396" s="90">
        <v>48</v>
      </c>
      <c r="L396" s="42" t="s">
        <v>27</v>
      </c>
    </row>
    <row r="397" spans="1:12" x14ac:dyDescent="0.3">
      <c r="A397" s="83">
        <v>396</v>
      </c>
      <c r="B397" s="89">
        <v>72.034999999999997</v>
      </c>
      <c r="C397" s="89">
        <v>24.407</v>
      </c>
      <c r="D397" s="42">
        <v>2014</v>
      </c>
      <c r="E397" s="90">
        <v>11</v>
      </c>
      <c r="F397" s="42">
        <v>19</v>
      </c>
      <c r="G397" s="89">
        <v>3.5</v>
      </c>
      <c r="H397" s="42" t="s">
        <v>19</v>
      </c>
      <c r="I397" s="91">
        <v>10</v>
      </c>
      <c r="J397" s="90">
        <v>15</v>
      </c>
      <c r="K397" s="90">
        <v>26</v>
      </c>
      <c r="L397" s="42" t="s">
        <v>12</v>
      </c>
    </row>
    <row r="398" spans="1:12" x14ac:dyDescent="0.3">
      <c r="A398" s="83">
        <v>397</v>
      </c>
      <c r="B398" s="89">
        <v>72.400000000000006</v>
      </c>
      <c r="C398" s="89">
        <v>24.41</v>
      </c>
      <c r="D398" s="42">
        <v>2014</v>
      </c>
      <c r="E398" s="90">
        <v>11</v>
      </c>
      <c r="F398" s="42">
        <v>19</v>
      </c>
      <c r="G398" s="89">
        <v>3.5</v>
      </c>
      <c r="H398" s="42" t="s">
        <v>19</v>
      </c>
      <c r="I398" s="91">
        <v>10</v>
      </c>
      <c r="J398" s="90">
        <v>20</v>
      </c>
      <c r="K398" s="90">
        <v>56</v>
      </c>
      <c r="L398" s="42" t="s">
        <v>27</v>
      </c>
    </row>
    <row r="399" spans="1:12" x14ac:dyDescent="0.3">
      <c r="A399" s="83">
        <v>398</v>
      </c>
      <c r="B399" s="89">
        <v>72.659199999999998</v>
      </c>
      <c r="C399" s="89">
        <v>24.040600000000001</v>
      </c>
      <c r="D399" s="42">
        <v>2015</v>
      </c>
      <c r="E399" s="90">
        <v>3</v>
      </c>
      <c r="F399" s="42">
        <v>19</v>
      </c>
      <c r="G399" s="89">
        <v>3.4</v>
      </c>
      <c r="H399" s="42" t="s">
        <v>2</v>
      </c>
      <c r="I399" s="91">
        <v>10</v>
      </c>
      <c r="J399" s="90">
        <v>9</v>
      </c>
      <c r="K399" s="90">
        <v>41</v>
      </c>
      <c r="L399" s="42" t="s">
        <v>10</v>
      </c>
    </row>
    <row r="400" spans="1:12" x14ac:dyDescent="0.3">
      <c r="A400" s="83">
        <v>399</v>
      </c>
      <c r="B400" s="89">
        <v>72.72</v>
      </c>
      <c r="C400" s="89">
        <v>24.2</v>
      </c>
      <c r="D400" s="42">
        <v>2015</v>
      </c>
      <c r="E400" s="90">
        <v>3</v>
      </c>
      <c r="F400" s="42">
        <v>19</v>
      </c>
      <c r="G400" s="89">
        <v>3.6</v>
      </c>
      <c r="H400" s="42" t="s">
        <v>19</v>
      </c>
      <c r="I400" s="91">
        <v>10</v>
      </c>
      <c r="J400" s="90">
        <v>15</v>
      </c>
      <c r="K400" s="90">
        <v>11</v>
      </c>
      <c r="L400" s="42" t="s">
        <v>27</v>
      </c>
    </row>
    <row r="401" spans="1:12" x14ac:dyDescent="0.3">
      <c r="A401" s="83">
        <v>400</v>
      </c>
      <c r="B401" s="89">
        <v>80.066999999999993</v>
      </c>
      <c r="C401" s="89">
        <v>21.328199999999999</v>
      </c>
      <c r="D401" s="42">
        <v>2015</v>
      </c>
      <c r="E401" s="90">
        <v>7</v>
      </c>
      <c r="F401" s="42">
        <v>23</v>
      </c>
      <c r="G401" s="89">
        <v>4</v>
      </c>
      <c r="H401" s="42" t="s">
        <v>18</v>
      </c>
      <c r="I401" s="91">
        <v>35</v>
      </c>
      <c r="J401" s="90">
        <v>14</v>
      </c>
      <c r="K401" s="90">
        <v>36</v>
      </c>
      <c r="L401" s="42" t="s">
        <v>12</v>
      </c>
    </row>
    <row r="402" spans="1:12" x14ac:dyDescent="0.3">
      <c r="A402" s="83">
        <v>401</v>
      </c>
      <c r="B402" s="89">
        <v>80.11</v>
      </c>
      <c r="C402" s="89">
        <v>21.35</v>
      </c>
      <c r="D402" s="42">
        <v>2015</v>
      </c>
      <c r="E402" s="90">
        <v>7</v>
      </c>
      <c r="F402" s="42">
        <v>23</v>
      </c>
      <c r="G402" s="89">
        <v>4</v>
      </c>
      <c r="H402" s="42" t="s">
        <v>19</v>
      </c>
      <c r="I402" s="91">
        <v>10</v>
      </c>
      <c r="J402" s="90">
        <v>20</v>
      </c>
      <c r="K402" s="90">
        <v>6</v>
      </c>
      <c r="L402" s="42" t="s">
        <v>27</v>
      </c>
    </row>
    <row r="403" spans="1:12" x14ac:dyDescent="0.3">
      <c r="A403" s="83">
        <v>402</v>
      </c>
      <c r="B403" s="89">
        <v>73.001000000000005</v>
      </c>
      <c r="C403" s="89">
        <v>20.425999999999998</v>
      </c>
      <c r="D403" s="42">
        <v>2015</v>
      </c>
      <c r="E403" s="90">
        <v>11</v>
      </c>
      <c r="F403" s="42">
        <v>2</v>
      </c>
      <c r="G403" s="89">
        <v>3</v>
      </c>
      <c r="H403" s="42" t="s">
        <v>19</v>
      </c>
      <c r="I403" s="91">
        <v>18.100000000000001</v>
      </c>
      <c r="J403" s="90">
        <v>20</v>
      </c>
      <c r="K403" s="90">
        <v>39</v>
      </c>
      <c r="L403" s="42" t="s">
        <v>12</v>
      </c>
    </row>
    <row r="404" spans="1:12" x14ac:dyDescent="0.3">
      <c r="A404" s="83">
        <v>403</v>
      </c>
      <c r="B404" s="89">
        <v>73</v>
      </c>
      <c r="C404" s="89">
        <v>20.43</v>
      </c>
      <c r="D404" s="42">
        <v>2015</v>
      </c>
      <c r="E404" s="90">
        <v>11</v>
      </c>
      <c r="F404" s="42">
        <v>3</v>
      </c>
      <c r="G404" s="89">
        <v>3</v>
      </c>
      <c r="H404" s="42" t="s">
        <v>19</v>
      </c>
      <c r="I404" s="91">
        <v>18</v>
      </c>
      <c r="J404" s="90">
        <v>2</v>
      </c>
      <c r="K404" s="90">
        <v>9</v>
      </c>
      <c r="L404" s="42" t="s">
        <v>27</v>
      </c>
    </row>
    <row r="405" spans="1:12" x14ac:dyDescent="0.3">
      <c r="A405" s="83">
        <v>404</v>
      </c>
      <c r="B405" s="89">
        <v>75.498599999999996</v>
      </c>
      <c r="C405" s="89">
        <v>27.123999999999999</v>
      </c>
      <c r="D405" s="42">
        <v>2016</v>
      </c>
      <c r="E405" s="90">
        <v>1</v>
      </c>
      <c r="F405" s="42">
        <v>28</v>
      </c>
      <c r="G405" s="89">
        <v>3.4</v>
      </c>
      <c r="H405" s="42" t="s">
        <v>2</v>
      </c>
      <c r="I405" s="91">
        <v>10</v>
      </c>
      <c r="J405" s="90">
        <v>22</v>
      </c>
      <c r="K405" s="90">
        <v>47</v>
      </c>
      <c r="L405" s="42" t="s">
        <v>10</v>
      </c>
    </row>
    <row r="406" spans="1:12" x14ac:dyDescent="0.3">
      <c r="A406" s="83">
        <v>405</v>
      </c>
      <c r="B406" s="89">
        <v>75.400000000000006</v>
      </c>
      <c r="C406" s="89">
        <v>27.12</v>
      </c>
      <c r="D406" s="42">
        <v>2016</v>
      </c>
      <c r="E406" s="90">
        <v>1</v>
      </c>
      <c r="F406" s="42">
        <v>29</v>
      </c>
      <c r="G406" s="89">
        <v>3.7</v>
      </c>
      <c r="H406" s="42" t="s">
        <v>19</v>
      </c>
      <c r="I406" s="91">
        <v>10</v>
      </c>
      <c r="J406" s="90">
        <v>4</v>
      </c>
      <c r="K406" s="90">
        <v>17</v>
      </c>
      <c r="L406" s="42" t="s">
        <v>27</v>
      </c>
    </row>
    <row r="407" spans="1:12" x14ac:dyDescent="0.3">
      <c r="A407" s="83">
        <v>406</v>
      </c>
      <c r="B407" s="89">
        <v>72.191000000000003</v>
      </c>
      <c r="C407" s="89">
        <v>24.844999999999999</v>
      </c>
      <c r="D407" s="42">
        <v>2016</v>
      </c>
      <c r="E407" s="90">
        <v>2</v>
      </c>
      <c r="F407" s="42">
        <v>24</v>
      </c>
      <c r="G407" s="89">
        <v>3.3</v>
      </c>
      <c r="H407" s="42" t="s">
        <v>19</v>
      </c>
      <c r="I407" s="91">
        <v>10</v>
      </c>
      <c r="J407" s="90">
        <v>2</v>
      </c>
      <c r="K407" s="90">
        <v>6</v>
      </c>
      <c r="L407" s="42" t="s">
        <v>12</v>
      </c>
    </row>
    <row r="408" spans="1:12" x14ac:dyDescent="0.3">
      <c r="A408" s="83">
        <v>407</v>
      </c>
      <c r="B408" s="89">
        <v>72.19</v>
      </c>
      <c r="C408" s="89">
        <v>24.84</v>
      </c>
      <c r="D408" s="42">
        <v>2016</v>
      </c>
      <c r="E408" s="90">
        <v>2</v>
      </c>
      <c r="F408" s="42">
        <v>24</v>
      </c>
      <c r="G408" s="89">
        <v>3.3</v>
      </c>
      <c r="H408" s="42" t="s">
        <v>19</v>
      </c>
      <c r="I408" s="91">
        <v>10</v>
      </c>
      <c r="J408" s="90">
        <v>7</v>
      </c>
      <c r="K408" s="90">
        <v>36</v>
      </c>
      <c r="L408" s="42" t="s">
        <v>27</v>
      </c>
    </row>
    <row r="409" spans="1:12" x14ac:dyDescent="0.3">
      <c r="A409" s="83">
        <v>408</v>
      </c>
      <c r="B409" s="89">
        <v>73.210999999999999</v>
      </c>
      <c r="C409" s="89">
        <v>25.81</v>
      </c>
      <c r="D409" s="42">
        <v>2016</v>
      </c>
      <c r="E409" s="90">
        <v>3</v>
      </c>
      <c r="F409" s="42">
        <v>18</v>
      </c>
      <c r="G409" s="89">
        <v>3.6</v>
      </c>
      <c r="H409" s="42" t="s">
        <v>19</v>
      </c>
      <c r="I409" s="91">
        <v>7.7</v>
      </c>
      <c r="J409" s="90">
        <v>3</v>
      </c>
      <c r="K409" s="90">
        <v>37</v>
      </c>
      <c r="L409" s="42" t="s">
        <v>12</v>
      </c>
    </row>
    <row r="410" spans="1:12" x14ac:dyDescent="0.3">
      <c r="A410" s="83">
        <v>409</v>
      </c>
      <c r="B410" s="89">
        <v>73.209999999999994</v>
      </c>
      <c r="C410" s="89">
        <v>25.81</v>
      </c>
      <c r="D410" s="42">
        <v>2016</v>
      </c>
      <c r="E410" s="90">
        <v>3</v>
      </c>
      <c r="F410" s="42">
        <v>18</v>
      </c>
      <c r="G410" s="89">
        <v>3.6</v>
      </c>
      <c r="H410" s="42" t="s">
        <v>19</v>
      </c>
      <c r="I410" s="91">
        <v>7</v>
      </c>
      <c r="J410" s="90">
        <v>9</v>
      </c>
      <c r="K410" s="90">
        <v>7</v>
      </c>
      <c r="L410" s="42" t="s">
        <v>27</v>
      </c>
    </row>
    <row r="411" spans="1:12" x14ac:dyDescent="0.3">
      <c r="A411" s="83">
        <v>410</v>
      </c>
      <c r="B411" s="89">
        <v>75.200999999999993</v>
      </c>
      <c r="C411" s="89">
        <v>26.957799999999999</v>
      </c>
      <c r="D411" s="42">
        <v>2016</v>
      </c>
      <c r="E411" s="90">
        <v>4</v>
      </c>
      <c r="F411" s="42">
        <v>7</v>
      </c>
      <c r="G411" s="89">
        <v>3.3</v>
      </c>
      <c r="H411" s="42" t="s">
        <v>2</v>
      </c>
      <c r="I411" s="91">
        <v>10</v>
      </c>
      <c r="J411" s="90">
        <v>20</v>
      </c>
      <c r="K411" s="90">
        <v>3</v>
      </c>
      <c r="L411" s="42" t="s">
        <v>10</v>
      </c>
    </row>
    <row r="412" spans="1:12" x14ac:dyDescent="0.3">
      <c r="A412" s="83">
        <v>411</v>
      </c>
      <c r="B412" s="89">
        <v>75.25</v>
      </c>
      <c r="C412" s="89">
        <v>26.94</v>
      </c>
      <c r="D412" s="42">
        <v>2016</v>
      </c>
      <c r="E412" s="90">
        <v>4</v>
      </c>
      <c r="F412" s="42">
        <v>8</v>
      </c>
      <c r="G412" s="89">
        <v>3.4</v>
      </c>
      <c r="H412" s="42" t="s">
        <v>19</v>
      </c>
      <c r="I412" s="91">
        <v>10</v>
      </c>
      <c r="J412" s="90">
        <v>1</v>
      </c>
      <c r="K412" s="90">
        <v>33</v>
      </c>
      <c r="L412" s="42" t="s">
        <v>27</v>
      </c>
    </row>
    <row r="413" spans="1:12" x14ac:dyDescent="0.3">
      <c r="A413" s="83">
        <v>412</v>
      </c>
      <c r="B413" s="89">
        <v>72.584999999999994</v>
      </c>
      <c r="C413" s="89">
        <v>24.361000000000001</v>
      </c>
      <c r="D413" s="42">
        <v>2016</v>
      </c>
      <c r="E413" s="90">
        <v>5</v>
      </c>
      <c r="F413" s="42">
        <v>12</v>
      </c>
      <c r="G413" s="89">
        <v>3.1</v>
      </c>
      <c r="H413" s="42" t="s">
        <v>19</v>
      </c>
      <c r="I413" s="91">
        <v>39.6</v>
      </c>
      <c r="J413" s="90">
        <v>16</v>
      </c>
      <c r="K413" s="90">
        <v>59</v>
      </c>
      <c r="L413" s="42" t="s">
        <v>12</v>
      </c>
    </row>
    <row r="414" spans="1:12" x14ac:dyDescent="0.3">
      <c r="A414" s="83">
        <v>413</v>
      </c>
      <c r="B414" s="89">
        <v>72.58</v>
      </c>
      <c r="C414" s="89">
        <v>24.36</v>
      </c>
      <c r="D414" s="42">
        <v>2016</v>
      </c>
      <c r="E414" s="90">
        <v>5</v>
      </c>
      <c r="F414" s="42">
        <v>12</v>
      </c>
      <c r="G414" s="89">
        <v>3.1</v>
      </c>
      <c r="H414" s="42" t="s">
        <v>19</v>
      </c>
      <c r="I414" s="91">
        <v>39</v>
      </c>
      <c r="J414" s="90">
        <v>22</v>
      </c>
      <c r="K414" s="90">
        <v>29</v>
      </c>
      <c r="L414" s="42" t="s">
        <v>27</v>
      </c>
    </row>
    <row r="415" spans="1:12" x14ac:dyDescent="0.3">
      <c r="A415" s="83">
        <v>414</v>
      </c>
      <c r="B415" s="89">
        <v>71.552599999999998</v>
      </c>
      <c r="C415" s="89">
        <v>21.427600000000002</v>
      </c>
      <c r="D415" s="42">
        <v>2016</v>
      </c>
      <c r="E415" s="90">
        <v>7</v>
      </c>
      <c r="F415" s="42">
        <v>17</v>
      </c>
      <c r="G415" s="89">
        <v>4.0999999999999996</v>
      </c>
      <c r="H415" s="42" t="s">
        <v>2</v>
      </c>
      <c r="I415" s="91">
        <v>10</v>
      </c>
      <c r="J415" s="90">
        <v>3</v>
      </c>
      <c r="K415" s="90">
        <v>54</v>
      </c>
      <c r="L415" s="42" t="s">
        <v>25</v>
      </c>
    </row>
    <row r="416" spans="1:12" x14ac:dyDescent="0.3">
      <c r="A416" s="83">
        <v>415</v>
      </c>
      <c r="B416" s="89">
        <v>72.540099999999995</v>
      </c>
      <c r="C416" s="89">
        <v>21.716000000000001</v>
      </c>
      <c r="D416" s="42">
        <v>2016</v>
      </c>
      <c r="E416" s="90">
        <v>7</v>
      </c>
      <c r="F416" s="42">
        <v>17</v>
      </c>
      <c r="G416" s="89">
        <v>4.0999999999999996</v>
      </c>
      <c r="H416" s="42" t="s">
        <v>2</v>
      </c>
      <c r="I416" s="91">
        <v>35</v>
      </c>
      <c r="J416" s="90">
        <v>3</v>
      </c>
      <c r="K416" s="90">
        <v>55</v>
      </c>
      <c r="L416" s="42" t="s">
        <v>10</v>
      </c>
    </row>
    <row r="417" spans="1:12" x14ac:dyDescent="0.3">
      <c r="A417" s="83">
        <v>416</v>
      </c>
      <c r="B417" s="89">
        <v>72.489999999999995</v>
      </c>
      <c r="C417" s="89">
        <v>21.64</v>
      </c>
      <c r="D417" s="42">
        <v>2016</v>
      </c>
      <c r="E417" s="90">
        <v>7</v>
      </c>
      <c r="F417" s="42">
        <v>17</v>
      </c>
      <c r="G417" s="89">
        <v>4.2</v>
      </c>
      <c r="H417" s="42" t="s">
        <v>19</v>
      </c>
      <c r="I417" s="91">
        <v>7</v>
      </c>
      <c r="J417" s="90">
        <v>9</v>
      </c>
      <c r="K417" s="90">
        <v>25</v>
      </c>
      <c r="L417" s="42" t="s">
        <v>27</v>
      </c>
    </row>
    <row r="418" spans="1:12" x14ac:dyDescent="0.3">
      <c r="A418" s="83">
        <v>417</v>
      </c>
      <c r="B418" s="89">
        <v>74.510300000000001</v>
      </c>
      <c r="C418" s="89">
        <v>25.752500000000001</v>
      </c>
      <c r="D418" s="42">
        <v>2016</v>
      </c>
      <c r="E418" s="90">
        <v>12</v>
      </c>
      <c r="F418" s="42">
        <v>26</v>
      </c>
      <c r="G418" s="89">
        <v>3.3</v>
      </c>
      <c r="H418" s="42" t="s">
        <v>19</v>
      </c>
      <c r="I418" s="91">
        <v>10</v>
      </c>
      <c r="J418" s="90">
        <v>16</v>
      </c>
      <c r="K418" s="90">
        <v>17</v>
      </c>
      <c r="L418" s="42" t="s">
        <v>12</v>
      </c>
    </row>
    <row r="419" spans="1:12" x14ac:dyDescent="0.3">
      <c r="A419" s="83">
        <v>418</v>
      </c>
      <c r="B419" s="89">
        <v>74.239999999999995</v>
      </c>
      <c r="C419" s="89">
        <v>25.73</v>
      </c>
      <c r="D419" s="42">
        <v>2016</v>
      </c>
      <c r="E419" s="90">
        <v>12</v>
      </c>
      <c r="F419" s="42">
        <v>26</v>
      </c>
      <c r="G419" s="89">
        <v>3.3</v>
      </c>
      <c r="H419" s="42" t="s">
        <v>19</v>
      </c>
      <c r="I419" s="91">
        <v>10</v>
      </c>
      <c r="J419" s="90">
        <v>21</v>
      </c>
      <c r="K419" s="90">
        <v>47</v>
      </c>
      <c r="L419" s="42" t="s">
        <v>27</v>
      </c>
    </row>
    <row r="420" spans="1:12" x14ac:dyDescent="0.3">
      <c r="A420" s="83">
        <v>419</v>
      </c>
      <c r="B420" s="89">
        <v>72.031000000000006</v>
      </c>
      <c r="C420" s="89">
        <v>24.653700000000001</v>
      </c>
      <c r="D420" s="42">
        <v>2017</v>
      </c>
      <c r="E420" s="90">
        <v>3</v>
      </c>
      <c r="F420" s="42">
        <v>13</v>
      </c>
      <c r="G420" s="89">
        <v>3.7</v>
      </c>
      <c r="H420" s="42" t="s">
        <v>2</v>
      </c>
      <c r="I420" s="91">
        <v>10</v>
      </c>
      <c r="J420" s="90">
        <v>10</v>
      </c>
      <c r="K420" s="90">
        <v>22</v>
      </c>
      <c r="L420" s="42" t="s">
        <v>10</v>
      </c>
    </row>
    <row r="421" spans="1:12" x14ac:dyDescent="0.3">
      <c r="A421" s="83">
        <v>420</v>
      </c>
      <c r="B421" s="89">
        <v>72.900000000000006</v>
      </c>
      <c r="C421" s="89">
        <v>24.54</v>
      </c>
      <c r="D421" s="42">
        <v>2017</v>
      </c>
      <c r="E421" s="90">
        <v>3</v>
      </c>
      <c r="F421" s="42">
        <v>13</v>
      </c>
      <c r="G421" s="89">
        <v>4.3</v>
      </c>
      <c r="H421" s="42" t="s">
        <v>19</v>
      </c>
      <c r="I421" s="91">
        <v>10</v>
      </c>
      <c r="J421" s="90">
        <v>15</v>
      </c>
      <c r="K421" s="90">
        <v>52</v>
      </c>
      <c r="L421" s="42" t="s">
        <v>27</v>
      </c>
    </row>
    <row r="422" spans="1:12" x14ac:dyDescent="0.3">
      <c r="A422" s="83">
        <v>421</v>
      </c>
      <c r="B422" s="89">
        <v>77.128</v>
      </c>
      <c r="C422" s="89">
        <v>19.512</v>
      </c>
      <c r="D422" s="42">
        <v>2017</v>
      </c>
      <c r="E422" s="90">
        <v>8</v>
      </c>
      <c r="F422" s="42">
        <v>16</v>
      </c>
      <c r="G422" s="89">
        <v>3</v>
      </c>
      <c r="H422" s="42" t="s">
        <v>19</v>
      </c>
      <c r="I422" s="91">
        <v>10</v>
      </c>
      <c r="J422" s="90">
        <v>6</v>
      </c>
      <c r="K422" s="90">
        <v>35</v>
      </c>
      <c r="L422" s="42" t="s">
        <v>12</v>
      </c>
    </row>
    <row r="423" spans="1:12" x14ac:dyDescent="0.3">
      <c r="A423" s="83">
        <v>422</v>
      </c>
      <c r="B423" s="89">
        <v>77.13</v>
      </c>
      <c r="C423" s="89">
        <v>19.510000000000002</v>
      </c>
      <c r="D423" s="42">
        <v>2017</v>
      </c>
      <c r="E423" s="90">
        <v>8</v>
      </c>
      <c r="F423" s="42">
        <v>16</v>
      </c>
      <c r="G423" s="89">
        <v>3</v>
      </c>
      <c r="H423" s="42" t="s">
        <v>19</v>
      </c>
      <c r="I423" s="91">
        <v>10</v>
      </c>
      <c r="J423" s="90">
        <v>12</v>
      </c>
      <c r="K423" s="90">
        <v>5</v>
      </c>
      <c r="L423" s="42" t="s">
        <v>27</v>
      </c>
    </row>
    <row r="424" spans="1:12" x14ac:dyDescent="0.3">
      <c r="A424" s="83">
        <v>423</v>
      </c>
      <c r="B424" s="89">
        <v>73.967600000000004</v>
      </c>
      <c r="C424" s="89">
        <v>26.1769</v>
      </c>
      <c r="D424" s="42">
        <v>2017</v>
      </c>
      <c r="E424" s="90">
        <v>11</v>
      </c>
      <c r="F424" s="42">
        <v>18</v>
      </c>
      <c r="G424" s="89">
        <v>3.9</v>
      </c>
      <c r="H424" s="42" t="s">
        <v>19</v>
      </c>
      <c r="I424" s="91">
        <v>10</v>
      </c>
      <c r="J424" s="90">
        <v>9</v>
      </c>
      <c r="K424" s="90">
        <v>51</v>
      </c>
      <c r="L424" s="42" t="s">
        <v>12</v>
      </c>
    </row>
    <row r="425" spans="1:12" x14ac:dyDescent="0.3">
      <c r="A425" s="83">
        <v>424</v>
      </c>
      <c r="B425" s="89">
        <v>73.86</v>
      </c>
      <c r="C425" s="89">
        <v>26.29</v>
      </c>
      <c r="D425" s="42">
        <v>2017</v>
      </c>
      <c r="E425" s="90">
        <v>11</v>
      </c>
      <c r="F425" s="42">
        <v>18</v>
      </c>
      <c r="G425" s="89">
        <v>3.9</v>
      </c>
      <c r="H425" s="42" t="s">
        <v>19</v>
      </c>
      <c r="I425" s="91">
        <v>12</v>
      </c>
      <c r="J425" s="90">
        <v>15</v>
      </c>
      <c r="K425" s="90">
        <v>21</v>
      </c>
      <c r="L425" s="42" t="s">
        <v>27</v>
      </c>
    </row>
    <row r="426" spans="1:12" x14ac:dyDescent="0.3">
      <c r="A426" s="83">
        <v>425</v>
      </c>
      <c r="B426" s="89">
        <v>73.186000000000007</v>
      </c>
      <c r="C426" s="89">
        <v>19.795000000000002</v>
      </c>
      <c r="D426" s="42">
        <v>2017</v>
      </c>
      <c r="E426" s="90">
        <v>12</v>
      </c>
      <c r="F426" s="42">
        <v>25</v>
      </c>
      <c r="G426" s="89">
        <v>3</v>
      </c>
      <c r="H426" s="42" t="s">
        <v>19</v>
      </c>
      <c r="I426" s="91">
        <v>10</v>
      </c>
      <c r="J426" s="90">
        <v>4</v>
      </c>
      <c r="K426" s="90">
        <v>14</v>
      </c>
      <c r="L426" s="42" t="s">
        <v>12</v>
      </c>
    </row>
    <row r="427" spans="1:12" x14ac:dyDescent="0.3">
      <c r="A427" s="83">
        <v>426</v>
      </c>
      <c r="B427" s="89">
        <v>73.19</v>
      </c>
      <c r="C427" s="89">
        <v>19.8</v>
      </c>
      <c r="D427" s="42">
        <v>2017</v>
      </c>
      <c r="E427" s="90">
        <v>12</v>
      </c>
      <c r="F427" s="42">
        <v>25</v>
      </c>
      <c r="G427" s="89">
        <v>3</v>
      </c>
      <c r="H427" s="42" t="s">
        <v>19</v>
      </c>
      <c r="I427" s="91">
        <v>10</v>
      </c>
      <c r="J427" s="90">
        <v>9</v>
      </c>
      <c r="K427" s="90">
        <v>44</v>
      </c>
      <c r="L427" s="42" t="s">
        <v>27</v>
      </c>
    </row>
    <row r="428" spans="1:12" x14ac:dyDescent="0.3">
      <c r="A428" s="83">
        <v>427</v>
      </c>
      <c r="B428" s="89">
        <v>73.27</v>
      </c>
      <c r="C428" s="89">
        <v>19.824999999999999</v>
      </c>
      <c r="D428" s="42">
        <v>2018</v>
      </c>
      <c r="E428" s="90">
        <v>1</v>
      </c>
      <c r="F428" s="42">
        <v>1</v>
      </c>
      <c r="G428" s="89">
        <v>3.5</v>
      </c>
      <c r="H428" s="42" t="s">
        <v>20</v>
      </c>
      <c r="I428" s="91">
        <v>10</v>
      </c>
      <c r="J428" s="90">
        <v>20</v>
      </c>
      <c r="K428" s="90">
        <v>51</v>
      </c>
      <c r="L428" s="42" t="s">
        <v>12</v>
      </c>
    </row>
    <row r="429" spans="1:12" x14ac:dyDescent="0.3">
      <c r="A429" s="83">
        <v>428</v>
      </c>
      <c r="B429" s="89">
        <v>73.27</v>
      </c>
      <c r="C429" s="89">
        <v>19.829999999999998</v>
      </c>
      <c r="D429" s="42">
        <v>2018</v>
      </c>
      <c r="E429" s="90">
        <v>1</v>
      </c>
      <c r="F429" s="42">
        <v>2</v>
      </c>
      <c r="G429" s="89">
        <v>3.5</v>
      </c>
      <c r="H429" s="42" t="s">
        <v>20</v>
      </c>
      <c r="I429" s="91">
        <v>10</v>
      </c>
      <c r="J429" s="90">
        <v>2</v>
      </c>
      <c r="K429" s="90">
        <v>21</v>
      </c>
      <c r="L429" s="42" t="s">
        <v>27</v>
      </c>
    </row>
    <row r="430" spans="1:12" x14ac:dyDescent="0.3">
      <c r="A430" s="83">
        <v>429</v>
      </c>
      <c r="B430" s="89">
        <v>73.314099999999996</v>
      </c>
      <c r="C430" s="89">
        <v>21.6568</v>
      </c>
      <c r="D430" s="42">
        <v>2018</v>
      </c>
      <c r="E430" s="90">
        <v>4</v>
      </c>
      <c r="F430" s="42">
        <v>21</v>
      </c>
      <c r="G430" s="89">
        <v>3.8</v>
      </c>
      <c r="H430" s="42" t="s">
        <v>20</v>
      </c>
      <c r="I430" s="91">
        <v>10</v>
      </c>
      <c r="J430" s="90">
        <v>11</v>
      </c>
      <c r="K430" s="90">
        <v>26</v>
      </c>
      <c r="L430" s="42" t="s">
        <v>12</v>
      </c>
    </row>
    <row r="431" spans="1:12" x14ac:dyDescent="0.3">
      <c r="A431" s="83">
        <v>430</v>
      </c>
      <c r="B431" s="89">
        <v>73.17</v>
      </c>
      <c r="C431" s="89">
        <v>21.59</v>
      </c>
      <c r="D431" s="42">
        <v>2018</v>
      </c>
      <c r="E431" s="90">
        <v>4</v>
      </c>
      <c r="F431" s="42">
        <v>21</v>
      </c>
      <c r="G431" s="89">
        <v>3.8</v>
      </c>
      <c r="H431" s="42" t="s">
        <v>20</v>
      </c>
      <c r="I431" s="91">
        <v>6</v>
      </c>
      <c r="J431" s="90">
        <v>16</v>
      </c>
      <c r="K431" s="90">
        <v>56</v>
      </c>
      <c r="L431" s="42" t="s">
        <v>27</v>
      </c>
    </row>
    <row r="432" spans="1:12" x14ac:dyDescent="0.3">
      <c r="A432" s="83">
        <v>431</v>
      </c>
      <c r="B432" s="89">
        <v>73.194000000000003</v>
      </c>
      <c r="C432" s="89">
        <v>19.138999999999999</v>
      </c>
      <c r="D432" s="42">
        <v>2018</v>
      </c>
      <c r="E432" s="90">
        <v>7</v>
      </c>
      <c r="F432" s="42">
        <v>13</v>
      </c>
      <c r="G432" s="89">
        <v>3.1</v>
      </c>
      <c r="H432" s="42" t="s">
        <v>20</v>
      </c>
      <c r="I432" s="91">
        <v>17.399999999999999</v>
      </c>
      <c r="J432" s="90">
        <v>16</v>
      </c>
      <c r="K432" s="90">
        <v>1</v>
      </c>
      <c r="L432" s="42" t="s">
        <v>12</v>
      </c>
    </row>
    <row r="433" spans="1:12" x14ac:dyDescent="0.3">
      <c r="A433" s="83">
        <v>432</v>
      </c>
      <c r="B433" s="89">
        <v>73.19</v>
      </c>
      <c r="C433" s="89">
        <v>19.14</v>
      </c>
      <c r="D433" s="42">
        <v>2018</v>
      </c>
      <c r="E433" s="90">
        <v>7</v>
      </c>
      <c r="F433" s="42">
        <v>13</v>
      </c>
      <c r="G433" s="89">
        <v>3.1</v>
      </c>
      <c r="H433" s="42" t="s">
        <v>20</v>
      </c>
      <c r="I433" s="91">
        <v>17</v>
      </c>
      <c r="J433" s="90">
        <v>21</v>
      </c>
      <c r="K433" s="90">
        <v>31</v>
      </c>
      <c r="L433" s="42" t="s">
        <v>27</v>
      </c>
    </row>
    <row r="434" spans="1:12" x14ac:dyDescent="0.3">
      <c r="A434" s="83">
        <v>433</v>
      </c>
      <c r="B434" s="89">
        <v>77.566999999999993</v>
      </c>
      <c r="C434" s="89">
        <v>19.870999999999999</v>
      </c>
      <c r="D434" s="42">
        <v>2018</v>
      </c>
      <c r="E434" s="90">
        <v>11</v>
      </c>
      <c r="F434" s="42">
        <v>4</v>
      </c>
      <c r="G434" s="89">
        <v>3.1</v>
      </c>
      <c r="H434" s="42" t="s">
        <v>20</v>
      </c>
      <c r="I434" s="91">
        <v>10</v>
      </c>
      <c r="J434" s="90">
        <v>18</v>
      </c>
      <c r="K434" s="90">
        <v>52</v>
      </c>
      <c r="L434" s="42" t="s">
        <v>12</v>
      </c>
    </row>
    <row r="435" spans="1:12" x14ac:dyDescent="0.3">
      <c r="A435" s="83">
        <v>434</v>
      </c>
      <c r="B435" s="89">
        <v>76.599999999999994</v>
      </c>
      <c r="C435" s="89">
        <v>20.2</v>
      </c>
      <c r="D435" s="42">
        <v>2018</v>
      </c>
      <c r="E435" s="90">
        <v>11</v>
      </c>
      <c r="F435" s="42">
        <v>5</v>
      </c>
      <c r="G435" s="89">
        <v>3.1</v>
      </c>
      <c r="H435" s="42" t="s">
        <v>19</v>
      </c>
      <c r="I435" s="91">
        <v>10</v>
      </c>
      <c r="J435" s="90">
        <v>0</v>
      </c>
      <c r="K435" s="90">
        <v>22</v>
      </c>
      <c r="L435" s="42" t="s">
        <v>27</v>
      </c>
    </row>
    <row r="436" spans="1:12" x14ac:dyDescent="0.3">
      <c r="A436" s="83">
        <v>435</v>
      </c>
      <c r="B436" s="89">
        <v>77.159000000000006</v>
      </c>
      <c r="C436" s="89">
        <v>19.873999999999999</v>
      </c>
      <c r="D436" s="42">
        <v>2018</v>
      </c>
      <c r="E436" s="90">
        <v>11</v>
      </c>
      <c r="F436" s="42">
        <v>10</v>
      </c>
      <c r="G436" s="89">
        <v>3.1</v>
      </c>
      <c r="H436" s="42" t="s">
        <v>20</v>
      </c>
      <c r="I436" s="91">
        <v>10</v>
      </c>
      <c r="J436" s="90">
        <v>0</v>
      </c>
      <c r="K436" s="90">
        <v>19</v>
      </c>
      <c r="L436" s="42" t="s">
        <v>12</v>
      </c>
    </row>
    <row r="437" spans="1:12" x14ac:dyDescent="0.3">
      <c r="A437" s="83">
        <v>436</v>
      </c>
      <c r="B437" s="89">
        <v>77.16</v>
      </c>
      <c r="C437" s="89">
        <v>19.87</v>
      </c>
      <c r="D437" s="42">
        <v>2018</v>
      </c>
      <c r="E437" s="90">
        <v>11</v>
      </c>
      <c r="F437" s="42">
        <v>10</v>
      </c>
      <c r="G437" s="89">
        <v>3.1</v>
      </c>
      <c r="H437" s="42" t="s">
        <v>19</v>
      </c>
      <c r="I437" s="91">
        <v>10</v>
      </c>
      <c r="J437" s="90">
        <v>5</v>
      </c>
      <c r="K437" s="90">
        <v>49</v>
      </c>
      <c r="L437" s="42" t="s">
        <v>27</v>
      </c>
    </row>
    <row r="438" spans="1:12" x14ac:dyDescent="0.3">
      <c r="A438" s="83">
        <v>437</v>
      </c>
      <c r="B438" s="89">
        <v>72.731999999999999</v>
      </c>
      <c r="C438" s="89">
        <v>19.978000000000002</v>
      </c>
      <c r="D438" s="42">
        <v>2018</v>
      </c>
      <c r="E438" s="90">
        <v>11</v>
      </c>
      <c r="F438" s="42">
        <v>11</v>
      </c>
      <c r="G438" s="89">
        <v>3.1</v>
      </c>
      <c r="H438" s="42" t="s">
        <v>20</v>
      </c>
      <c r="I438" s="91">
        <v>10</v>
      </c>
      <c r="J438" s="90">
        <v>12</v>
      </c>
      <c r="K438" s="90">
        <v>55</v>
      </c>
      <c r="L438" s="42" t="s">
        <v>12</v>
      </c>
    </row>
    <row r="439" spans="1:12" x14ac:dyDescent="0.3">
      <c r="A439" s="83">
        <v>438</v>
      </c>
      <c r="B439" s="89">
        <v>72.73</v>
      </c>
      <c r="C439" s="89">
        <v>19.98</v>
      </c>
      <c r="D439" s="42">
        <v>2018</v>
      </c>
      <c r="E439" s="90">
        <v>11</v>
      </c>
      <c r="F439" s="42">
        <v>11</v>
      </c>
      <c r="G439" s="89">
        <v>3.5</v>
      </c>
      <c r="H439" s="42" t="s">
        <v>19</v>
      </c>
      <c r="I439" s="91">
        <v>10</v>
      </c>
      <c r="J439" s="90">
        <v>18</v>
      </c>
      <c r="K439" s="90">
        <v>25</v>
      </c>
      <c r="L439" s="42" t="s">
        <v>27</v>
      </c>
    </row>
    <row r="440" spans="1:12" x14ac:dyDescent="0.3">
      <c r="A440" s="83">
        <v>439</v>
      </c>
      <c r="B440" s="89">
        <v>72.721000000000004</v>
      </c>
      <c r="C440" s="89">
        <v>19.907</v>
      </c>
      <c r="D440" s="42">
        <v>2018</v>
      </c>
      <c r="E440" s="90">
        <v>11</v>
      </c>
      <c r="F440" s="42">
        <v>24</v>
      </c>
      <c r="G440" s="89">
        <v>3.2</v>
      </c>
      <c r="H440" s="42" t="s">
        <v>20</v>
      </c>
      <c r="I440" s="91">
        <v>5</v>
      </c>
      <c r="J440" s="90">
        <v>9</v>
      </c>
      <c r="K440" s="90">
        <v>45</v>
      </c>
      <c r="L440" s="42" t="s">
        <v>12</v>
      </c>
    </row>
    <row r="441" spans="1:12" x14ac:dyDescent="0.3">
      <c r="A441" s="83">
        <v>440</v>
      </c>
      <c r="B441" s="89">
        <v>72.739999999999995</v>
      </c>
      <c r="C441" s="89">
        <v>19.86</v>
      </c>
      <c r="D441" s="42">
        <v>2018</v>
      </c>
      <c r="E441" s="90">
        <v>11</v>
      </c>
      <c r="F441" s="42">
        <v>24</v>
      </c>
      <c r="G441" s="89">
        <v>3.2</v>
      </c>
      <c r="H441" s="42" t="s">
        <v>19</v>
      </c>
      <c r="I441" s="91">
        <v>5</v>
      </c>
      <c r="J441" s="90">
        <v>15</v>
      </c>
      <c r="K441" s="90">
        <v>15</v>
      </c>
      <c r="L441" s="42" t="s">
        <v>27</v>
      </c>
    </row>
    <row r="442" spans="1:12" x14ac:dyDescent="0.3">
      <c r="A442" s="83">
        <v>441</v>
      </c>
      <c r="B442" s="89">
        <v>72.872</v>
      </c>
      <c r="C442" s="89">
        <v>19.89</v>
      </c>
      <c r="D442" s="42">
        <v>2018</v>
      </c>
      <c r="E442" s="90">
        <v>12</v>
      </c>
      <c r="F442" s="42">
        <v>1</v>
      </c>
      <c r="G442" s="89">
        <v>3</v>
      </c>
      <c r="H442" s="42" t="s">
        <v>19</v>
      </c>
      <c r="I442" s="91">
        <v>5</v>
      </c>
      <c r="J442" s="90">
        <v>20</v>
      </c>
      <c r="K442" s="90">
        <v>35</v>
      </c>
      <c r="L442" s="42" t="s">
        <v>12</v>
      </c>
    </row>
    <row r="443" spans="1:12" x14ac:dyDescent="0.3">
      <c r="A443" s="83">
        <v>442</v>
      </c>
      <c r="B443" s="89">
        <v>72.87</v>
      </c>
      <c r="C443" s="89">
        <v>19.89</v>
      </c>
      <c r="D443" s="42">
        <v>2018</v>
      </c>
      <c r="E443" s="90">
        <v>12</v>
      </c>
      <c r="F443" s="42">
        <v>2</v>
      </c>
      <c r="G443" s="89">
        <v>2.9</v>
      </c>
      <c r="H443" s="42" t="s">
        <v>20</v>
      </c>
      <c r="I443" s="91">
        <v>5</v>
      </c>
      <c r="J443" s="90">
        <v>2</v>
      </c>
      <c r="K443" s="90">
        <v>5</v>
      </c>
      <c r="L443" s="42" t="s">
        <v>27</v>
      </c>
    </row>
    <row r="444" spans="1:12" x14ac:dyDescent="0.3">
      <c r="A444" s="83">
        <v>443</v>
      </c>
      <c r="B444" s="89">
        <v>72.66</v>
      </c>
      <c r="C444" s="89">
        <v>19.919</v>
      </c>
      <c r="D444" s="42">
        <v>2018</v>
      </c>
      <c r="E444" s="90">
        <v>12</v>
      </c>
      <c r="F444" s="42">
        <v>4</v>
      </c>
      <c r="G444" s="89">
        <v>3</v>
      </c>
      <c r="H444" s="42" t="s">
        <v>19</v>
      </c>
      <c r="I444" s="91">
        <v>10</v>
      </c>
      <c r="J444" s="90">
        <v>15</v>
      </c>
      <c r="K444" s="90">
        <v>54</v>
      </c>
      <c r="L444" s="42" t="s">
        <v>12</v>
      </c>
    </row>
    <row r="445" spans="1:12" x14ac:dyDescent="0.3">
      <c r="A445" s="83">
        <v>444</v>
      </c>
      <c r="B445" s="89">
        <v>72.66</v>
      </c>
      <c r="C445" s="89">
        <v>19.920000000000002</v>
      </c>
      <c r="D445" s="42">
        <v>2018</v>
      </c>
      <c r="E445" s="90">
        <v>12</v>
      </c>
      <c r="F445" s="42">
        <v>4</v>
      </c>
      <c r="G445" s="89">
        <v>2.9</v>
      </c>
      <c r="H445" s="42" t="s">
        <v>20</v>
      </c>
      <c r="I445" s="91">
        <v>10</v>
      </c>
      <c r="J445" s="90">
        <v>21</v>
      </c>
      <c r="K445" s="90">
        <v>24</v>
      </c>
      <c r="L445" s="42" t="s">
        <v>27</v>
      </c>
    </row>
    <row r="446" spans="1:12" x14ac:dyDescent="0.3">
      <c r="A446" s="83">
        <v>445</v>
      </c>
      <c r="B446" s="89">
        <v>72.832999999999998</v>
      </c>
      <c r="C446" s="89">
        <v>19.97</v>
      </c>
      <c r="D446" s="42">
        <v>2018</v>
      </c>
      <c r="E446" s="90">
        <v>12</v>
      </c>
      <c r="F446" s="42">
        <v>7</v>
      </c>
      <c r="G446" s="89">
        <v>3</v>
      </c>
      <c r="H446" s="42" t="s">
        <v>20</v>
      </c>
      <c r="I446" s="91">
        <v>10</v>
      </c>
      <c r="J446" s="90">
        <v>22</v>
      </c>
      <c r="K446" s="90">
        <v>18</v>
      </c>
      <c r="L446" s="42" t="s">
        <v>12</v>
      </c>
    </row>
    <row r="447" spans="1:12" x14ac:dyDescent="0.3">
      <c r="A447" s="83">
        <v>446</v>
      </c>
      <c r="B447" s="89">
        <v>72.83</v>
      </c>
      <c r="C447" s="89">
        <v>19.97</v>
      </c>
      <c r="D447" s="42">
        <v>2018</v>
      </c>
      <c r="E447" s="90">
        <v>12</v>
      </c>
      <c r="F447" s="42">
        <v>8</v>
      </c>
      <c r="G447" s="89">
        <v>3</v>
      </c>
      <c r="H447" s="42" t="s">
        <v>20</v>
      </c>
      <c r="I447" s="91">
        <v>10</v>
      </c>
      <c r="J447" s="90">
        <v>3</v>
      </c>
      <c r="K447" s="90">
        <v>48</v>
      </c>
      <c r="L447" s="42" t="s">
        <v>27</v>
      </c>
    </row>
    <row r="448" spans="1:12" x14ac:dyDescent="0.3">
      <c r="A448" s="83">
        <v>447</v>
      </c>
      <c r="B448" s="89">
        <v>72.807000000000002</v>
      </c>
      <c r="C448" s="89">
        <v>19.995999999999999</v>
      </c>
      <c r="D448" s="42">
        <v>2018</v>
      </c>
      <c r="E448" s="90">
        <v>12</v>
      </c>
      <c r="F448" s="42">
        <v>14</v>
      </c>
      <c r="G448" s="89">
        <v>3.1</v>
      </c>
      <c r="H448" s="42" t="s">
        <v>20</v>
      </c>
      <c r="I448" s="91">
        <v>10</v>
      </c>
      <c r="J448" s="90">
        <v>10</v>
      </c>
      <c r="K448" s="90">
        <v>3</v>
      </c>
      <c r="L448" s="42" t="s">
        <v>12</v>
      </c>
    </row>
    <row r="449" spans="1:12" x14ac:dyDescent="0.3">
      <c r="A449" s="83">
        <v>448</v>
      </c>
      <c r="B449" s="89">
        <v>72.691999999999993</v>
      </c>
      <c r="C449" s="89">
        <v>20.001999999999999</v>
      </c>
      <c r="D449" s="42">
        <v>2018</v>
      </c>
      <c r="E449" s="90">
        <v>12</v>
      </c>
      <c r="F449" s="42">
        <v>29</v>
      </c>
      <c r="G449" s="89">
        <v>3</v>
      </c>
      <c r="H449" s="42" t="s">
        <v>20</v>
      </c>
      <c r="I449" s="91">
        <v>19.899999999999999</v>
      </c>
      <c r="J449" s="90">
        <v>12</v>
      </c>
      <c r="K449" s="90">
        <v>59</v>
      </c>
      <c r="L449" s="42" t="s">
        <v>12</v>
      </c>
    </row>
    <row r="450" spans="1:12" x14ac:dyDescent="0.3">
      <c r="A450" s="83">
        <v>449</v>
      </c>
      <c r="B450" s="89">
        <v>72.69</v>
      </c>
      <c r="C450" s="89">
        <v>20</v>
      </c>
      <c r="D450" s="42">
        <v>2018</v>
      </c>
      <c r="E450" s="90">
        <v>12</v>
      </c>
      <c r="F450" s="42">
        <v>29</v>
      </c>
      <c r="G450" s="89">
        <v>3</v>
      </c>
      <c r="H450" s="42" t="s">
        <v>20</v>
      </c>
      <c r="I450" s="91">
        <v>19</v>
      </c>
      <c r="J450" s="90">
        <v>18</v>
      </c>
      <c r="K450" s="90">
        <v>29</v>
      </c>
      <c r="L450" s="42" t="s">
        <v>27</v>
      </c>
    </row>
    <row r="451" spans="1:12" x14ac:dyDescent="0.3">
      <c r="A451" s="83">
        <v>450</v>
      </c>
      <c r="B451" s="89">
        <v>72.977000000000004</v>
      </c>
      <c r="C451" s="89">
        <v>20.009</v>
      </c>
      <c r="D451" s="42">
        <v>2019</v>
      </c>
      <c r="E451" s="90">
        <v>1</v>
      </c>
      <c r="F451" s="42">
        <v>20</v>
      </c>
      <c r="G451" s="89">
        <v>3.6</v>
      </c>
      <c r="H451" s="42" t="s">
        <v>20</v>
      </c>
      <c r="I451" s="91">
        <v>10</v>
      </c>
      <c r="J451" s="90">
        <v>13</v>
      </c>
      <c r="K451" s="90">
        <v>8</v>
      </c>
      <c r="L451" s="42" t="s">
        <v>12</v>
      </c>
    </row>
    <row r="452" spans="1:12" x14ac:dyDescent="0.3">
      <c r="A452" s="83">
        <v>451</v>
      </c>
      <c r="B452" s="89">
        <v>72.712000000000003</v>
      </c>
      <c r="C452" s="89">
        <v>19.779</v>
      </c>
      <c r="D452" s="42">
        <v>2019</v>
      </c>
      <c r="E452" s="90">
        <v>1</v>
      </c>
      <c r="F452" s="42">
        <v>20</v>
      </c>
      <c r="G452" s="89">
        <v>3</v>
      </c>
      <c r="H452" s="42" t="s">
        <v>20</v>
      </c>
      <c r="I452" s="91">
        <v>7.7</v>
      </c>
      <c r="J452" s="90">
        <v>15</v>
      </c>
      <c r="K452" s="90">
        <v>29</v>
      </c>
      <c r="L452" s="42" t="s">
        <v>12</v>
      </c>
    </row>
    <row r="453" spans="1:12" x14ac:dyDescent="0.3">
      <c r="A453" s="83">
        <v>452</v>
      </c>
      <c r="B453" s="89">
        <v>72.98</v>
      </c>
      <c r="C453" s="89">
        <v>20.100000000000001</v>
      </c>
      <c r="D453" s="42">
        <v>2019</v>
      </c>
      <c r="E453" s="90">
        <v>1</v>
      </c>
      <c r="F453" s="42">
        <v>20</v>
      </c>
      <c r="G453" s="89">
        <v>3.6</v>
      </c>
      <c r="H453" s="42" t="s">
        <v>20</v>
      </c>
      <c r="I453" s="91">
        <v>10</v>
      </c>
      <c r="J453" s="90">
        <v>18</v>
      </c>
      <c r="K453" s="90">
        <v>38</v>
      </c>
      <c r="L453" s="42" t="s">
        <v>27</v>
      </c>
    </row>
    <row r="454" spans="1:12" x14ac:dyDescent="0.3">
      <c r="A454" s="83">
        <v>453</v>
      </c>
      <c r="B454" s="89">
        <v>72.709999999999994</v>
      </c>
      <c r="C454" s="89">
        <v>19.78</v>
      </c>
      <c r="D454" s="42">
        <v>2019</v>
      </c>
      <c r="E454" s="90">
        <v>1</v>
      </c>
      <c r="F454" s="42">
        <v>20</v>
      </c>
      <c r="G454" s="89">
        <v>3</v>
      </c>
      <c r="H454" s="42" t="s">
        <v>20</v>
      </c>
      <c r="I454" s="91">
        <v>7</v>
      </c>
      <c r="J454" s="90">
        <v>20</v>
      </c>
      <c r="K454" s="90">
        <v>59</v>
      </c>
      <c r="L454" s="42" t="s">
        <v>27</v>
      </c>
    </row>
    <row r="455" spans="1:12" x14ac:dyDescent="0.3">
      <c r="A455" s="83">
        <v>454</v>
      </c>
      <c r="B455" s="89">
        <v>72.793999999999997</v>
      </c>
      <c r="C455" s="89">
        <v>19.904</v>
      </c>
      <c r="D455" s="42">
        <v>2019</v>
      </c>
      <c r="E455" s="90">
        <v>1</v>
      </c>
      <c r="F455" s="42">
        <v>24</v>
      </c>
      <c r="G455" s="89">
        <v>3.4</v>
      </c>
      <c r="H455" s="42" t="s">
        <v>20</v>
      </c>
      <c r="I455" s="91">
        <v>3.9</v>
      </c>
      <c r="J455" s="90">
        <v>3</v>
      </c>
      <c r="K455" s="90">
        <v>45</v>
      </c>
      <c r="L455" s="42" t="s">
        <v>12</v>
      </c>
    </row>
    <row r="456" spans="1:12" x14ac:dyDescent="0.3">
      <c r="A456" s="83">
        <v>455</v>
      </c>
      <c r="B456" s="89">
        <v>72.790000000000006</v>
      </c>
      <c r="C456" s="89">
        <v>19.899999999999999</v>
      </c>
      <c r="D456" s="42">
        <v>2019</v>
      </c>
      <c r="E456" s="90">
        <v>1</v>
      </c>
      <c r="F456" s="42">
        <v>24</v>
      </c>
      <c r="G456" s="89">
        <v>3.4</v>
      </c>
      <c r="H456" s="42" t="s">
        <v>20</v>
      </c>
      <c r="I456" s="91">
        <v>3</v>
      </c>
      <c r="J456" s="90">
        <v>9</v>
      </c>
      <c r="K456" s="90">
        <v>15</v>
      </c>
      <c r="L456" s="42" t="s">
        <v>27</v>
      </c>
    </row>
    <row r="457" spans="1:12" x14ac:dyDescent="0.3">
      <c r="A457" s="83">
        <v>456</v>
      </c>
      <c r="B457" s="89">
        <v>72.816000000000003</v>
      </c>
      <c r="C457" s="89">
        <v>20.010000000000002</v>
      </c>
      <c r="D457" s="42">
        <v>2019</v>
      </c>
      <c r="E457" s="90">
        <v>2</v>
      </c>
      <c r="F457" s="42">
        <v>1</v>
      </c>
      <c r="G457" s="89">
        <v>3.4</v>
      </c>
      <c r="H457" s="42" t="s">
        <v>20</v>
      </c>
      <c r="I457" s="91">
        <v>16</v>
      </c>
      <c r="J457" s="90">
        <v>1</v>
      </c>
      <c r="K457" s="90">
        <v>28</v>
      </c>
      <c r="L457" s="42" t="s">
        <v>12</v>
      </c>
    </row>
    <row r="458" spans="1:12" x14ac:dyDescent="0.3">
      <c r="A458" s="83">
        <v>457</v>
      </c>
      <c r="B458" s="89">
        <v>72.81</v>
      </c>
      <c r="C458" s="89">
        <v>20.016999999999999</v>
      </c>
      <c r="D458" s="42">
        <v>2019</v>
      </c>
      <c r="E458" s="90">
        <v>2</v>
      </c>
      <c r="F458" s="42">
        <v>1</v>
      </c>
      <c r="G458" s="89">
        <v>3.5</v>
      </c>
      <c r="H458" s="42" t="s">
        <v>20</v>
      </c>
      <c r="I458" s="91">
        <v>5</v>
      </c>
      <c r="J458" s="90">
        <v>4</v>
      </c>
      <c r="K458" s="90">
        <v>33</v>
      </c>
      <c r="L458" s="42" t="s">
        <v>12</v>
      </c>
    </row>
    <row r="459" spans="1:12" x14ac:dyDescent="0.3">
      <c r="A459" s="83">
        <v>458</v>
      </c>
      <c r="B459" s="89">
        <v>72.751999999999995</v>
      </c>
      <c r="C459" s="89">
        <v>20.07</v>
      </c>
      <c r="D459" s="42">
        <v>2019</v>
      </c>
      <c r="E459" s="90">
        <v>2</v>
      </c>
      <c r="F459" s="42">
        <v>1</v>
      </c>
      <c r="G459" s="89">
        <v>3.1</v>
      </c>
      <c r="H459" s="42" t="s">
        <v>20</v>
      </c>
      <c r="I459" s="91">
        <v>14.2</v>
      </c>
      <c r="J459" s="90">
        <v>4</v>
      </c>
      <c r="K459" s="90">
        <v>59</v>
      </c>
      <c r="L459" s="42" t="s">
        <v>12</v>
      </c>
    </row>
    <row r="460" spans="1:12" x14ac:dyDescent="0.3">
      <c r="A460" s="83">
        <v>459</v>
      </c>
      <c r="B460" s="89">
        <v>72.819999999999993</v>
      </c>
      <c r="C460" s="89">
        <v>20.100000000000001</v>
      </c>
      <c r="D460" s="42">
        <v>2019</v>
      </c>
      <c r="E460" s="90">
        <v>2</v>
      </c>
      <c r="F460" s="42">
        <v>1</v>
      </c>
      <c r="G460" s="89">
        <v>3.4</v>
      </c>
      <c r="H460" s="42" t="s">
        <v>20</v>
      </c>
      <c r="I460" s="91">
        <v>16</v>
      </c>
      <c r="J460" s="90">
        <v>6</v>
      </c>
      <c r="K460" s="90">
        <v>58</v>
      </c>
      <c r="L460" s="42" t="s">
        <v>27</v>
      </c>
    </row>
    <row r="461" spans="1:12" x14ac:dyDescent="0.3">
      <c r="A461" s="83">
        <v>460</v>
      </c>
      <c r="B461" s="89">
        <v>72.853999999999999</v>
      </c>
      <c r="C461" s="89">
        <v>19.978999999999999</v>
      </c>
      <c r="D461" s="42">
        <v>2019</v>
      </c>
      <c r="E461" s="90">
        <v>2</v>
      </c>
      <c r="F461" s="42">
        <v>1</v>
      </c>
      <c r="G461" s="89">
        <v>3.5</v>
      </c>
      <c r="H461" s="42" t="s">
        <v>20</v>
      </c>
      <c r="I461" s="91">
        <v>6.1</v>
      </c>
      <c r="J461" s="90">
        <v>8</v>
      </c>
      <c r="K461" s="90">
        <v>36</v>
      </c>
      <c r="L461" s="42" t="s">
        <v>12</v>
      </c>
    </row>
    <row r="462" spans="1:12" x14ac:dyDescent="0.3">
      <c r="A462" s="83">
        <v>461</v>
      </c>
      <c r="B462" s="89">
        <v>72.81</v>
      </c>
      <c r="C462" s="89">
        <v>20.2</v>
      </c>
      <c r="D462" s="42">
        <v>2019</v>
      </c>
      <c r="E462" s="90">
        <v>2</v>
      </c>
      <c r="F462" s="42">
        <v>1</v>
      </c>
      <c r="G462" s="89">
        <v>3.5</v>
      </c>
      <c r="H462" s="42" t="s">
        <v>20</v>
      </c>
      <c r="I462" s="91">
        <v>5</v>
      </c>
      <c r="J462" s="90">
        <v>10</v>
      </c>
      <c r="K462" s="90">
        <v>3</v>
      </c>
      <c r="L462" s="42" t="s">
        <v>27</v>
      </c>
    </row>
    <row r="463" spans="1:12" x14ac:dyDescent="0.3">
      <c r="A463" s="83">
        <v>462</v>
      </c>
      <c r="B463" s="89">
        <v>72.756</v>
      </c>
      <c r="C463" s="89">
        <v>19.923999999999999</v>
      </c>
      <c r="D463" s="42">
        <v>2019</v>
      </c>
      <c r="E463" s="90">
        <v>2</v>
      </c>
      <c r="F463" s="42">
        <v>1</v>
      </c>
      <c r="G463" s="89">
        <v>3.7</v>
      </c>
      <c r="H463" s="42" t="s">
        <v>20</v>
      </c>
      <c r="I463" s="91">
        <v>9.4</v>
      </c>
      <c r="J463" s="90">
        <v>10</v>
      </c>
      <c r="K463" s="90">
        <v>23</v>
      </c>
      <c r="L463" s="42" t="s">
        <v>12</v>
      </c>
    </row>
    <row r="464" spans="1:12" x14ac:dyDescent="0.3">
      <c r="A464" s="83">
        <v>463</v>
      </c>
      <c r="B464" s="89">
        <v>72.75</v>
      </c>
      <c r="C464" s="89">
        <v>20.7</v>
      </c>
      <c r="D464" s="42">
        <v>2019</v>
      </c>
      <c r="E464" s="90">
        <v>2</v>
      </c>
      <c r="F464" s="42">
        <v>1</v>
      </c>
      <c r="G464" s="89">
        <v>3.1</v>
      </c>
      <c r="H464" s="42" t="s">
        <v>20</v>
      </c>
      <c r="I464" s="91">
        <v>14</v>
      </c>
      <c r="J464" s="90">
        <v>10</v>
      </c>
      <c r="K464" s="90">
        <v>29</v>
      </c>
      <c r="L464" s="42" t="s">
        <v>27</v>
      </c>
    </row>
    <row r="465" spans="1:12" x14ac:dyDescent="0.3">
      <c r="A465" s="83">
        <v>464</v>
      </c>
      <c r="B465" s="89">
        <v>72.784000000000006</v>
      </c>
      <c r="C465" s="89">
        <v>19.989000000000001</v>
      </c>
      <c r="D465" s="42">
        <v>2019</v>
      </c>
      <c r="E465" s="90">
        <v>2</v>
      </c>
      <c r="F465" s="42">
        <v>1</v>
      </c>
      <c r="G465" s="89">
        <v>3.5</v>
      </c>
      <c r="H465" s="42" t="s">
        <v>20</v>
      </c>
      <c r="I465" s="91">
        <v>11.9</v>
      </c>
      <c r="J465" s="90">
        <v>11</v>
      </c>
      <c r="K465" s="90">
        <v>27</v>
      </c>
      <c r="L465" s="42" t="s">
        <v>12</v>
      </c>
    </row>
    <row r="466" spans="1:12" x14ac:dyDescent="0.3">
      <c r="A466" s="83">
        <v>465</v>
      </c>
      <c r="B466" s="89">
        <v>72.849999999999994</v>
      </c>
      <c r="C466" s="89">
        <v>19.98</v>
      </c>
      <c r="D466" s="42">
        <v>2019</v>
      </c>
      <c r="E466" s="90">
        <v>2</v>
      </c>
      <c r="F466" s="42">
        <v>1</v>
      </c>
      <c r="G466" s="89">
        <v>3.5</v>
      </c>
      <c r="H466" s="42" t="s">
        <v>20</v>
      </c>
      <c r="I466" s="91">
        <v>6</v>
      </c>
      <c r="J466" s="90">
        <v>14</v>
      </c>
      <c r="K466" s="90">
        <v>6</v>
      </c>
      <c r="L466" s="42" t="s">
        <v>27</v>
      </c>
    </row>
    <row r="467" spans="1:12" x14ac:dyDescent="0.3">
      <c r="A467" s="83">
        <v>466</v>
      </c>
      <c r="B467" s="89">
        <v>72.760000000000005</v>
      </c>
      <c r="C467" s="89">
        <v>19.920000000000002</v>
      </c>
      <c r="D467" s="42">
        <v>2019</v>
      </c>
      <c r="E467" s="90">
        <v>2</v>
      </c>
      <c r="F467" s="42">
        <v>1</v>
      </c>
      <c r="G467" s="89">
        <v>3.7</v>
      </c>
      <c r="H467" s="42" t="s">
        <v>20</v>
      </c>
      <c r="I467" s="91">
        <v>9</v>
      </c>
      <c r="J467" s="90">
        <v>15</v>
      </c>
      <c r="K467" s="90">
        <v>53</v>
      </c>
      <c r="L467" s="42" t="s">
        <v>27</v>
      </c>
    </row>
    <row r="468" spans="1:12" x14ac:dyDescent="0.3">
      <c r="A468" s="83">
        <v>467</v>
      </c>
      <c r="B468" s="89">
        <v>72.78</v>
      </c>
      <c r="C468" s="89">
        <v>19.989999999999998</v>
      </c>
      <c r="D468" s="42">
        <v>2019</v>
      </c>
      <c r="E468" s="90">
        <v>2</v>
      </c>
      <c r="F468" s="42">
        <v>1</v>
      </c>
      <c r="G468" s="89">
        <v>3.5</v>
      </c>
      <c r="H468" s="42" t="s">
        <v>20</v>
      </c>
      <c r="I468" s="91">
        <v>11</v>
      </c>
      <c r="J468" s="90">
        <v>16</v>
      </c>
      <c r="K468" s="90">
        <v>57</v>
      </c>
      <c r="L468" s="42" t="s">
        <v>27</v>
      </c>
    </row>
    <row r="469" spans="1:12" x14ac:dyDescent="0.3">
      <c r="A469" s="83">
        <v>468</v>
      </c>
      <c r="B469" s="89">
        <v>72.802000000000007</v>
      </c>
      <c r="C469" s="89">
        <v>19.959</v>
      </c>
      <c r="D469" s="42">
        <v>2019</v>
      </c>
      <c r="E469" s="90">
        <v>2</v>
      </c>
      <c r="F469" s="42">
        <v>7</v>
      </c>
      <c r="G469" s="89">
        <v>3</v>
      </c>
      <c r="H469" s="42" t="s">
        <v>20</v>
      </c>
      <c r="I469" s="91">
        <v>10</v>
      </c>
      <c r="J469" s="90">
        <v>12</v>
      </c>
      <c r="K469" s="90">
        <v>49</v>
      </c>
      <c r="L469" s="42" t="s">
        <v>12</v>
      </c>
    </row>
    <row r="470" spans="1:12" x14ac:dyDescent="0.3">
      <c r="A470" s="83">
        <v>469</v>
      </c>
      <c r="B470" s="89">
        <v>72.8</v>
      </c>
      <c r="C470" s="89">
        <v>19.96</v>
      </c>
      <c r="D470" s="42">
        <v>2019</v>
      </c>
      <c r="E470" s="90">
        <v>2</v>
      </c>
      <c r="F470" s="42">
        <v>7</v>
      </c>
      <c r="G470" s="89">
        <v>3</v>
      </c>
      <c r="H470" s="42" t="s">
        <v>20</v>
      </c>
      <c r="I470" s="91">
        <v>10</v>
      </c>
      <c r="J470" s="90">
        <v>18</v>
      </c>
      <c r="K470" s="90">
        <v>19</v>
      </c>
      <c r="L470" s="42" t="s">
        <v>27</v>
      </c>
    </row>
    <row r="471" spans="1:12" x14ac:dyDescent="0.3">
      <c r="A471" s="83">
        <v>470</v>
      </c>
      <c r="B471" s="89">
        <v>72.73</v>
      </c>
      <c r="C471" s="89">
        <v>19.946000000000002</v>
      </c>
      <c r="D471" s="42">
        <v>2019</v>
      </c>
      <c r="E471" s="90">
        <v>2</v>
      </c>
      <c r="F471" s="42">
        <v>12</v>
      </c>
      <c r="G471" s="89">
        <v>3.1</v>
      </c>
      <c r="H471" s="42" t="s">
        <v>20</v>
      </c>
      <c r="I471" s="91">
        <v>10</v>
      </c>
      <c r="J471" s="90">
        <v>22</v>
      </c>
      <c r="K471" s="90">
        <v>26</v>
      </c>
      <c r="L471" s="42" t="s">
        <v>12</v>
      </c>
    </row>
    <row r="472" spans="1:12" x14ac:dyDescent="0.3">
      <c r="A472" s="83">
        <v>471</v>
      </c>
      <c r="B472" s="89">
        <v>72.73</v>
      </c>
      <c r="C472" s="89">
        <v>19.95</v>
      </c>
      <c r="D472" s="42">
        <v>2019</v>
      </c>
      <c r="E472" s="90">
        <v>2</v>
      </c>
      <c r="F472" s="42">
        <v>13</v>
      </c>
      <c r="G472" s="89">
        <v>3.1</v>
      </c>
      <c r="H472" s="42" t="s">
        <v>20</v>
      </c>
      <c r="I472" s="91">
        <v>10</v>
      </c>
      <c r="J472" s="90">
        <v>3</v>
      </c>
      <c r="K472" s="90">
        <v>56</v>
      </c>
      <c r="L472" s="42" t="s">
        <v>27</v>
      </c>
    </row>
    <row r="473" spans="1:12" x14ac:dyDescent="0.3">
      <c r="A473" s="83">
        <v>472</v>
      </c>
      <c r="B473" s="89">
        <v>72.816999999999993</v>
      </c>
      <c r="C473" s="89">
        <v>19.954999999999998</v>
      </c>
      <c r="D473" s="42">
        <v>2019</v>
      </c>
      <c r="E473" s="90">
        <v>2</v>
      </c>
      <c r="F473" s="42">
        <v>13</v>
      </c>
      <c r="G473" s="89">
        <v>3.3</v>
      </c>
      <c r="H473" s="42" t="s">
        <v>20</v>
      </c>
      <c r="I473" s="91">
        <v>10</v>
      </c>
      <c r="J473" s="90">
        <v>5</v>
      </c>
      <c r="K473" s="90">
        <v>14</v>
      </c>
      <c r="L473" s="42" t="s">
        <v>12</v>
      </c>
    </row>
    <row r="474" spans="1:12" x14ac:dyDescent="0.3">
      <c r="A474" s="83">
        <v>473</v>
      </c>
      <c r="B474" s="89">
        <v>72.778999999999996</v>
      </c>
      <c r="C474" s="89">
        <v>19.945</v>
      </c>
      <c r="D474" s="42">
        <v>2019</v>
      </c>
      <c r="E474" s="90">
        <v>2</v>
      </c>
      <c r="F474" s="42">
        <v>13</v>
      </c>
      <c r="G474" s="89">
        <v>3.2</v>
      </c>
      <c r="H474" s="42" t="s">
        <v>20</v>
      </c>
      <c r="I474" s="91">
        <v>10</v>
      </c>
      <c r="J474" s="90">
        <v>7</v>
      </c>
      <c r="K474" s="90">
        <v>42</v>
      </c>
      <c r="L474" s="42" t="s">
        <v>12</v>
      </c>
    </row>
    <row r="475" spans="1:12" x14ac:dyDescent="0.3">
      <c r="A475" s="83">
        <v>474</v>
      </c>
      <c r="B475" s="89">
        <v>72.819999999999993</v>
      </c>
      <c r="C475" s="89">
        <v>19.95</v>
      </c>
      <c r="D475" s="42">
        <v>2019</v>
      </c>
      <c r="E475" s="90">
        <v>2</v>
      </c>
      <c r="F475" s="42">
        <v>13</v>
      </c>
      <c r="G475" s="89">
        <v>3.3</v>
      </c>
      <c r="H475" s="42" t="s">
        <v>20</v>
      </c>
      <c r="I475" s="91">
        <v>10</v>
      </c>
      <c r="J475" s="90">
        <v>10</v>
      </c>
      <c r="K475" s="90">
        <v>44</v>
      </c>
      <c r="L475" s="42" t="s">
        <v>27</v>
      </c>
    </row>
    <row r="476" spans="1:12" x14ac:dyDescent="0.3">
      <c r="A476" s="83">
        <v>475</v>
      </c>
      <c r="B476" s="89">
        <v>72.78</v>
      </c>
      <c r="C476" s="89">
        <v>19.940000000000001</v>
      </c>
      <c r="D476" s="42">
        <v>2019</v>
      </c>
      <c r="E476" s="90">
        <v>2</v>
      </c>
      <c r="F476" s="42">
        <v>13</v>
      </c>
      <c r="G476" s="89">
        <v>3.2</v>
      </c>
      <c r="H476" s="42" t="s">
        <v>20</v>
      </c>
      <c r="I476" s="91">
        <v>10</v>
      </c>
      <c r="J476" s="90">
        <v>13</v>
      </c>
      <c r="K476" s="90">
        <v>12</v>
      </c>
      <c r="L476" s="42" t="s">
        <v>27</v>
      </c>
    </row>
    <row r="477" spans="1:12" x14ac:dyDescent="0.3">
      <c r="A477" s="83">
        <v>476</v>
      </c>
      <c r="B477" s="89">
        <v>72.820999999999998</v>
      </c>
      <c r="C477" s="89">
        <v>19.963999999999999</v>
      </c>
      <c r="D477" s="42">
        <v>2019</v>
      </c>
      <c r="E477" s="90">
        <v>2</v>
      </c>
      <c r="F477" s="42">
        <v>20</v>
      </c>
      <c r="G477" s="89">
        <v>3.2</v>
      </c>
      <c r="H477" s="42" t="s">
        <v>20</v>
      </c>
      <c r="I477" s="91">
        <v>10</v>
      </c>
      <c r="J477" s="90">
        <v>4</v>
      </c>
      <c r="K477" s="90">
        <v>43</v>
      </c>
      <c r="L477" s="42" t="s">
        <v>12</v>
      </c>
    </row>
    <row r="478" spans="1:12" x14ac:dyDescent="0.3">
      <c r="A478" s="83">
        <v>477</v>
      </c>
      <c r="B478" s="89">
        <v>72.67</v>
      </c>
      <c r="C478" s="89">
        <v>19.943999999999999</v>
      </c>
      <c r="D478" s="42">
        <v>2019</v>
      </c>
      <c r="E478" s="90">
        <v>2</v>
      </c>
      <c r="F478" s="42">
        <v>20</v>
      </c>
      <c r="G478" s="89">
        <v>3.1</v>
      </c>
      <c r="H478" s="42" t="s">
        <v>20</v>
      </c>
      <c r="I478" s="91">
        <v>10</v>
      </c>
      <c r="J478" s="90">
        <v>7</v>
      </c>
      <c r="K478" s="90">
        <v>54</v>
      </c>
      <c r="L478" s="42" t="s">
        <v>12</v>
      </c>
    </row>
    <row r="479" spans="1:12" x14ac:dyDescent="0.3">
      <c r="A479" s="83">
        <v>478</v>
      </c>
      <c r="B479" s="89">
        <v>72.820999999999998</v>
      </c>
      <c r="C479" s="89">
        <v>19.931000000000001</v>
      </c>
      <c r="D479" s="42">
        <v>2019</v>
      </c>
      <c r="E479" s="90">
        <v>2</v>
      </c>
      <c r="F479" s="42">
        <v>20</v>
      </c>
      <c r="G479" s="89">
        <v>3.7</v>
      </c>
      <c r="H479" s="42" t="s">
        <v>20</v>
      </c>
      <c r="I479" s="91">
        <v>10</v>
      </c>
      <c r="J479" s="90">
        <v>7</v>
      </c>
      <c r="K479" s="90">
        <v>58</v>
      </c>
      <c r="L479" s="42" t="s">
        <v>12</v>
      </c>
    </row>
    <row r="480" spans="1:12" x14ac:dyDescent="0.3">
      <c r="A480" s="83">
        <v>479</v>
      </c>
      <c r="B480" s="89">
        <v>72.819999999999993</v>
      </c>
      <c r="C480" s="89">
        <v>19.96</v>
      </c>
      <c r="D480" s="42">
        <v>2019</v>
      </c>
      <c r="E480" s="90">
        <v>2</v>
      </c>
      <c r="F480" s="42">
        <v>20</v>
      </c>
      <c r="G480" s="89">
        <v>3.2</v>
      </c>
      <c r="H480" s="42" t="s">
        <v>20</v>
      </c>
      <c r="I480" s="91">
        <v>10</v>
      </c>
      <c r="J480" s="90">
        <v>10</v>
      </c>
      <c r="K480" s="90">
        <v>13</v>
      </c>
      <c r="L480" s="42" t="s">
        <v>27</v>
      </c>
    </row>
    <row r="481" spans="1:12" x14ac:dyDescent="0.3">
      <c r="A481" s="83">
        <v>480</v>
      </c>
      <c r="B481" s="89">
        <v>72.67</v>
      </c>
      <c r="C481" s="89">
        <v>19.940000000000001</v>
      </c>
      <c r="D481" s="42">
        <v>2019</v>
      </c>
      <c r="E481" s="90">
        <v>2</v>
      </c>
      <c r="F481" s="42">
        <v>20</v>
      </c>
      <c r="G481" s="89">
        <v>3.1</v>
      </c>
      <c r="H481" s="42" t="s">
        <v>20</v>
      </c>
      <c r="I481" s="91">
        <v>10</v>
      </c>
      <c r="J481" s="90">
        <v>13</v>
      </c>
      <c r="K481" s="90">
        <v>24</v>
      </c>
      <c r="L481" s="42" t="s">
        <v>27</v>
      </c>
    </row>
    <row r="482" spans="1:12" x14ac:dyDescent="0.3">
      <c r="A482" s="83">
        <v>481</v>
      </c>
      <c r="B482" s="89">
        <v>72.819999999999993</v>
      </c>
      <c r="C482" s="89">
        <v>19.93</v>
      </c>
      <c r="D482" s="42">
        <v>2019</v>
      </c>
      <c r="E482" s="90">
        <v>2</v>
      </c>
      <c r="F482" s="42">
        <v>20</v>
      </c>
      <c r="G482" s="89">
        <v>3.7</v>
      </c>
      <c r="H482" s="42" t="s">
        <v>20</v>
      </c>
      <c r="I482" s="91">
        <v>10</v>
      </c>
      <c r="J482" s="90">
        <v>13</v>
      </c>
      <c r="K482" s="90">
        <v>28</v>
      </c>
      <c r="L482" s="42" t="s">
        <v>27</v>
      </c>
    </row>
    <row r="483" spans="1:12" x14ac:dyDescent="0.3">
      <c r="A483" s="83">
        <v>482</v>
      </c>
      <c r="B483" s="89">
        <v>72.741</v>
      </c>
      <c r="C483" s="89">
        <v>19.956</v>
      </c>
      <c r="D483" s="42">
        <v>2019</v>
      </c>
      <c r="E483" s="90">
        <v>3</v>
      </c>
      <c r="F483" s="42">
        <v>1</v>
      </c>
      <c r="G483" s="89">
        <v>3</v>
      </c>
      <c r="H483" s="42" t="s">
        <v>19</v>
      </c>
      <c r="I483" s="91">
        <v>10</v>
      </c>
      <c r="J483" s="90">
        <v>5</v>
      </c>
      <c r="K483" s="90">
        <v>38</v>
      </c>
      <c r="L483" s="42" t="s">
        <v>12</v>
      </c>
    </row>
    <row r="484" spans="1:12" x14ac:dyDescent="0.3">
      <c r="A484" s="83">
        <v>483</v>
      </c>
      <c r="B484" s="89">
        <v>72.793999999999997</v>
      </c>
      <c r="C484" s="89">
        <v>19.881399999999999</v>
      </c>
      <c r="D484" s="42">
        <v>2019</v>
      </c>
      <c r="E484" s="90">
        <v>3</v>
      </c>
      <c r="F484" s="42">
        <v>1</v>
      </c>
      <c r="G484" s="89">
        <v>3.9</v>
      </c>
      <c r="H484" s="42" t="s">
        <v>20</v>
      </c>
      <c r="I484" s="91">
        <v>0</v>
      </c>
      <c r="J484" s="90">
        <v>5</v>
      </c>
      <c r="K484" s="90">
        <v>44</v>
      </c>
      <c r="L484" s="42" t="s">
        <v>12</v>
      </c>
    </row>
    <row r="485" spans="1:12" x14ac:dyDescent="0.3">
      <c r="A485" s="83">
        <v>484</v>
      </c>
      <c r="B485" s="89">
        <v>72.894300000000001</v>
      </c>
      <c r="C485" s="89">
        <v>20.234400000000001</v>
      </c>
      <c r="D485" s="42">
        <v>2019</v>
      </c>
      <c r="E485" s="90">
        <v>3</v>
      </c>
      <c r="F485" s="42">
        <v>1</v>
      </c>
      <c r="G485" s="89">
        <v>4</v>
      </c>
      <c r="H485" s="42" t="s">
        <v>2</v>
      </c>
      <c r="I485" s="91">
        <v>10</v>
      </c>
      <c r="J485" s="90">
        <v>5</v>
      </c>
      <c r="K485" s="90">
        <v>44</v>
      </c>
      <c r="L485" s="42" t="s">
        <v>25</v>
      </c>
    </row>
    <row r="486" spans="1:12" x14ac:dyDescent="0.3">
      <c r="A486" s="83">
        <v>485</v>
      </c>
      <c r="B486" s="89">
        <v>72.739999999999995</v>
      </c>
      <c r="C486" s="89">
        <v>19.96</v>
      </c>
      <c r="D486" s="42">
        <v>2019</v>
      </c>
      <c r="E486" s="90">
        <v>3</v>
      </c>
      <c r="F486" s="42">
        <v>1</v>
      </c>
      <c r="G486" s="89">
        <v>2.9</v>
      </c>
      <c r="H486" s="42" t="s">
        <v>20</v>
      </c>
      <c r="I486" s="91">
        <v>10</v>
      </c>
      <c r="J486" s="90">
        <v>11</v>
      </c>
      <c r="K486" s="90">
        <v>8</v>
      </c>
      <c r="L486" s="42" t="s">
        <v>27</v>
      </c>
    </row>
    <row r="487" spans="1:12" x14ac:dyDescent="0.3">
      <c r="A487" s="83">
        <v>486</v>
      </c>
      <c r="B487" s="89">
        <v>72.900000000000006</v>
      </c>
      <c r="C487" s="89">
        <v>19.88</v>
      </c>
      <c r="D487" s="42">
        <v>2019</v>
      </c>
      <c r="E487" s="90">
        <v>3</v>
      </c>
      <c r="F487" s="42">
        <v>1</v>
      </c>
      <c r="G487" s="89">
        <v>3.9</v>
      </c>
      <c r="H487" s="42" t="s">
        <v>20</v>
      </c>
      <c r="I487" s="91">
        <v>10</v>
      </c>
      <c r="J487" s="90">
        <v>11</v>
      </c>
      <c r="K487" s="90">
        <v>14</v>
      </c>
      <c r="L487" s="42" t="s">
        <v>27</v>
      </c>
    </row>
    <row r="488" spans="1:12" x14ac:dyDescent="0.3">
      <c r="A488" s="83">
        <v>487</v>
      </c>
      <c r="B488" s="89">
        <v>72.820999999999998</v>
      </c>
      <c r="C488" s="89">
        <v>19.975000000000001</v>
      </c>
      <c r="D488" s="42">
        <v>2019</v>
      </c>
      <c r="E488" s="90">
        <v>3</v>
      </c>
      <c r="F488" s="42">
        <v>10</v>
      </c>
      <c r="G488" s="89">
        <v>3.3</v>
      </c>
      <c r="H488" s="42" t="s">
        <v>20</v>
      </c>
      <c r="I488" s="91">
        <v>10</v>
      </c>
      <c r="J488" s="90">
        <v>19</v>
      </c>
      <c r="K488" s="90">
        <v>30</v>
      </c>
      <c r="L488" s="42" t="s">
        <v>12</v>
      </c>
    </row>
    <row r="489" spans="1:12" x14ac:dyDescent="0.3">
      <c r="A489" s="83">
        <v>488</v>
      </c>
      <c r="B489" s="89">
        <v>72.819999999999993</v>
      </c>
      <c r="C489" s="89">
        <v>19.98</v>
      </c>
      <c r="D489" s="42">
        <v>2019</v>
      </c>
      <c r="E489" s="90">
        <v>3</v>
      </c>
      <c r="F489" s="42">
        <v>11</v>
      </c>
      <c r="G489" s="89">
        <v>3.3</v>
      </c>
      <c r="H489" s="42" t="s">
        <v>20</v>
      </c>
      <c r="I489" s="91">
        <v>10</v>
      </c>
      <c r="J489" s="90">
        <v>1</v>
      </c>
      <c r="K489" s="90">
        <v>0</v>
      </c>
      <c r="L489" s="42" t="s">
        <v>27</v>
      </c>
    </row>
    <row r="490" spans="1:12" x14ac:dyDescent="0.3">
      <c r="A490" s="83">
        <v>489</v>
      </c>
      <c r="B490" s="89">
        <v>72.956000000000003</v>
      </c>
      <c r="C490" s="89">
        <v>20.013999999999999</v>
      </c>
      <c r="D490" s="42">
        <v>2019</v>
      </c>
      <c r="E490" s="90">
        <v>3</v>
      </c>
      <c r="F490" s="42">
        <v>31</v>
      </c>
      <c r="G490" s="89">
        <v>3.1</v>
      </c>
      <c r="H490" s="42" t="s">
        <v>20</v>
      </c>
      <c r="I490" s="91">
        <v>5</v>
      </c>
      <c r="J490" s="90">
        <v>12</v>
      </c>
      <c r="K490" s="90">
        <v>21</v>
      </c>
      <c r="L490" s="42" t="s">
        <v>12</v>
      </c>
    </row>
    <row r="491" spans="1:12" x14ac:dyDescent="0.3">
      <c r="A491" s="83">
        <v>490</v>
      </c>
      <c r="B491" s="89">
        <v>72.959999999999994</v>
      </c>
      <c r="C491" s="89">
        <v>20.100000000000001</v>
      </c>
      <c r="D491" s="42">
        <v>2019</v>
      </c>
      <c r="E491" s="90">
        <v>3</v>
      </c>
      <c r="F491" s="42">
        <v>31</v>
      </c>
      <c r="G491" s="89">
        <v>3.1</v>
      </c>
      <c r="H491" s="42" t="s">
        <v>20</v>
      </c>
      <c r="I491" s="91">
        <v>5</v>
      </c>
      <c r="J491" s="90">
        <v>17</v>
      </c>
      <c r="K491" s="90">
        <v>51</v>
      </c>
      <c r="L491" s="42" t="s">
        <v>27</v>
      </c>
    </row>
    <row r="492" spans="1:12" x14ac:dyDescent="0.3">
      <c r="A492" s="83">
        <v>491</v>
      </c>
      <c r="B492" s="89">
        <v>72.715000000000003</v>
      </c>
      <c r="C492" s="89">
        <v>20.355</v>
      </c>
      <c r="D492" s="42">
        <v>2019</v>
      </c>
      <c r="E492" s="90">
        <v>4</v>
      </c>
      <c r="F492" s="42">
        <v>2</v>
      </c>
      <c r="G492" s="89">
        <v>3.3</v>
      </c>
      <c r="H492" s="42" t="s">
        <v>20</v>
      </c>
      <c r="I492" s="91">
        <v>5</v>
      </c>
      <c r="J492" s="90">
        <v>8</v>
      </c>
      <c r="K492" s="90">
        <v>21</v>
      </c>
      <c r="L492" s="42" t="s">
        <v>12</v>
      </c>
    </row>
    <row r="493" spans="1:12" x14ac:dyDescent="0.3">
      <c r="A493" s="83">
        <v>492</v>
      </c>
      <c r="B493" s="89">
        <v>72.277000000000001</v>
      </c>
      <c r="C493" s="89">
        <v>20.067</v>
      </c>
      <c r="D493" s="42">
        <v>2019</v>
      </c>
      <c r="E493" s="90">
        <v>4</v>
      </c>
      <c r="F493" s="42">
        <v>2</v>
      </c>
      <c r="G493" s="89">
        <v>3.5</v>
      </c>
      <c r="H493" s="42" t="s">
        <v>20</v>
      </c>
      <c r="I493" s="91">
        <v>5</v>
      </c>
      <c r="J493" s="90">
        <v>8</v>
      </c>
      <c r="K493" s="90">
        <v>32</v>
      </c>
      <c r="L493" s="42" t="s">
        <v>12</v>
      </c>
    </row>
    <row r="494" spans="1:12" x14ac:dyDescent="0.3">
      <c r="A494" s="83">
        <v>493</v>
      </c>
      <c r="B494" s="89">
        <v>72.709999999999994</v>
      </c>
      <c r="C494" s="89">
        <v>20.350000000000001</v>
      </c>
      <c r="D494" s="42">
        <v>2019</v>
      </c>
      <c r="E494" s="90">
        <v>4</v>
      </c>
      <c r="F494" s="42">
        <v>2</v>
      </c>
      <c r="G494" s="89">
        <v>3.3</v>
      </c>
      <c r="H494" s="42" t="s">
        <v>20</v>
      </c>
      <c r="I494" s="91">
        <v>5</v>
      </c>
      <c r="J494" s="90">
        <v>13</v>
      </c>
      <c r="K494" s="90">
        <v>51</v>
      </c>
      <c r="L494" s="42" t="s">
        <v>27</v>
      </c>
    </row>
    <row r="495" spans="1:12" x14ac:dyDescent="0.3">
      <c r="A495" s="83">
        <v>494</v>
      </c>
      <c r="B495" s="89">
        <v>72.28</v>
      </c>
      <c r="C495" s="89">
        <v>20.7</v>
      </c>
      <c r="D495" s="42">
        <v>2019</v>
      </c>
      <c r="E495" s="90">
        <v>4</v>
      </c>
      <c r="F495" s="42">
        <v>2</v>
      </c>
      <c r="G495" s="89">
        <v>3.5</v>
      </c>
      <c r="H495" s="42" t="s">
        <v>20</v>
      </c>
      <c r="I495" s="91">
        <v>5</v>
      </c>
      <c r="J495" s="90">
        <v>14</v>
      </c>
      <c r="K495" s="90">
        <v>2</v>
      </c>
      <c r="L495" s="42" t="s">
        <v>27</v>
      </c>
    </row>
    <row r="496" spans="1:12" x14ac:dyDescent="0.3">
      <c r="A496" s="83">
        <v>495</v>
      </c>
      <c r="B496" s="89">
        <v>76.286000000000001</v>
      </c>
      <c r="C496" s="89">
        <v>21.350999999999999</v>
      </c>
      <c r="D496" s="42">
        <v>2019</v>
      </c>
      <c r="E496" s="90">
        <v>4</v>
      </c>
      <c r="F496" s="42">
        <v>8</v>
      </c>
      <c r="G496" s="89">
        <v>3.1</v>
      </c>
      <c r="H496" s="42" t="s">
        <v>20</v>
      </c>
      <c r="I496" s="91">
        <v>10</v>
      </c>
      <c r="J496" s="90">
        <v>14</v>
      </c>
      <c r="K496" s="90">
        <v>9</v>
      </c>
      <c r="L496" s="42" t="s">
        <v>12</v>
      </c>
    </row>
    <row r="497" spans="1:12" x14ac:dyDescent="0.3">
      <c r="A497" s="83">
        <v>496</v>
      </c>
      <c r="B497" s="89">
        <v>76.290000000000006</v>
      </c>
      <c r="C497" s="89">
        <v>21.35</v>
      </c>
      <c r="D497" s="42">
        <v>2019</v>
      </c>
      <c r="E497" s="90">
        <v>4</v>
      </c>
      <c r="F497" s="42">
        <v>8</v>
      </c>
      <c r="G497" s="89">
        <v>3.1</v>
      </c>
      <c r="H497" s="42" t="s">
        <v>20</v>
      </c>
      <c r="I497" s="91">
        <v>10</v>
      </c>
      <c r="J497" s="90">
        <v>19</v>
      </c>
      <c r="K497" s="90">
        <v>39</v>
      </c>
      <c r="L497" s="42" t="s">
        <v>27</v>
      </c>
    </row>
    <row r="498" spans="1:12" x14ac:dyDescent="0.3">
      <c r="A498" s="83">
        <v>497</v>
      </c>
      <c r="B498" s="89">
        <v>72.2</v>
      </c>
      <c r="C498" s="89">
        <v>19.77</v>
      </c>
      <c r="D498" s="42">
        <v>2019</v>
      </c>
      <c r="E498" s="90">
        <v>4</v>
      </c>
      <c r="F498" s="42">
        <v>9</v>
      </c>
      <c r="G498" s="89">
        <v>3.4</v>
      </c>
      <c r="H498" s="42" t="s">
        <v>20</v>
      </c>
      <c r="I498" s="91">
        <v>10</v>
      </c>
      <c r="J498" s="90">
        <v>19</v>
      </c>
      <c r="K498" s="90">
        <v>9</v>
      </c>
      <c r="L498" s="42" t="s">
        <v>27</v>
      </c>
    </row>
    <row r="499" spans="1:12" x14ac:dyDescent="0.3">
      <c r="A499" s="83">
        <v>498</v>
      </c>
      <c r="B499" s="89">
        <v>72.978999999999999</v>
      </c>
      <c r="C499" s="89">
        <v>20.074999999999999</v>
      </c>
      <c r="D499" s="42">
        <v>2019</v>
      </c>
      <c r="E499" s="90">
        <v>5</v>
      </c>
      <c r="F499" s="42">
        <v>24</v>
      </c>
      <c r="G499" s="89">
        <v>3.1</v>
      </c>
      <c r="H499" s="42" t="s">
        <v>20</v>
      </c>
      <c r="I499" s="91">
        <v>3.4</v>
      </c>
      <c r="J499" s="90">
        <v>0</v>
      </c>
      <c r="K499" s="90">
        <v>11</v>
      </c>
      <c r="L499" s="42" t="s">
        <v>12</v>
      </c>
    </row>
    <row r="500" spans="1:12" x14ac:dyDescent="0.3">
      <c r="A500" s="83">
        <v>499</v>
      </c>
      <c r="B500" s="89">
        <v>72.98</v>
      </c>
      <c r="C500" s="89">
        <v>20.8</v>
      </c>
      <c r="D500" s="42">
        <v>2019</v>
      </c>
      <c r="E500" s="90">
        <v>5</v>
      </c>
      <c r="F500" s="42">
        <v>24</v>
      </c>
      <c r="G500" s="89">
        <v>3.1</v>
      </c>
      <c r="H500" s="42" t="s">
        <v>20</v>
      </c>
      <c r="I500" s="91">
        <v>3</v>
      </c>
      <c r="J500" s="90">
        <v>5</v>
      </c>
      <c r="K500" s="90">
        <v>41</v>
      </c>
      <c r="L500" s="42" t="s">
        <v>27</v>
      </c>
    </row>
    <row r="501" spans="1:12" x14ac:dyDescent="0.3">
      <c r="A501" s="83">
        <v>500</v>
      </c>
      <c r="B501" s="89">
        <v>72.472999999999999</v>
      </c>
      <c r="C501" s="89">
        <v>19.797000000000001</v>
      </c>
      <c r="D501" s="42">
        <v>2019</v>
      </c>
      <c r="E501" s="90">
        <v>5</v>
      </c>
      <c r="F501" s="42">
        <v>30</v>
      </c>
      <c r="G501" s="89">
        <v>3</v>
      </c>
      <c r="H501" s="42" t="s">
        <v>20</v>
      </c>
      <c r="I501" s="91">
        <v>11.5</v>
      </c>
      <c r="J501" s="90">
        <v>5</v>
      </c>
      <c r="K501" s="90">
        <v>20</v>
      </c>
      <c r="L501" s="42" t="s">
        <v>12</v>
      </c>
    </row>
    <row r="502" spans="1:12" x14ac:dyDescent="0.3">
      <c r="A502" s="83">
        <v>501</v>
      </c>
      <c r="B502" s="89">
        <v>72.47</v>
      </c>
      <c r="C502" s="89">
        <v>19.8</v>
      </c>
      <c r="D502" s="42">
        <v>2019</v>
      </c>
      <c r="E502" s="90">
        <v>5</v>
      </c>
      <c r="F502" s="42">
        <v>30</v>
      </c>
      <c r="G502" s="89">
        <v>3</v>
      </c>
      <c r="H502" s="42" t="s">
        <v>20</v>
      </c>
      <c r="I502" s="91">
        <v>11</v>
      </c>
      <c r="J502" s="90">
        <v>10</v>
      </c>
      <c r="K502" s="90">
        <v>50</v>
      </c>
      <c r="L502" s="42" t="s">
        <v>27</v>
      </c>
    </row>
    <row r="503" spans="1:12" x14ac:dyDescent="0.3">
      <c r="A503" s="83">
        <v>502</v>
      </c>
      <c r="B503" s="89">
        <v>72.856899999999996</v>
      </c>
      <c r="C503" s="89">
        <v>24.300899999999999</v>
      </c>
      <c r="D503" s="42">
        <v>2019</v>
      </c>
      <c r="E503" s="90">
        <v>6</v>
      </c>
      <c r="F503" s="42">
        <v>5</v>
      </c>
      <c r="G503" s="89">
        <v>4</v>
      </c>
      <c r="H503" s="42" t="s">
        <v>20</v>
      </c>
      <c r="I503" s="91">
        <v>0</v>
      </c>
      <c r="J503" s="90">
        <v>17</v>
      </c>
      <c r="K503" s="90">
        <v>1</v>
      </c>
      <c r="L503" s="42" t="s">
        <v>12</v>
      </c>
    </row>
    <row r="504" spans="1:12" x14ac:dyDescent="0.3">
      <c r="A504" s="83">
        <v>503</v>
      </c>
      <c r="B504" s="89">
        <v>72.735699999999994</v>
      </c>
      <c r="C504" s="89">
        <v>24.536999999999999</v>
      </c>
      <c r="D504" s="42">
        <v>2019</v>
      </c>
      <c r="E504" s="90">
        <v>6</v>
      </c>
      <c r="F504" s="42">
        <v>5</v>
      </c>
      <c r="G504" s="89">
        <v>4</v>
      </c>
      <c r="H504" s="42" t="s">
        <v>2</v>
      </c>
      <c r="I504" s="91">
        <v>10</v>
      </c>
      <c r="J504" s="90">
        <v>17</v>
      </c>
      <c r="K504" s="90">
        <v>1</v>
      </c>
      <c r="L504" s="42" t="s">
        <v>25</v>
      </c>
    </row>
    <row r="505" spans="1:12" x14ac:dyDescent="0.3">
      <c r="A505" s="83">
        <v>504</v>
      </c>
      <c r="B505" s="89">
        <v>72.75</v>
      </c>
      <c r="C505" s="89">
        <v>24.29</v>
      </c>
      <c r="D505" s="42">
        <v>2019</v>
      </c>
      <c r="E505" s="90">
        <v>6</v>
      </c>
      <c r="F505" s="42">
        <v>5</v>
      </c>
      <c r="G505" s="89">
        <v>4</v>
      </c>
      <c r="H505" s="42" t="s">
        <v>20</v>
      </c>
      <c r="I505" s="91">
        <v>10</v>
      </c>
      <c r="J505" s="90">
        <v>22</v>
      </c>
      <c r="K505" s="90">
        <v>31</v>
      </c>
      <c r="L505" s="42" t="s">
        <v>27</v>
      </c>
    </row>
    <row r="506" spans="1:12" x14ac:dyDescent="0.3">
      <c r="A506" s="83">
        <v>505</v>
      </c>
      <c r="B506" s="89">
        <v>78.150999999999996</v>
      </c>
      <c r="C506" s="89">
        <v>19.847000000000001</v>
      </c>
      <c r="D506" s="42">
        <v>2019</v>
      </c>
      <c r="E506" s="90">
        <v>6</v>
      </c>
      <c r="F506" s="42">
        <v>21</v>
      </c>
      <c r="G506" s="89">
        <v>3.6</v>
      </c>
      <c r="H506" s="42" t="s">
        <v>20</v>
      </c>
      <c r="I506" s="91">
        <v>7</v>
      </c>
      <c r="J506" s="90">
        <v>15</v>
      </c>
      <c r="K506" s="90">
        <v>42</v>
      </c>
      <c r="L506" s="42" t="s">
        <v>12</v>
      </c>
    </row>
    <row r="507" spans="1:12" x14ac:dyDescent="0.3">
      <c r="A507" s="83">
        <v>506</v>
      </c>
      <c r="B507" s="89">
        <v>78.150000000000006</v>
      </c>
      <c r="C507" s="89">
        <v>19.850000000000001</v>
      </c>
      <c r="D507" s="42">
        <v>2019</v>
      </c>
      <c r="E507" s="90">
        <v>6</v>
      </c>
      <c r="F507" s="42">
        <v>21</v>
      </c>
      <c r="G507" s="89">
        <v>3.6</v>
      </c>
      <c r="H507" s="42" t="s">
        <v>20</v>
      </c>
      <c r="I507" s="91">
        <v>7</v>
      </c>
      <c r="J507" s="90">
        <v>21</v>
      </c>
      <c r="K507" s="90">
        <v>12</v>
      </c>
      <c r="L507" s="42" t="s">
        <v>27</v>
      </c>
    </row>
    <row r="508" spans="1:12" x14ac:dyDescent="0.3">
      <c r="A508" s="83">
        <v>507</v>
      </c>
      <c r="B508" s="89">
        <v>75.248000000000005</v>
      </c>
      <c r="C508" s="89">
        <v>26.952000000000002</v>
      </c>
      <c r="D508" s="42">
        <v>2019</v>
      </c>
      <c r="E508" s="90">
        <v>7</v>
      </c>
      <c r="F508" s="42">
        <v>3</v>
      </c>
      <c r="G508" s="89">
        <v>3.4</v>
      </c>
      <c r="H508" s="42" t="s">
        <v>20</v>
      </c>
      <c r="I508" s="91">
        <v>15.2</v>
      </c>
      <c r="J508" s="90">
        <v>15</v>
      </c>
      <c r="K508" s="90">
        <v>29</v>
      </c>
      <c r="L508" s="42" t="s">
        <v>12</v>
      </c>
    </row>
    <row r="509" spans="1:12" x14ac:dyDescent="0.3">
      <c r="A509" s="83">
        <v>508</v>
      </c>
      <c r="B509" s="89">
        <v>72.953000000000003</v>
      </c>
      <c r="C509" s="89">
        <v>19.975999999999999</v>
      </c>
      <c r="D509" s="42">
        <v>2019</v>
      </c>
      <c r="E509" s="90">
        <v>7</v>
      </c>
      <c r="F509" s="42">
        <v>20</v>
      </c>
      <c r="G509" s="89">
        <v>3.4</v>
      </c>
      <c r="H509" s="42" t="s">
        <v>20</v>
      </c>
      <c r="I509" s="91">
        <v>10</v>
      </c>
      <c r="J509" s="90">
        <v>3</v>
      </c>
      <c r="K509" s="90">
        <v>47</v>
      </c>
      <c r="L509" s="42" t="s">
        <v>12</v>
      </c>
    </row>
    <row r="510" spans="1:12" x14ac:dyDescent="0.3">
      <c r="A510" s="83">
        <v>509</v>
      </c>
      <c r="B510" s="89">
        <v>73.113</v>
      </c>
      <c r="C510" s="89">
        <v>19.896999999999998</v>
      </c>
      <c r="D510" s="42">
        <v>2019</v>
      </c>
      <c r="E510" s="90">
        <v>7</v>
      </c>
      <c r="F510" s="42">
        <v>24</v>
      </c>
      <c r="G510" s="89">
        <v>3</v>
      </c>
      <c r="H510" s="42" t="s">
        <v>20</v>
      </c>
      <c r="I510" s="91">
        <v>21.9</v>
      </c>
      <c r="J510" s="90">
        <v>0</v>
      </c>
      <c r="K510" s="90">
        <v>34</v>
      </c>
      <c r="L510" s="42" t="s">
        <v>12</v>
      </c>
    </row>
    <row r="511" spans="1:12" x14ac:dyDescent="0.3">
      <c r="A511" s="83">
        <v>510</v>
      </c>
      <c r="B511" s="89">
        <v>72.507999999999996</v>
      </c>
      <c r="C511" s="89">
        <v>19.577999999999999</v>
      </c>
      <c r="D511" s="42">
        <v>2019</v>
      </c>
      <c r="E511" s="90">
        <v>7</v>
      </c>
      <c r="F511" s="42">
        <v>24</v>
      </c>
      <c r="G511" s="89">
        <v>3.9</v>
      </c>
      <c r="H511" s="42" t="s">
        <v>20</v>
      </c>
      <c r="I511" s="91">
        <v>10</v>
      </c>
      <c r="J511" s="90">
        <v>19</v>
      </c>
      <c r="K511" s="90">
        <v>33</v>
      </c>
      <c r="L511" s="42" t="s">
        <v>12</v>
      </c>
    </row>
    <row r="512" spans="1:12" x14ac:dyDescent="0.3">
      <c r="A512" s="83">
        <v>511</v>
      </c>
      <c r="B512" s="89">
        <v>72.507999999999996</v>
      </c>
      <c r="C512" s="89">
        <v>19.577999999999999</v>
      </c>
      <c r="D512" s="42">
        <v>2019</v>
      </c>
      <c r="E512" s="90">
        <v>7</v>
      </c>
      <c r="F512" s="42">
        <v>24</v>
      </c>
      <c r="G512" s="89">
        <v>4.0999999999999996</v>
      </c>
      <c r="H512" s="42" t="s">
        <v>2</v>
      </c>
      <c r="I512" s="91">
        <v>10</v>
      </c>
      <c r="J512" s="90">
        <v>19</v>
      </c>
      <c r="K512" s="90">
        <v>33</v>
      </c>
      <c r="L512" s="42" t="s">
        <v>25</v>
      </c>
    </row>
    <row r="513" spans="1:12" x14ac:dyDescent="0.3">
      <c r="A513" s="83">
        <v>512</v>
      </c>
      <c r="B513" s="89">
        <v>72.884900000000002</v>
      </c>
      <c r="C513" s="89">
        <v>20.007300000000001</v>
      </c>
      <c r="D513" s="42">
        <v>2019</v>
      </c>
      <c r="E513" s="90">
        <v>7</v>
      </c>
      <c r="F513" s="42">
        <v>24</v>
      </c>
      <c r="G513" s="89">
        <v>3.6</v>
      </c>
      <c r="H513" s="42" t="s">
        <v>20</v>
      </c>
      <c r="I513" s="91">
        <v>0</v>
      </c>
      <c r="J513" s="90">
        <v>19</v>
      </c>
      <c r="K513" s="90">
        <v>45</v>
      </c>
      <c r="L513" s="42" t="s">
        <v>12</v>
      </c>
    </row>
    <row r="514" spans="1:12" x14ac:dyDescent="0.3">
      <c r="A514" s="83">
        <v>513</v>
      </c>
      <c r="B514" s="89">
        <v>72.864999999999995</v>
      </c>
      <c r="C514" s="89">
        <v>19.954999999999998</v>
      </c>
      <c r="D514" s="42">
        <v>2019</v>
      </c>
      <c r="E514" s="90">
        <v>7</v>
      </c>
      <c r="F514" s="42">
        <v>31</v>
      </c>
      <c r="G514" s="89">
        <v>3</v>
      </c>
      <c r="H514" s="42" t="s">
        <v>20</v>
      </c>
      <c r="I514" s="91">
        <v>10.6</v>
      </c>
      <c r="J514" s="90">
        <v>14</v>
      </c>
      <c r="K514" s="90">
        <v>50</v>
      </c>
      <c r="L514" s="42" t="s">
        <v>12</v>
      </c>
    </row>
    <row r="515" spans="1:12" x14ac:dyDescent="0.3">
      <c r="A515" s="83">
        <v>514</v>
      </c>
      <c r="B515" s="89">
        <v>72.293999999999997</v>
      </c>
      <c r="C515" s="89">
        <v>19.88</v>
      </c>
      <c r="D515" s="42">
        <v>2019</v>
      </c>
      <c r="E515" s="90">
        <v>8</v>
      </c>
      <c r="F515" s="42">
        <v>13</v>
      </c>
      <c r="G515" s="89">
        <v>3.5</v>
      </c>
      <c r="H515" s="42" t="s">
        <v>20</v>
      </c>
      <c r="I515" s="91">
        <v>15.1</v>
      </c>
      <c r="J515" s="90">
        <v>0</v>
      </c>
      <c r="K515" s="90">
        <v>8</v>
      </c>
      <c r="L515" s="42" t="s">
        <v>12</v>
      </c>
    </row>
    <row r="516" spans="1:12" x14ac:dyDescent="0.3">
      <c r="A516" s="83">
        <v>515</v>
      </c>
      <c r="B516" s="89">
        <v>73.036000000000001</v>
      </c>
      <c r="C516" s="89">
        <v>19.7</v>
      </c>
      <c r="D516" s="42">
        <v>2019</v>
      </c>
      <c r="E516" s="90">
        <v>9</v>
      </c>
      <c r="F516" s="42">
        <v>20</v>
      </c>
      <c r="G516" s="89">
        <v>3.5</v>
      </c>
      <c r="H516" s="42" t="s">
        <v>20</v>
      </c>
      <c r="I516" s="91">
        <v>3.8</v>
      </c>
      <c r="J516" s="90">
        <v>11</v>
      </c>
      <c r="K516" s="90">
        <v>2</v>
      </c>
      <c r="L516" s="42" t="s">
        <v>12</v>
      </c>
    </row>
    <row r="517" spans="1:12" x14ac:dyDescent="0.3">
      <c r="A517" s="83">
        <v>516</v>
      </c>
      <c r="B517" s="89">
        <v>73.400000000000006</v>
      </c>
      <c r="C517" s="89">
        <v>19.7</v>
      </c>
      <c r="D517" s="42">
        <v>2019</v>
      </c>
      <c r="E517" s="90">
        <v>9</v>
      </c>
      <c r="F517" s="42">
        <v>20</v>
      </c>
      <c r="G517" s="89">
        <v>3.5</v>
      </c>
      <c r="H517" s="42" t="s">
        <v>20</v>
      </c>
      <c r="I517" s="91">
        <v>3</v>
      </c>
      <c r="J517" s="90">
        <v>16</v>
      </c>
      <c r="K517" s="90">
        <v>32</v>
      </c>
      <c r="L517" s="42" t="s">
        <v>27</v>
      </c>
    </row>
    <row r="518" spans="1:12" x14ac:dyDescent="0.3">
      <c r="A518" s="83">
        <v>517</v>
      </c>
      <c r="B518" s="89">
        <v>72.8</v>
      </c>
      <c r="C518" s="89">
        <v>19.975000000000001</v>
      </c>
      <c r="D518" s="42">
        <v>2019</v>
      </c>
      <c r="E518" s="90">
        <v>9</v>
      </c>
      <c r="F518" s="42">
        <v>21</v>
      </c>
      <c r="G518" s="89">
        <v>3.2</v>
      </c>
      <c r="H518" s="42" t="s">
        <v>20</v>
      </c>
      <c r="I518" s="91">
        <v>14.2</v>
      </c>
      <c r="J518" s="90">
        <v>17</v>
      </c>
      <c r="K518" s="90">
        <v>0</v>
      </c>
      <c r="L518" s="42" t="s">
        <v>12</v>
      </c>
    </row>
    <row r="519" spans="1:12" x14ac:dyDescent="0.3">
      <c r="A519" s="83">
        <v>518</v>
      </c>
      <c r="B519" s="89">
        <v>72.8</v>
      </c>
      <c r="C519" s="89">
        <v>19.98</v>
      </c>
      <c r="D519" s="42">
        <v>2019</v>
      </c>
      <c r="E519" s="90">
        <v>9</v>
      </c>
      <c r="F519" s="42">
        <v>21</v>
      </c>
      <c r="G519" s="89">
        <v>3.2</v>
      </c>
      <c r="H519" s="42" t="s">
        <v>20</v>
      </c>
      <c r="I519" s="91">
        <v>14</v>
      </c>
      <c r="J519" s="90">
        <v>22</v>
      </c>
      <c r="K519" s="90">
        <v>30</v>
      </c>
      <c r="L519" s="42" t="s">
        <v>27</v>
      </c>
    </row>
    <row r="520" spans="1:12" x14ac:dyDescent="0.3">
      <c r="A520" s="83">
        <v>519</v>
      </c>
      <c r="B520" s="89">
        <v>72.753</v>
      </c>
      <c r="C520" s="89">
        <v>19.890999999999998</v>
      </c>
      <c r="D520" s="42">
        <v>2019</v>
      </c>
      <c r="E520" s="90">
        <v>9</v>
      </c>
      <c r="F520" s="42">
        <v>22</v>
      </c>
      <c r="G520" s="89">
        <v>3.7</v>
      </c>
      <c r="H520" s="42" t="s">
        <v>20</v>
      </c>
      <c r="I520" s="91">
        <v>10.8</v>
      </c>
      <c r="J520" s="90">
        <v>7</v>
      </c>
      <c r="K520" s="90">
        <v>17</v>
      </c>
      <c r="L520" s="42" t="s">
        <v>12</v>
      </c>
    </row>
    <row r="521" spans="1:12" x14ac:dyDescent="0.3">
      <c r="A521" s="83">
        <v>520</v>
      </c>
      <c r="B521" s="89">
        <v>72.75</v>
      </c>
      <c r="C521" s="89">
        <v>19.89</v>
      </c>
      <c r="D521" s="42">
        <v>2019</v>
      </c>
      <c r="E521" s="90">
        <v>9</v>
      </c>
      <c r="F521" s="42">
        <v>22</v>
      </c>
      <c r="G521" s="89">
        <v>3.7</v>
      </c>
      <c r="H521" s="42" t="s">
        <v>20</v>
      </c>
      <c r="I521" s="91">
        <v>10</v>
      </c>
      <c r="J521" s="90">
        <v>12</v>
      </c>
      <c r="K521" s="90">
        <v>47</v>
      </c>
      <c r="L521" s="42" t="s">
        <v>27</v>
      </c>
    </row>
    <row r="522" spans="1:12" x14ac:dyDescent="0.3">
      <c r="A522" s="83">
        <v>521</v>
      </c>
      <c r="B522" s="89">
        <v>72.653999999999996</v>
      </c>
      <c r="C522" s="89">
        <v>19.946999999999999</v>
      </c>
      <c r="D522" s="42">
        <v>2019</v>
      </c>
      <c r="E522" s="90">
        <v>9</v>
      </c>
      <c r="F522" s="42">
        <v>24</v>
      </c>
      <c r="G522" s="89">
        <v>3</v>
      </c>
      <c r="H522" s="42" t="s">
        <v>19</v>
      </c>
      <c r="I522" s="91">
        <v>10</v>
      </c>
      <c r="J522" s="90">
        <v>8</v>
      </c>
      <c r="K522" s="90">
        <v>47</v>
      </c>
      <c r="L522" s="42" t="s">
        <v>12</v>
      </c>
    </row>
    <row r="523" spans="1:12" x14ac:dyDescent="0.3">
      <c r="A523" s="83">
        <v>522</v>
      </c>
      <c r="B523" s="89">
        <v>72.650000000000006</v>
      </c>
      <c r="C523" s="89">
        <v>19.95</v>
      </c>
      <c r="D523" s="42">
        <v>2019</v>
      </c>
      <c r="E523" s="90">
        <v>9</v>
      </c>
      <c r="F523" s="42">
        <v>24</v>
      </c>
      <c r="G523" s="89">
        <v>2.9</v>
      </c>
      <c r="H523" s="42" t="s">
        <v>20</v>
      </c>
      <c r="I523" s="91">
        <v>10</v>
      </c>
      <c r="J523" s="90">
        <v>14</v>
      </c>
      <c r="K523" s="90">
        <v>17</v>
      </c>
      <c r="L523" s="42" t="s">
        <v>27</v>
      </c>
    </row>
    <row r="524" spans="1:12" x14ac:dyDescent="0.3">
      <c r="A524" s="83">
        <v>523</v>
      </c>
      <c r="B524" s="89">
        <v>71.989000000000004</v>
      </c>
      <c r="C524" s="89">
        <v>20.045000000000002</v>
      </c>
      <c r="D524" s="42">
        <v>2019</v>
      </c>
      <c r="E524" s="90">
        <v>10</v>
      </c>
      <c r="F524" s="42">
        <v>29</v>
      </c>
      <c r="G524" s="89">
        <v>3.4</v>
      </c>
      <c r="H524" s="42" t="s">
        <v>20</v>
      </c>
      <c r="I524" s="91">
        <v>20.6</v>
      </c>
      <c r="J524" s="90">
        <v>21</v>
      </c>
      <c r="K524" s="90">
        <v>47</v>
      </c>
      <c r="L524" s="42" t="s">
        <v>12</v>
      </c>
    </row>
    <row r="525" spans="1:12" x14ac:dyDescent="0.3">
      <c r="A525" s="83">
        <v>524</v>
      </c>
      <c r="B525" s="89">
        <v>71.989999999999995</v>
      </c>
      <c r="C525" s="89">
        <v>20.5</v>
      </c>
      <c r="D525" s="42">
        <v>2019</v>
      </c>
      <c r="E525" s="90">
        <v>10</v>
      </c>
      <c r="F525" s="42">
        <v>30</v>
      </c>
      <c r="G525" s="89">
        <v>3.4</v>
      </c>
      <c r="H525" s="42" t="s">
        <v>20</v>
      </c>
      <c r="I525" s="91">
        <v>20</v>
      </c>
      <c r="J525" s="90">
        <v>3</v>
      </c>
      <c r="K525" s="90">
        <v>17</v>
      </c>
      <c r="L525" s="42" t="s">
        <v>27</v>
      </c>
    </row>
    <row r="526" spans="1:12" x14ac:dyDescent="0.3">
      <c r="A526" s="83">
        <v>525</v>
      </c>
      <c r="B526" s="89">
        <v>72.802999999999997</v>
      </c>
      <c r="C526" s="89">
        <v>20.016999999999999</v>
      </c>
      <c r="D526" s="42">
        <v>2019</v>
      </c>
      <c r="E526" s="90">
        <v>11</v>
      </c>
      <c r="F526" s="42">
        <v>2</v>
      </c>
      <c r="G526" s="89">
        <v>3</v>
      </c>
      <c r="H526" s="42" t="s">
        <v>20</v>
      </c>
      <c r="I526" s="91">
        <v>18.399999999999999</v>
      </c>
      <c r="J526" s="90">
        <v>23</v>
      </c>
      <c r="K526" s="90">
        <v>9</v>
      </c>
      <c r="L526" s="42" t="s">
        <v>12</v>
      </c>
    </row>
    <row r="527" spans="1:12" x14ac:dyDescent="0.3">
      <c r="A527" s="83">
        <v>526</v>
      </c>
      <c r="B527" s="89">
        <v>72.8</v>
      </c>
      <c r="C527" s="89">
        <v>20.2</v>
      </c>
      <c r="D527" s="42">
        <v>2019</v>
      </c>
      <c r="E527" s="90">
        <v>11</v>
      </c>
      <c r="F527" s="42">
        <v>3</v>
      </c>
      <c r="G527" s="89">
        <v>3</v>
      </c>
      <c r="H527" s="42" t="s">
        <v>20</v>
      </c>
      <c r="I527" s="91">
        <v>18</v>
      </c>
      <c r="J527" s="90">
        <v>4</v>
      </c>
      <c r="K527" s="90">
        <v>39</v>
      </c>
      <c r="L527" s="42" t="s">
        <v>27</v>
      </c>
    </row>
    <row r="528" spans="1:12" x14ac:dyDescent="0.3">
      <c r="A528" s="83">
        <v>527</v>
      </c>
      <c r="B528" s="89">
        <v>72.778999999999996</v>
      </c>
      <c r="C528" s="89">
        <v>19.974</v>
      </c>
      <c r="D528" s="42">
        <v>2019</v>
      </c>
      <c r="E528" s="90">
        <v>11</v>
      </c>
      <c r="F528" s="42">
        <v>19</v>
      </c>
      <c r="G528" s="89">
        <v>3.5</v>
      </c>
      <c r="H528" s="42" t="s">
        <v>20</v>
      </c>
      <c r="I528" s="91">
        <v>11.7</v>
      </c>
      <c r="J528" s="90">
        <v>20</v>
      </c>
      <c r="K528" s="90">
        <v>5</v>
      </c>
      <c r="L528" s="42" t="s">
        <v>12</v>
      </c>
    </row>
    <row r="529" spans="1:12" x14ac:dyDescent="0.3">
      <c r="A529" s="83">
        <v>528</v>
      </c>
      <c r="B529" s="89">
        <v>72.822999999999993</v>
      </c>
      <c r="C529" s="89">
        <v>19.966000000000001</v>
      </c>
      <c r="D529" s="42">
        <v>2019</v>
      </c>
      <c r="E529" s="90">
        <v>11</v>
      </c>
      <c r="F529" s="42">
        <v>19</v>
      </c>
      <c r="G529" s="89">
        <v>3</v>
      </c>
      <c r="H529" s="42" t="s">
        <v>19</v>
      </c>
      <c r="I529" s="91">
        <v>13.7</v>
      </c>
      <c r="J529" s="90">
        <v>20</v>
      </c>
      <c r="K529" s="90">
        <v>26</v>
      </c>
      <c r="L529" s="42" t="s">
        <v>12</v>
      </c>
    </row>
    <row r="530" spans="1:12" x14ac:dyDescent="0.3">
      <c r="A530" s="83">
        <v>529</v>
      </c>
      <c r="B530" s="89">
        <v>72.78</v>
      </c>
      <c r="C530" s="89">
        <v>19.97</v>
      </c>
      <c r="D530" s="42">
        <v>2019</v>
      </c>
      <c r="E530" s="90">
        <v>11</v>
      </c>
      <c r="F530" s="42">
        <v>20</v>
      </c>
      <c r="G530" s="89">
        <v>3.5</v>
      </c>
      <c r="H530" s="42" t="s">
        <v>20</v>
      </c>
      <c r="I530" s="91">
        <v>11</v>
      </c>
      <c r="J530" s="90">
        <v>1</v>
      </c>
      <c r="K530" s="90">
        <v>35</v>
      </c>
      <c r="L530" s="42" t="s">
        <v>27</v>
      </c>
    </row>
    <row r="531" spans="1:12" x14ac:dyDescent="0.3">
      <c r="A531" s="83">
        <v>530</v>
      </c>
      <c r="B531" s="89">
        <v>72.819999999999993</v>
      </c>
      <c r="C531" s="89">
        <v>19.97</v>
      </c>
      <c r="D531" s="42">
        <v>2019</v>
      </c>
      <c r="E531" s="90">
        <v>11</v>
      </c>
      <c r="F531" s="42">
        <v>20</v>
      </c>
      <c r="G531" s="89">
        <v>3</v>
      </c>
      <c r="H531" s="42" t="s">
        <v>19</v>
      </c>
      <c r="I531" s="91">
        <v>13</v>
      </c>
      <c r="J531" s="90">
        <v>1</v>
      </c>
      <c r="K531" s="90">
        <v>56</v>
      </c>
      <c r="L531" s="42" t="s">
        <v>27</v>
      </c>
    </row>
    <row r="532" spans="1:12" x14ac:dyDescent="0.3">
      <c r="A532" s="83">
        <v>531</v>
      </c>
      <c r="B532" s="89">
        <v>72.105000000000004</v>
      </c>
      <c r="C532" s="89">
        <v>19.795999999999999</v>
      </c>
      <c r="D532" s="42">
        <v>2019</v>
      </c>
      <c r="E532" s="90">
        <v>11</v>
      </c>
      <c r="F532" s="42">
        <v>21</v>
      </c>
      <c r="G532" s="89">
        <v>3.5</v>
      </c>
      <c r="H532" s="42" t="s">
        <v>20</v>
      </c>
      <c r="I532" s="91">
        <v>25</v>
      </c>
      <c r="J532" s="90">
        <v>1</v>
      </c>
      <c r="K532" s="90">
        <v>50</v>
      </c>
      <c r="L532" s="42" t="s">
        <v>12</v>
      </c>
    </row>
    <row r="533" spans="1:12" x14ac:dyDescent="0.3">
      <c r="A533" s="83">
        <v>532</v>
      </c>
      <c r="B533" s="89">
        <v>72.11</v>
      </c>
      <c r="C533" s="89">
        <v>19.8</v>
      </c>
      <c r="D533" s="42">
        <v>2019</v>
      </c>
      <c r="E533" s="90">
        <v>11</v>
      </c>
      <c r="F533" s="42">
        <v>21</v>
      </c>
      <c r="G533" s="89">
        <v>3.5</v>
      </c>
      <c r="H533" s="42" t="s">
        <v>20</v>
      </c>
      <c r="I533" s="91">
        <v>25</v>
      </c>
      <c r="J533" s="90">
        <v>7</v>
      </c>
      <c r="K533" s="90">
        <v>20</v>
      </c>
      <c r="L533" s="42" t="s">
        <v>27</v>
      </c>
    </row>
    <row r="534" spans="1:12" x14ac:dyDescent="0.3">
      <c r="A534" s="83">
        <v>533</v>
      </c>
      <c r="B534" s="89">
        <v>72.846999999999994</v>
      </c>
      <c r="C534" s="89">
        <v>20.009</v>
      </c>
      <c r="D534" s="42">
        <v>2019</v>
      </c>
      <c r="E534" s="90">
        <v>11</v>
      </c>
      <c r="F534" s="42">
        <v>23</v>
      </c>
      <c r="G534" s="89">
        <v>3.4</v>
      </c>
      <c r="H534" s="42" t="s">
        <v>20</v>
      </c>
      <c r="I534" s="91">
        <v>10.9</v>
      </c>
      <c r="J534" s="90">
        <v>15</v>
      </c>
      <c r="K534" s="90">
        <v>10</v>
      </c>
      <c r="L534" s="42" t="s">
        <v>12</v>
      </c>
    </row>
    <row r="535" spans="1:12" x14ac:dyDescent="0.3">
      <c r="A535" s="83">
        <v>534</v>
      </c>
      <c r="B535" s="89">
        <v>72.849999999999994</v>
      </c>
      <c r="C535" s="89">
        <v>20.100000000000001</v>
      </c>
      <c r="D535" s="42">
        <v>2019</v>
      </c>
      <c r="E535" s="90">
        <v>11</v>
      </c>
      <c r="F535" s="42">
        <v>23</v>
      </c>
      <c r="G535" s="89">
        <v>3.4</v>
      </c>
      <c r="H535" s="42" t="s">
        <v>20</v>
      </c>
      <c r="I535" s="91">
        <v>10</v>
      </c>
      <c r="J535" s="90">
        <v>20</v>
      </c>
      <c r="K535" s="90">
        <v>40</v>
      </c>
      <c r="L535" s="42" t="s">
        <v>27</v>
      </c>
    </row>
    <row r="536" spans="1:12" x14ac:dyDescent="0.3">
      <c r="A536" s="83">
        <v>535</v>
      </c>
      <c r="B536" s="89">
        <v>72.908000000000001</v>
      </c>
      <c r="C536" s="89">
        <v>20.343</v>
      </c>
      <c r="D536" s="42">
        <v>2019</v>
      </c>
      <c r="E536" s="90">
        <v>12</v>
      </c>
      <c r="F536" s="42">
        <v>13</v>
      </c>
      <c r="G536" s="89">
        <v>3.1</v>
      </c>
      <c r="H536" s="42" t="s">
        <v>20</v>
      </c>
      <c r="I536" s="91">
        <v>4.4000000000000004</v>
      </c>
      <c r="J536" s="90">
        <v>10</v>
      </c>
      <c r="K536" s="90">
        <v>26</v>
      </c>
      <c r="L536" s="42" t="s">
        <v>12</v>
      </c>
    </row>
    <row r="537" spans="1:12" x14ac:dyDescent="0.3">
      <c r="A537" s="83">
        <v>536</v>
      </c>
      <c r="B537" s="89">
        <v>72.91</v>
      </c>
      <c r="C537" s="89">
        <v>20.34</v>
      </c>
      <c r="D537" s="42">
        <v>2019</v>
      </c>
      <c r="E537" s="90">
        <v>12</v>
      </c>
      <c r="F537" s="42">
        <v>13</v>
      </c>
      <c r="G537" s="89">
        <v>3.1</v>
      </c>
      <c r="H537" s="42" t="s">
        <v>20</v>
      </c>
      <c r="I537" s="91">
        <v>4</v>
      </c>
      <c r="J537" s="90">
        <v>15</v>
      </c>
      <c r="K537" s="90">
        <v>56</v>
      </c>
      <c r="L537" s="42" t="s">
        <v>27</v>
      </c>
    </row>
    <row r="538" spans="1:12" x14ac:dyDescent="0.3">
      <c r="A538" s="83">
        <v>537</v>
      </c>
      <c r="B538" s="89">
        <v>72.914000000000001</v>
      </c>
      <c r="C538" s="89">
        <v>20.045999999999999</v>
      </c>
      <c r="D538" s="42">
        <v>2019</v>
      </c>
      <c r="E538" s="90">
        <v>12</v>
      </c>
      <c r="F538" s="42">
        <v>13</v>
      </c>
      <c r="G538" s="89">
        <v>3.5</v>
      </c>
      <c r="H538" s="42" t="s">
        <v>20</v>
      </c>
      <c r="I538" s="91">
        <v>19.100000000000001</v>
      </c>
      <c r="J538" s="90">
        <v>16</v>
      </c>
      <c r="K538" s="90">
        <v>25</v>
      </c>
      <c r="L538" s="42" t="s">
        <v>12</v>
      </c>
    </row>
    <row r="539" spans="1:12" x14ac:dyDescent="0.3">
      <c r="A539" s="83">
        <v>538</v>
      </c>
      <c r="B539" s="89">
        <v>72.91</v>
      </c>
      <c r="C539" s="89">
        <v>20.5</v>
      </c>
      <c r="D539" s="42">
        <v>2019</v>
      </c>
      <c r="E539" s="90">
        <v>12</v>
      </c>
      <c r="F539" s="42">
        <v>13</v>
      </c>
      <c r="G539" s="89">
        <v>3.5</v>
      </c>
      <c r="H539" s="42" t="s">
        <v>20</v>
      </c>
      <c r="I539" s="91">
        <v>19</v>
      </c>
      <c r="J539" s="90">
        <v>21</v>
      </c>
      <c r="K539" s="90">
        <v>55</v>
      </c>
      <c r="L539" s="42" t="s">
        <v>27</v>
      </c>
    </row>
    <row r="540" spans="1:12" x14ac:dyDescent="0.3">
      <c r="A540" s="83">
        <v>539</v>
      </c>
      <c r="B540" s="89">
        <v>72.867000000000004</v>
      </c>
      <c r="C540" s="89">
        <v>20.062000000000001</v>
      </c>
      <c r="D540" s="42">
        <v>2019</v>
      </c>
      <c r="E540" s="90">
        <v>12</v>
      </c>
      <c r="F540" s="42">
        <v>13</v>
      </c>
      <c r="G540" s="89">
        <v>4</v>
      </c>
      <c r="H540" s="42" t="s">
        <v>20</v>
      </c>
      <c r="I540" s="91">
        <v>8.8000000000000007</v>
      </c>
      <c r="J540" s="90">
        <v>23</v>
      </c>
      <c r="K540" s="90">
        <v>52</v>
      </c>
      <c r="L540" s="42" t="s">
        <v>12</v>
      </c>
    </row>
    <row r="541" spans="1:12" x14ac:dyDescent="0.3">
      <c r="A541" s="83">
        <v>540</v>
      </c>
      <c r="B541" s="89">
        <v>73.172899999999998</v>
      </c>
      <c r="C541" s="89">
        <v>20.082899999999999</v>
      </c>
      <c r="D541" s="42">
        <v>2019</v>
      </c>
      <c r="E541" s="90">
        <v>12</v>
      </c>
      <c r="F541" s="42">
        <v>13</v>
      </c>
      <c r="G541" s="89">
        <v>4.3</v>
      </c>
      <c r="H541" s="42" t="s">
        <v>2</v>
      </c>
      <c r="I541" s="91">
        <v>10</v>
      </c>
      <c r="J541" s="90">
        <v>23</v>
      </c>
      <c r="K541" s="90">
        <v>52</v>
      </c>
      <c r="L541" s="42" t="s">
        <v>25</v>
      </c>
    </row>
    <row r="542" spans="1:12" x14ac:dyDescent="0.3">
      <c r="A542" s="83">
        <v>541</v>
      </c>
      <c r="B542" s="89">
        <v>72.87</v>
      </c>
      <c r="C542" s="89">
        <v>20.6</v>
      </c>
      <c r="D542" s="42">
        <v>2019</v>
      </c>
      <c r="E542" s="90">
        <v>12</v>
      </c>
      <c r="F542" s="42">
        <v>14</v>
      </c>
      <c r="G542" s="89">
        <v>4</v>
      </c>
      <c r="H542" s="42" t="s">
        <v>20</v>
      </c>
      <c r="I542" s="91">
        <v>8</v>
      </c>
      <c r="J542" s="90">
        <v>5</v>
      </c>
      <c r="K542" s="90">
        <v>22</v>
      </c>
      <c r="L542" s="42" t="s">
        <v>27</v>
      </c>
    </row>
    <row r="543" spans="1:12" x14ac:dyDescent="0.3">
      <c r="A543" s="83">
        <v>542</v>
      </c>
      <c r="B543" s="89">
        <v>72.813000000000002</v>
      </c>
      <c r="C543" s="89">
        <v>20.329000000000001</v>
      </c>
      <c r="D543" s="42">
        <v>2019</v>
      </c>
      <c r="E543" s="90">
        <v>12</v>
      </c>
      <c r="F543" s="42">
        <v>26</v>
      </c>
      <c r="G543" s="89">
        <v>3.1</v>
      </c>
      <c r="H543" s="42" t="s">
        <v>20</v>
      </c>
      <c r="I543" s="91">
        <v>10.3</v>
      </c>
      <c r="J543" s="90">
        <v>23</v>
      </c>
      <c r="K543" s="90">
        <v>57</v>
      </c>
      <c r="L543" s="42" t="s">
        <v>12</v>
      </c>
    </row>
    <row r="544" spans="1:12" x14ac:dyDescent="0.3">
      <c r="A544" s="83">
        <v>543</v>
      </c>
      <c r="B544" s="89">
        <v>72.81</v>
      </c>
      <c r="C544" s="89">
        <v>20.329999999999998</v>
      </c>
      <c r="D544" s="42">
        <v>2019</v>
      </c>
      <c r="E544" s="90">
        <v>12</v>
      </c>
      <c r="F544" s="42">
        <v>27</v>
      </c>
      <c r="G544" s="89">
        <v>3.1</v>
      </c>
      <c r="H544" s="42" t="s">
        <v>20</v>
      </c>
      <c r="I544" s="91">
        <v>10</v>
      </c>
      <c r="J544" s="90">
        <v>5</v>
      </c>
      <c r="K544" s="90">
        <v>27</v>
      </c>
      <c r="L544" s="42" t="s">
        <v>27</v>
      </c>
    </row>
    <row r="545" spans="1:12" x14ac:dyDescent="0.3">
      <c r="A545" s="83">
        <v>544</v>
      </c>
      <c r="B545" s="89">
        <v>72.709999999999994</v>
      </c>
      <c r="C545" s="89">
        <v>19.96</v>
      </c>
      <c r="D545" s="42">
        <v>2020</v>
      </c>
      <c r="E545" s="90">
        <v>3</v>
      </c>
      <c r="F545" s="42">
        <v>10</v>
      </c>
      <c r="G545" s="89">
        <v>3.1</v>
      </c>
      <c r="H545" s="42" t="s">
        <v>20</v>
      </c>
      <c r="I545" s="91">
        <v>10</v>
      </c>
      <c r="J545" s="90">
        <v>1</v>
      </c>
      <c r="K545" s="90">
        <v>24</v>
      </c>
      <c r="L545" s="42" t="s">
        <v>27</v>
      </c>
    </row>
    <row r="546" spans="1:12" x14ac:dyDescent="0.3">
      <c r="A546" s="83">
        <v>545</v>
      </c>
      <c r="B546" s="89">
        <v>75.36</v>
      </c>
      <c r="C546" s="89">
        <v>26.96</v>
      </c>
      <c r="D546" s="42">
        <v>2020</v>
      </c>
      <c r="E546" s="90">
        <v>3</v>
      </c>
      <c r="F546" s="42">
        <v>17</v>
      </c>
      <c r="G546" s="89">
        <v>3</v>
      </c>
      <c r="H546" s="42" t="s">
        <v>20</v>
      </c>
      <c r="I546" s="91">
        <v>10</v>
      </c>
      <c r="J546" s="90">
        <v>5</v>
      </c>
      <c r="K546" s="90">
        <v>26</v>
      </c>
      <c r="L546" s="42" t="s">
        <v>27</v>
      </c>
    </row>
    <row r="547" spans="1:12" x14ac:dyDescent="0.3">
      <c r="A547" s="83">
        <v>546</v>
      </c>
      <c r="B547" s="89">
        <v>72.81</v>
      </c>
      <c r="C547" s="89">
        <v>19.93</v>
      </c>
      <c r="D547" s="42">
        <v>2020</v>
      </c>
      <c r="E547" s="90">
        <v>3</v>
      </c>
      <c r="F547" s="42">
        <v>19</v>
      </c>
      <c r="G547" s="89">
        <v>3.5</v>
      </c>
      <c r="H547" s="42" t="s">
        <v>20</v>
      </c>
      <c r="I547" s="91">
        <v>21</v>
      </c>
      <c r="J547" s="90">
        <v>9</v>
      </c>
      <c r="K547" s="90">
        <v>19</v>
      </c>
      <c r="L547" s="42" t="s">
        <v>27</v>
      </c>
    </row>
    <row r="548" spans="1:12" x14ac:dyDescent="0.3">
      <c r="A548" s="83">
        <v>547</v>
      </c>
      <c r="B548" s="89">
        <v>72.87</v>
      </c>
      <c r="C548" s="89">
        <v>20.5</v>
      </c>
      <c r="D548" s="42">
        <v>2020</v>
      </c>
      <c r="E548" s="90">
        <v>4</v>
      </c>
      <c r="F548" s="42">
        <v>1</v>
      </c>
      <c r="G548" s="89">
        <v>3</v>
      </c>
      <c r="H548" s="42" t="s">
        <v>20</v>
      </c>
      <c r="I548" s="91">
        <v>12</v>
      </c>
      <c r="J548" s="90">
        <v>23</v>
      </c>
      <c r="K548" s="90">
        <v>39</v>
      </c>
      <c r="L548" s="42" t="s">
        <v>27</v>
      </c>
    </row>
    <row r="549" spans="1:12" x14ac:dyDescent="0.3">
      <c r="A549" s="83">
        <v>548</v>
      </c>
      <c r="B549" s="89">
        <v>72.94</v>
      </c>
      <c r="C549" s="89">
        <v>20.100000000000001</v>
      </c>
      <c r="D549" s="42">
        <v>2020</v>
      </c>
      <c r="E549" s="90">
        <v>4</v>
      </c>
      <c r="F549" s="42">
        <v>6</v>
      </c>
      <c r="G549" s="89">
        <v>3.1</v>
      </c>
      <c r="H549" s="42" t="s">
        <v>20</v>
      </c>
      <c r="I549" s="91">
        <v>11</v>
      </c>
      <c r="J549" s="90">
        <v>0</v>
      </c>
      <c r="K549" s="90">
        <v>18</v>
      </c>
      <c r="L549" s="42" t="s">
        <v>27</v>
      </c>
    </row>
    <row r="550" spans="1:12" x14ac:dyDescent="0.3">
      <c r="A550" s="83">
        <v>549</v>
      </c>
      <c r="B550" s="89">
        <v>78.58</v>
      </c>
      <c r="C550" s="89">
        <v>20.63</v>
      </c>
      <c r="D550" s="42">
        <v>2020</v>
      </c>
      <c r="E550" s="90">
        <v>4</v>
      </c>
      <c r="F550" s="42">
        <v>22</v>
      </c>
      <c r="G550" s="89">
        <v>3.2</v>
      </c>
      <c r="H550" s="42" t="s">
        <v>20</v>
      </c>
      <c r="I550" s="91">
        <v>5</v>
      </c>
      <c r="J550" s="90">
        <v>15</v>
      </c>
      <c r="K550" s="90">
        <v>15</v>
      </c>
      <c r="L550" s="42" t="s">
        <v>27</v>
      </c>
    </row>
    <row r="551" spans="1:12" x14ac:dyDescent="0.3">
      <c r="A551" s="83">
        <v>550</v>
      </c>
      <c r="B551" s="89">
        <v>77.319999999999993</v>
      </c>
      <c r="C551" s="89">
        <v>19.79</v>
      </c>
      <c r="D551" s="42">
        <v>2020</v>
      </c>
      <c r="E551" s="90">
        <v>4</v>
      </c>
      <c r="F551" s="42">
        <v>27</v>
      </c>
      <c r="G551" s="89">
        <v>3.1</v>
      </c>
      <c r="H551" s="42" t="s">
        <v>20</v>
      </c>
      <c r="I551" s="91">
        <v>11</v>
      </c>
      <c r="J551" s="90">
        <v>22</v>
      </c>
      <c r="K551" s="90">
        <v>55</v>
      </c>
      <c r="L551" s="42" t="s">
        <v>27</v>
      </c>
    </row>
    <row r="552" spans="1:12" x14ac:dyDescent="0.3">
      <c r="A552" s="83">
        <v>551</v>
      </c>
      <c r="B552" s="89">
        <v>77.23</v>
      </c>
      <c r="C552" s="89">
        <v>19.309999999999999</v>
      </c>
      <c r="D552" s="42">
        <v>2020</v>
      </c>
      <c r="E552" s="90">
        <v>6</v>
      </c>
      <c r="F552" s="42">
        <v>2</v>
      </c>
      <c r="G552" s="89">
        <v>3</v>
      </c>
      <c r="H552" s="42" t="s">
        <v>20</v>
      </c>
      <c r="I552" s="91">
        <v>20</v>
      </c>
      <c r="J552" s="90">
        <v>7</v>
      </c>
      <c r="K552" s="90">
        <v>9</v>
      </c>
      <c r="L552" s="42" t="s">
        <v>27</v>
      </c>
    </row>
    <row r="553" spans="1:12" x14ac:dyDescent="0.3">
      <c r="A553" s="83">
        <v>552</v>
      </c>
      <c r="B553" s="89">
        <v>77.2</v>
      </c>
      <c r="C553" s="89">
        <v>19.489999999999998</v>
      </c>
      <c r="D553" s="42">
        <v>2020</v>
      </c>
      <c r="E553" s="90">
        <v>6</v>
      </c>
      <c r="F553" s="42">
        <v>23</v>
      </c>
      <c r="G553" s="89">
        <v>3</v>
      </c>
      <c r="H553" s="42" t="s">
        <v>20</v>
      </c>
      <c r="I553" s="91">
        <v>5</v>
      </c>
      <c r="J553" s="90">
        <v>17</v>
      </c>
      <c r="K553" s="90">
        <v>28</v>
      </c>
      <c r="L553" s="42" t="s">
        <v>27</v>
      </c>
    </row>
    <row r="554" spans="1:12" x14ac:dyDescent="0.3">
      <c r="A554" s="83">
        <v>553</v>
      </c>
      <c r="B554" s="89">
        <v>70.992800000000003</v>
      </c>
      <c r="C554" s="89">
        <v>22.255800000000001</v>
      </c>
      <c r="D554" s="42">
        <v>2020</v>
      </c>
      <c r="E554" s="90">
        <v>7</v>
      </c>
      <c r="F554" s="42">
        <v>16</v>
      </c>
      <c r="G554" s="89">
        <v>4.0999999999999996</v>
      </c>
      <c r="H554" s="42" t="s">
        <v>2</v>
      </c>
      <c r="I554" s="91">
        <v>10</v>
      </c>
      <c r="J554" s="90">
        <v>2</v>
      </c>
      <c r="K554" s="90">
        <v>10</v>
      </c>
      <c r="L554" s="42" t="s">
        <v>25</v>
      </c>
    </row>
    <row r="555" spans="1:12" x14ac:dyDescent="0.3">
      <c r="A555" s="83">
        <v>554</v>
      </c>
      <c r="B555" s="89">
        <v>73.218999999999994</v>
      </c>
      <c r="C555" s="89">
        <v>21.5017</v>
      </c>
      <c r="D555" s="42">
        <v>2020</v>
      </c>
      <c r="E555" s="90">
        <v>11</v>
      </c>
      <c r="F555" s="42">
        <v>7</v>
      </c>
      <c r="G555" s="89">
        <v>3.9</v>
      </c>
      <c r="H555" s="42" t="s">
        <v>2</v>
      </c>
      <c r="I555" s="91">
        <v>10</v>
      </c>
      <c r="J555" s="90">
        <v>10</v>
      </c>
      <c r="K555" s="90">
        <v>9</v>
      </c>
      <c r="L555" s="42" t="s">
        <v>25</v>
      </c>
    </row>
    <row r="556" spans="1:12" x14ac:dyDescent="0.3">
      <c r="A556" s="83">
        <v>555</v>
      </c>
      <c r="B556" s="89">
        <v>79.634200000000007</v>
      </c>
      <c r="C556" s="89">
        <v>22.140699999999999</v>
      </c>
      <c r="D556" s="42">
        <v>2020</v>
      </c>
      <c r="E556" s="90">
        <v>11</v>
      </c>
      <c r="F556" s="42">
        <v>21</v>
      </c>
      <c r="G556" s="89">
        <v>4.3</v>
      </c>
      <c r="H556" s="42" t="s">
        <v>2</v>
      </c>
      <c r="I556" s="91">
        <v>10</v>
      </c>
      <c r="J556" s="90">
        <v>20</v>
      </c>
      <c r="K556" s="90">
        <v>15</v>
      </c>
      <c r="L556" s="42" t="s">
        <v>25</v>
      </c>
    </row>
  </sheetData>
  <sortState xmlns:xlrd2="http://schemas.microsoft.com/office/spreadsheetml/2017/richdata2" ref="B2:L556">
    <sortCondition ref="D2:D556"/>
    <sortCondition ref="E2:E556"/>
    <sortCondition ref="F2:F556"/>
    <sortCondition ref="J2:J556"/>
    <sortCondition ref="K2:K55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56"/>
  <sheetViews>
    <sheetView workbookViewId="0">
      <selection activeCell="G17" sqref="G17"/>
    </sheetView>
  </sheetViews>
  <sheetFormatPr defaultColWidth="9.109375" defaultRowHeight="14.4" x14ac:dyDescent="0.3"/>
  <cols>
    <col min="1" max="1" width="13.5546875" bestFit="1" customWidth="1"/>
    <col min="2" max="2" width="14.44140625" bestFit="1" customWidth="1"/>
    <col min="3" max="3" width="12.88671875" bestFit="1" customWidth="1"/>
    <col min="4" max="4" width="9.5546875" bestFit="1" customWidth="1"/>
    <col min="5" max="5" width="11.5546875" bestFit="1" customWidth="1"/>
    <col min="6" max="6" width="9.6640625" bestFit="1" customWidth="1"/>
    <col min="7" max="7" width="9" bestFit="1" customWidth="1"/>
    <col min="8" max="8" width="14.109375" bestFit="1" customWidth="1"/>
    <col min="9" max="9" width="11" bestFit="1" customWidth="1"/>
    <col min="10" max="10" width="10.6640625" customWidth="1"/>
    <col min="11" max="11" width="13" bestFit="1" customWidth="1"/>
    <col min="12" max="12" width="10.6640625" customWidth="1"/>
  </cols>
  <sheetData>
    <row r="1" spans="1:12" x14ac:dyDescent="0.3">
      <c r="A1" s="1" t="s">
        <v>30</v>
      </c>
      <c r="B1" s="1" t="s">
        <v>61</v>
      </c>
      <c r="C1" s="1" t="s">
        <v>62</v>
      </c>
      <c r="D1" s="1" t="s">
        <v>31</v>
      </c>
      <c r="E1" s="1" t="s">
        <v>63</v>
      </c>
      <c r="F1" s="1" t="s">
        <v>64</v>
      </c>
      <c r="G1" s="1" t="s">
        <v>26</v>
      </c>
      <c r="H1" s="1" t="s">
        <v>5</v>
      </c>
      <c r="I1" s="1" t="s">
        <v>0</v>
      </c>
      <c r="J1" s="1" t="s">
        <v>65</v>
      </c>
      <c r="K1" s="1" t="s">
        <v>66</v>
      </c>
      <c r="L1" s="1" t="s">
        <v>67</v>
      </c>
    </row>
    <row r="2" spans="1:12" x14ac:dyDescent="0.3">
      <c r="A2" s="17">
        <v>1</v>
      </c>
      <c r="B2" s="79">
        <v>73.2</v>
      </c>
      <c r="C2" s="79">
        <v>19.100000000000001</v>
      </c>
      <c r="D2" s="11">
        <v>1678</v>
      </c>
      <c r="E2" s="10">
        <v>0</v>
      </c>
      <c r="F2" s="10">
        <v>0</v>
      </c>
      <c r="G2" s="2">
        <v>5</v>
      </c>
      <c r="H2" s="3" t="s">
        <v>26</v>
      </c>
      <c r="I2" s="7">
        <v>0</v>
      </c>
      <c r="J2" s="10">
        <v>0</v>
      </c>
      <c r="K2" s="10">
        <v>0</v>
      </c>
      <c r="L2" s="11">
        <v>11</v>
      </c>
    </row>
    <row r="3" spans="1:12" x14ac:dyDescent="0.3">
      <c r="A3" s="17">
        <v>2</v>
      </c>
      <c r="B3" s="79">
        <v>72.150000000000006</v>
      </c>
      <c r="C3" s="79">
        <v>21.75</v>
      </c>
      <c r="D3" s="11">
        <v>1705</v>
      </c>
      <c r="E3" s="10">
        <v>2</v>
      </c>
      <c r="F3" s="10">
        <v>4</v>
      </c>
      <c r="G3" s="2">
        <v>7</v>
      </c>
      <c r="H3" s="3" t="s">
        <v>26</v>
      </c>
      <c r="I3" s="7">
        <v>0</v>
      </c>
      <c r="J3" s="10">
        <v>0</v>
      </c>
      <c r="K3" s="10">
        <v>0</v>
      </c>
      <c r="L3" s="11">
        <v>5</v>
      </c>
    </row>
    <row r="4" spans="1:12" x14ac:dyDescent="0.3">
      <c r="A4" s="17">
        <v>3</v>
      </c>
      <c r="B4" s="79">
        <v>73.2</v>
      </c>
      <c r="C4" s="79">
        <v>19.100000000000001</v>
      </c>
      <c r="D4" s="11">
        <v>1751</v>
      </c>
      <c r="E4" s="11">
        <v>12</v>
      </c>
      <c r="F4" s="10">
        <v>9</v>
      </c>
      <c r="G4" s="2">
        <v>4.3</v>
      </c>
      <c r="H4" s="3" t="s">
        <v>26</v>
      </c>
      <c r="I4" s="7">
        <v>0</v>
      </c>
      <c r="J4" s="10">
        <v>0</v>
      </c>
      <c r="K4" s="10">
        <v>0</v>
      </c>
      <c r="L4" s="11">
        <v>11</v>
      </c>
    </row>
    <row r="5" spans="1:12" x14ac:dyDescent="0.3">
      <c r="A5" s="17">
        <v>4</v>
      </c>
      <c r="B5" s="79">
        <v>73.3</v>
      </c>
      <c r="C5" s="79">
        <v>19.100000000000001</v>
      </c>
      <c r="D5" s="11">
        <v>1752</v>
      </c>
      <c r="E5" s="10">
        <v>1</v>
      </c>
      <c r="F5" s="10">
        <v>5</v>
      </c>
      <c r="G5" s="2">
        <v>4.3</v>
      </c>
      <c r="H5" s="3" t="s">
        <v>26</v>
      </c>
      <c r="I5" s="7">
        <v>0</v>
      </c>
      <c r="J5" s="10">
        <v>0</v>
      </c>
      <c r="K5" s="10">
        <v>0</v>
      </c>
      <c r="L5" s="11">
        <v>11</v>
      </c>
    </row>
    <row r="6" spans="1:12" x14ac:dyDescent="0.3">
      <c r="A6" s="17">
        <v>5</v>
      </c>
      <c r="B6" s="79">
        <v>73.400000000000006</v>
      </c>
      <c r="C6" s="79">
        <v>18.7</v>
      </c>
      <c r="D6" s="11">
        <v>1752</v>
      </c>
      <c r="E6" s="10">
        <v>2</v>
      </c>
      <c r="F6" s="10">
        <v>5</v>
      </c>
      <c r="G6" s="2">
        <v>4.3</v>
      </c>
      <c r="H6" s="3" t="s">
        <v>26</v>
      </c>
      <c r="I6" s="7">
        <v>0</v>
      </c>
      <c r="J6" s="10">
        <v>0</v>
      </c>
      <c r="K6" s="10">
        <v>0</v>
      </c>
      <c r="L6" s="11">
        <v>11</v>
      </c>
    </row>
    <row r="7" spans="1:12" x14ac:dyDescent="0.3">
      <c r="A7" s="17">
        <v>6</v>
      </c>
      <c r="B7" s="79">
        <v>73</v>
      </c>
      <c r="C7" s="79">
        <v>18.5</v>
      </c>
      <c r="D7" s="11">
        <v>1792</v>
      </c>
      <c r="E7" s="10">
        <v>5</v>
      </c>
      <c r="F7" s="11">
        <v>29</v>
      </c>
      <c r="G7" s="2">
        <v>4.3</v>
      </c>
      <c r="H7" s="3" t="s">
        <v>26</v>
      </c>
      <c r="I7" s="7">
        <v>0</v>
      </c>
      <c r="J7" s="10">
        <v>0</v>
      </c>
      <c r="K7" s="10">
        <v>0</v>
      </c>
      <c r="L7" s="11">
        <v>11</v>
      </c>
    </row>
    <row r="8" spans="1:12" x14ac:dyDescent="0.3">
      <c r="A8" s="17">
        <v>7</v>
      </c>
      <c r="B8" s="79">
        <v>80.3</v>
      </c>
      <c r="C8" s="79">
        <v>25.5</v>
      </c>
      <c r="D8" s="11">
        <v>1808</v>
      </c>
      <c r="E8" s="10">
        <v>6</v>
      </c>
      <c r="F8" s="10">
        <v>4</v>
      </c>
      <c r="G8" s="2">
        <v>4.3</v>
      </c>
      <c r="H8" s="3" t="s">
        <v>26</v>
      </c>
      <c r="I8" s="7">
        <v>0</v>
      </c>
      <c r="J8" s="10">
        <v>0</v>
      </c>
      <c r="K8" s="10">
        <v>0</v>
      </c>
      <c r="L8" s="11">
        <v>15</v>
      </c>
    </row>
    <row r="9" spans="1:12" x14ac:dyDescent="0.3">
      <c r="A9" s="17">
        <v>8</v>
      </c>
      <c r="B9" s="79">
        <v>72.7</v>
      </c>
      <c r="C9" s="79">
        <v>23</v>
      </c>
      <c r="D9" s="11">
        <v>1840</v>
      </c>
      <c r="E9" s="11">
        <v>11</v>
      </c>
      <c r="F9" s="11">
        <v>10</v>
      </c>
      <c r="G9" s="2">
        <v>4.3</v>
      </c>
      <c r="H9" s="3" t="s">
        <v>26</v>
      </c>
      <c r="I9" s="7">
        <v>0</v>
      </c>
      <c r="J9" s="10">
        <v>0</v>
      </c>
      <c r="K9" s="10">
        <v>0</v>
      </c>
      <c r="L9" s="11">
        <v>11</v>
      </c>
    </row>
    <row r="10" spans="1:12" x14ac:dyDescent="0.3">
      <c r="A10" s="17">
        <v>9</v>
      </c>
      <c r="B10" s="79">
        <v>78</v>
      </c>
      <c r="C10" s="79">
        <v>27</v>
      </c>
      <c r="D10" s="11">
        <v>1842</v>
      </c>
      <c r="E10" s="10">
        <v>1</v>
      </c>
      <c r="F10" s="11">
        <v>16</v>
      </c>
      <c r="G10" s="2">
        <v>5.5</v>
      </c>
      <c r="H10" s="3" t="s">
        <v>26</v>
      </c>
      <c r="I10" s="7">
        <v>0</v>
      </c>
      <c r="J10" s="10">
        <v>0</v>
      </c>
      <c r="K10" s="10">
        <v>0</v>
      </c>
      <c r="L10" s="11">
        <v>2</v>
      </c>
    </row>
    <row r="11" spans="1:12" x14ac:dyDescent="0.3">
      <c r="A11" s="17">
        <v>10</v>
      </c>
      <c r="B11" s="79">
        <v>73.2</v>
      </c>
      <c r="C11" s="79">
        <v>22.3</v>
      </c>
      <c r="D11" s="11">
        <v>1842</v>
      </c>
      <c r="E11" s="11">
        <v>10</v>
      </c>
      <c r="F11" s="10">
        <v>9</v>
      </c>
      <c r="G11" s="2">
        <v>4.3</v>
      </c>
      <c r="H11" s="3" t="s">
        <v>26</v>
      </c>
      <c r="I11" s="7">
        <v>0</v>
      </c>
      <c r="J11" s="10">
        <v>0</v>
      </c>
      <c r="K11" s="10">
        <v>0</v>
      </c>
      <c r="L11" s="11">
        <v>11</v>
      </c>
    </row>
    <row r="12" spans="1:12" x14ac:dyDescent="0.3">
      <c r="A12" s="17">
        <v>11</v>
      </c>
      <c r="B12" s="79">
        <v>72.7</v>
      </c>
      <c r="C12" s="79">
        <v>23</v>
      </c>
      <c r="D12" s="11">
        <v>1843</v>
      </c>
      <c r="E12" s="10">
        <v>2</v>
      </c>
      <c r="F12" s="10">
        <v>8</v>
      </c>
      <c r="G12" s="2">
        <v>4.2</v>
      </c>
      <c r="H12" s="3" t="s">
        <v>26</v>
      </c>
      <c r="I12" s="7">
        <v>0</v>
      </c>
      <c r="J12" s="10">
        <v>0</v>
      </c>
      <c r="K12" s="10">
        <v>0</v>
      </c>
      <c r="L12" s="11">
        <v>18</v>
      </c>
    </row>
    <row r="13" spans="1:12" x14ac:dyDescent="0.3">
      <c r="A13" s="17">
        <v>12</v>
      </c>
      <c r="B13" s="79">
        <v>79.3</v>
      </c>
      <c r="C13" s="79">
        <v>23.5</v>
      </c>
      <c r="D13" s="11">
        <v>1846</v>
      </c>
      <c r="E13" s="10">
        <v>5</v>
      </c>
      <c r="F13" s="11">
        <v>27</v>
      </c>
      <c r="G13" s="2">
        <v>6.5</v>
      </c>
      <c r="H13" s="3" t="s">
        <v>26</v>
      </c>
      <c r="I13" s="7">
        <v>0</v>
      </c>
      <c r="J13" s="10">
        <v>0</v>
      </c>
      <c r="K13" s="10">
        <v>0</v>
      </c>
      <c r="L13" s="11">
        <v>2</v>
      </c>
    </row>
    <row r="14" spans="1:12" x14ac:dyDescent="0.3">
      <c r="A14" s="17">
        <v>13</v>
      </c>
      <c r="B14" s="80">
        <v>79.3</v>
      </c>
      <c r="C14" s="80">
        <v>23.5</v>
      </c>
      <c r="D14" s="3">
        <v>1846</v>
      </c>
      <c r="E14" s="3">
        <v>5</v>
      </c>
      <c r="F14" s="3">
        <v>27</v>
      </c>
      <c r="G14" s="2">
        <v>6.5</v>
      </c>
      <c r="H14" s="3" t="s">
        <v>26</v>
      </c>
      <c r="I14" s="14">
        <v>0</v>
      </c>
      <c r="J14" s="12">
        <v>5</v>
      </c>
      <c r="K14" s="12">
        <v>53</v>
      </c>
      <c r="L14" s="3" t="s">
        <v>27</v>
      </c>
    </row>
    <row r="15" spans="1:12" x14ac:dyDescent="0.3">
      <c r="A15" s="17">
        <v>14</v>
      </c>
      <c r="B15" s="79">
        <v>75</v>
      </c>
      <c r="C15" s="79">
        <v>21.4</v>
      </c>
      <c r="D15" s="11">
        <v>1847</v>
      </c>
      <c r="E15" s="10">
        <v>5</v>
      </c>
      <c r="F15" s="11">
        <v>27</v>
      </c>
      <c r="G15" s="2">
        <v>6.5</v>
      </c>
      <c r="H15" s="3" t="s">
        <v>26</v>
      </c>
      <c r="I15" s="7">
        <v>0</v>
      </c>
      <c r="J15" s="10">
        <v>0</v>
      </c>
      <c r="K15" s="10">
        <v>0</v>
      </c>
      <c r="L15" s="11">
        <v>2</v>
      </c>
    </row>
    <row r="16" spans="1:12" x14ac:dyDescent="0.3">
      <c r="A16" s="17">
        <v>15</v>
      </c>
      <c r="B16" s="80">
        <v>75</v>
      </c>
      <c r="C16" s="80">
        <v>21.4</v>
      </c>
      <c r="D16" s="3">
        <v>1847</v>
      </c>
      <c r="E16" s="3">
        <v>5</v>
      </c>
      <c r="F16" s="3">
        <v>27</v>
      </c>
      <c r="G16" s="2">
        <v>6.5</v>
      </c>
      <c r="H16" s="3" t="s">
        <v>26</v>
      </c>
      <c r="I16" s="14">
        <v>0</v>
      </c>
      <c r="J16" s="12">
        <v>5</v>
      </c>
      <c r="K16" s="12">
        <v>53</v>
      </c>
      <c r="L16" s="3" t="s">
        <v>27</v>
      </c>
    </row>
    <row r="17" spans="1:12" x14ac:dyDescent="0.3">
      <c r="A17" s="17">
        <v>16</v>
      </c>
      <c r="B17" s="79">
        <v>72.7</v>
      </c>
      <c r="C17" s="79">
        <v>24.4</v>
      </c>
      <c r="D17" s="11">
        <v>1848</v>
      </c>
      <c r="E17" s="10">
        <v>4</v>
      </c>
      <c r="F17" s="11">
        <v>26</v>
      </c>
      <c r="G17" s="2">
        <v>6</v>
      </c>
      <c r="H17" s="3" t="s">
        <v>26</v>
      </c>
      <c r="I17" s="7">
        <v>0</v>
      </c>
      <c r="J17" s="10">
        <v>0</v>
      </c>
      <c r="K17" s="10">
        <v>0</v>
      </c>
      <c r="L17" s="11">
        <v>2</v>
      </c>
    </row>
    <row r="18" spans="1:12" x14ac:dyDescent="0.3">
      <c r="A18" s="17">
        <v>17</v>
      </c>
      <c r="B18" s="80">
        <v>72.7</v>
      </c>
      <c r="C18" s="80">
        <v>24.4</v>
      </c>
      <c r="D18" s="3">
        <v>1848</v>
      </c>
      <c r="E18" s="3">
        <v>4</v>
      </c>
      <c r="F18" s="3">
        <v>26</v>
      </c>
      <c r="G18" s="2">
        <v>6</v>
      </c>
      <c r="H18" s="3" t="s">
        <v>26</v>
      </c>
      <c r="I18" s="14">
        <v>0</v>
      </c>
      <c r="J18" s="12">
        <v>5</v>
      </c>
      <c r="K18" s="12">
        <v>53</v>
      </c>
      <c r="L18" s="3" t="s">
        <v>27</v>
      </c>
    </row>
    <row r="19" spans="1:12" x14ac:dyDescent="0.3">
      <c r="A19" s="17">
        <v>18</v>
      </c>
      <c r="B19" s="79">
        <v>73.2</v>
      </c>
      <c r="C19" s="79">
        <v>25.2</v>
      </c>
      <c r="D19" s="11">
        <v>1849</v>
      </c>
      <c r="E19" s="10">
        <v>1</v>
      </c>
      <c r="F19" s="10">
        <v>2</v>
      </c>
      <c r="G19" s="2">
        <v>4.0999999999999996</v>
      </c>
      <c r="H19" s="3" t="s">
        <v>26</v>
      </c>
      <c r="I19" s="7">
        <v>0</v>
      </c>
      <c r="J19" s="10">
        <v>0</v>
      </c>
      <c r="K19" s="10">
        <v>0</v>
      </c>
      <c r="L19" s="11">
        <v>18</v>
      </c>
    </row>
    <row r="20" spans="1:12" x14ac:dyDescent="0.3">
      <c r="A20" s="17">
        <v>19</v>
      </c>
      <c r="B20" s="79">
        <v>73.2</v>
      </c>
      <c r="C20" s="79">
        <v>25.2</v>
      </c>
      <c r="D20" s="11">
        <v>1849</v>
      </c>
      <c r="E20" s="10">
        <v>6</v>
      </c>
      <c r="F20" s="10">
        <v>2</v>
      </c>
      <c r="G20" s="2">
        <v>4.7</v>
      </c>
      <c r="H20" s="3" t="s">
        <v>26</v>
      </c>
      <c r="I20" s="7">
        <v>0</v>
      </c>
      <c r="J20" s="10">
        <v>0</v>
      </c>
      <c r="K20" s="10">
        <v>0</v>
      </c>
      <c r="L20" s="11">
        <v>11</v>
      </c>
    </row>
    <row r="21" spans="1:12" x14ac:dyDescent="0.3">
      <c r="A21" s="17">
        <v>20</v>
      </c>
      <c r="B21" s="80">
        <v>73</v>
      </c>
      <c r="C21" s="80">
        <v>20</v>
      </c>
      <c r="D21" s="3">
        <v>1856</v>
      </c>
      <c r="E21" s="3">
        <v>12</v>
      </c>
      <c r="F21" s="3">
        <v>25</v>
      </c>
      <c r="G21" s="2">
        <v>5</v>
      </c>
      <c r="H21" s="3" t="s">
        <v>26</v>
      </c>
      <c r="I21" s="14">
        <v>0</v>
      </c>
      <c r="J21" s="12">
        <v>5</v>
      </c>
      <c r="K21" s="12">
        <v>53</v>
      </c>
      <c r="L21" s="3" t="s">
        <v>27</v>
      </c>
    </row>
    <row r="22" spans="1:12" x14ac:dyDescent="0.3">
      <c r="A22" s="17">
        <v>21</v>
      </c>
      <c r="B22" s="79">
        <v>75.3</v>
      </c>
      <c r="C22" s="79">
        <v>21.8</v>
      </c>
      <c r="D22" s="11">
        <v>1863</v>
      </c>
      <c r="E22" s="11">
        <v>11</v>
      </c>
      <c r="F22" s="10">
        <v>8</v>
      </c>
      <c r="G22" s="2">
        <v>5.7</v>
      </c>
      <c r="H22" s="3" t="s">
        <v>26</v>
      </c>
      <c r="I22" s="7">
        <v>0</v>
      </c>
      <c r="J22" s="10">
        <v>0</v>
      </c>
      <c r="K22" s="10">
        <v>0</v>
      </c>
      <c r="L22" s="11">
        <v>11</v>
      </c>
    </row>
    <row r="23" spans="1:12" x14ac:dyDescent="0.3">
      <c r="A23" s="17">
        <v>22</v>
      </c>
      <c r="B23" s="79">
        <v>75</v>
      </c>
      <c r="C23" s="79">
        <v>22</v>
      </c>
      <c r="D23" s="11">
        <v>1863</v>
      </c>
      <c r="E23" s="11">
        <v>11</v>
      </c>
      <c r="F23" s="11">
        <v>18</v>
      </c>
      <c r="G23" s="2">
        <v>5</v>
      </c>
      <c r="H23" s="3" t="s">
        <v>26</v>
      </c>
      <c r="I23" s="7">
        <v>0</v>
      </c>
      <c r="J23" s="10">
        <v>0</v>
      </c>
      <c r="K23" s="10">
        <v>0</v>
      </c>
      <c r="L23" s="11">
        <v>2</v>
      </c>
    </row>
    <row r="24" spans="1:12" x14ac:dyDescent="0.3">
      <c r="A24" s="17">
        <v>23</v>
      </c>
      <c r="B24" s="80">
        <v>75</v>
      </c>
      <c r="C24" s="80">
        <v>22</v>
      </c>
      <c r="D24" s="3">
        <v>1863</v>
      </c>
      <c r="E24" s="3">
        <v>11</v>
      </c>
      <c r="F24" s="3">
        <v>18</v>
      </c>
      <c r="G24" s="2">
        <v>5</v>
      </c>
      <c r="H24" s="3" t="s">
        <v>26</v>
      </c>
      <c r="I24" s="14">
        <v>0</v>
      </c>
      <c r="J24" s="12">
        <v>5</v>
      </c>
      <c r="K24" s="12">
        <v>53</v>
      </c>
      <c r="L24" s="3" t="s">
        <v>27</v>
      </c>
    </row>
    <row r="25" spans="1:12" x14ac:dyDescent="0.3">
      <c r="A25" s="17">
        <v>24</v>
      </c>
      <c r="B25" s="79">
        <v>74.2</v>
      </c>
      <c r="C25" s="79">
        <v>20.2</v>
      </c>
      <c r="D25" s="11">
        <v>1869</v>
      </c>
      <c r="E25" s="10">
        <v>7</v>
      </c>
      <c r="F25" s="10">
        <v>4</v>
      </c>
      <c r="G25" s="2">
        <v>4.3</v>
      </c>
      <c r="H25" s="3" t="s">
        <v>26</v>
      </c>
      <c r="I25" s="7">
        <v>0</v>
      </c>
      <c r="J25" s="10">
        <v>0</v>
      </c>
      <c r="K25" s="10">
        <v>0</v>
      </c>
      <c r="L25" s="11">
        <v>15</v>
      </c>
    </row>
    <row r="26" spans="1:12" x14ac:dyDescent="0.3">
      <c r="A26" s="17">
        <v>25</v>
      </c>
      <c r="B26" s="79">
        <v>74.8</v>
      </c>
      <c r="C26" s="79">
        <v>20.9</v>
      </c>
      <c r="D26" s="11">
        <v>1869</v>
      </c>
      <c r="E26" s="10">
        <v>7</v>
      </c>
      <c r="F26" s="11">
        <v>12</v>
      </c>
      <c r="G26" s="2">
        <v>4.3</v>
      </c>
      <c r="H26" s="3" t="s">
        <v>26</v>
      </c>
      <c r="I26" s="7">
        <v>0</v>
      </c>
      <c r="J26" s="10">
        <v>0</v>
      </c>
      <c r="K26" s="10">
        <v>0</v>
      </c>
      <c r="L26" s="11">
        <v>15</v>
      </c>
    </row>
    <row r="27" spans="1:12" x14ac:dyDescent="0.3">
      <c r="A27" s="17">
        <v>26</v>
      </c>
      <c r="B27" s="79">
        <v>72.2</v>
      </c>
      <c r="C27" s="79">
        <v>24.2</v>
      </c>
      <c r="D27" s="11">
        <v>1871</v>
      </c>
      <c r="E27" s="10">
        <v>1</v>
      </c>
      <c r="F27" s="10">
        <v>1</v>
      </c>
      <c r="G27" s="2">
        <v>4.2</v>
      </c>
      <c r="H27" s="3" t="s">
        <v>26</v>
      </c>
      <c r="I27" s="7">
        <v>0</v>
      </c>
      <c r="J27" s="10">
        <v>0</v>
      </c>
      <c r="K27" s="10">
        <v>0</v>
      </c>
      <c r="L27" s="11">
        <v>15</v>
      </c>
    </row>
    <row r="28" spans="1:12" x14ac:dyDescent="0.3">
      <c r="A28" s="17">
        <v>27</v>
      </c>
      <c r="B28" s="79">
        <v>72.2</v>
      </c>
      <c r="C28" s="79">
        <v>21.7</v>
      </c>
      <c r="D28" s="11">
        <v>1872</v>
      </c>
      <c r="E28" s="10">
        <v>4</v>
      </c>
      <c r="F28" s="11">
        <v>14</v>
      </c>
      <c r="G28" s="2">
        <v>4.7</v>
      </c>
      <c r="H28" s="3" t="s">
        <v>26</v>
      </c>
      <c r="I28" s="7">
        <v>0</v>
      </c>
      <c r="J28" s="10">
        <v>0</v>
      </c>
      <c r="K28" s="10">
        <v>0</v>
      </c>
      <c r="L28" s="11">
        <v>15</v>
      </c>
    </row>
    <row r="29" spans="1:12" x14ac:dyDescent="0.3">
      <c r="A29" s="17">
        <v>28</v>
      </c>
      <c r="B29" s="79">
        <v>80</v>
      </c>
      <c r="C29" s="79">
        <v>18.8</v>
      </c>
      <c r="D29" s="11">
        <v>1872</v>
      </c>
      <c r="E29" s="11">
        <v>11</v>
      </c>
      <c r="F29" s="11">
        <v>22</v>
      </c>
      <c r="G29" s="2">
        <v>4.7</v>
      </c>
      <c r="H29" s="3" t="s">
        <v>26</v>
      </c>
      <c r="I29" s="7">
        <v>0</v>
      </c>
      <c r="J29" s="10">
        <v>0</v>
      </c>
      <c r="K29" s="10">
        <v>0</v>
      </c>
      <c r="L29" s="11">
        <v>11</v>
      </c>
    </row>
    <row r="30" spans="1:12" x14ac:dyDescent="0.3">
      <c r="A30" s="17">
        <v>29</v>
      </c>
      <c r="B30" s="79">
        <v>73</v>
      </c>
      <c r="C30" s="79">
        <v>25</v>
      </c>
      <c r="D30" s="11">
        <v>1906</v>
      </c>
      <c r="E30" s="10">
        <v>8</v>
      </c>
      <c r="F30" s="11">
        <v>15</v>
      </c>
      <c r="G30" s="2">
        <v>5</v>
      </c>
      <c r="H30" s="3" t="s">
        <v>26</v>
      </c>
      <c r="I30" s="7">
        <v>0</v>
      </c>
      <c r="J30" s="10">
        <v>0</v>
      </c>
      <c r="K30" s="10">
        <v>0</v>
      </c>
      <c r="L30" s="11">
        <v>2</v>
      </c>
    </row>
    <row r="31" spans="1:12" x14ac:dyDescent="0.3">
      <c r="A31" s="17">
        <v>30</v>
      </c>
      <c r="B31" s="80">
        <v>73</v>
      </c>
      <c r="C31" s="80">
        <v>25</v>
      </c>
      <c r="D31" s="3">
        <v>1906</v>
      </c>
      <c r="E31" s="3">
        <v>8</v>
      </c>
      <c r="F31" s="3">
        <v>15</v>
      </c>
      <c r="G31" s="2">
        <v>5</v>
      </c>
      <c r="H31" s="3" t="s">
        <v>26</v>
      </c>
      <c r="I31" s="14">
        <v>0</v>
      </c>
      <c r="J31" s="12">
        <v>5</v>
      </c>
      <c r="K31" s="12">
        <v>30</v>
      </c>
      <c r="L31" s="3" t="s">
        <v>27</v>
      </c>
    </row>
    <row r="32" spans="1:12" x14ac:dyDescent="0.3">
      <c r="A32" s="17">
        <v>31</v>
      </c>
      <c r="B32" s="80">
        <v>71.2</v>
      </c>
      <c r="C32" s="80">
        <v>21.7</v>
      </c>
      <c r="D32" s="3">
        <v>1919</v>
      </c>
      <c r="E32" s="3">
        <v>4</v>
      </c>
      <c r="F32" s="3">
        <v>21</v>
      </c>
      <c r="G32" s="2">
        <v>6</v>
      </c>
      <c r="H32" s="3" t="s">
        <v>26</v>
      </c>
      <c r="I32" s="14">
        <v>0</v>
      </c>
      <c r="J32" s="12">
        <v>9</v>
      </c>
      <c r="K32" s="12">
        <v>53</v>
      </c>
      <c r="L32" s="3" t="s">
        <v>27</v>
      </c>
    </row>
    <row r="33" spans="1:12" x14ac:dyDescent="0.3">
      <c r="A33" s="17">
        <v>32</v>
      </c>
      <c r="B33" s="79">
        <v>77.5</v>
      </c>
      <c r="C33" s="79">
        <v>25</v>
      </c>
      <c r="D33" s="11">
        <v>1926</v>
      </c>
      <c r="E33" s="11">
        <v>12</v>
      </c>
      <c r="F33" s="11">
        <v>31</v>
      </c>
      <c r="G33" s="2">
        <v>5.5</v>
      </c>
      <c r="H33" s="3" t="s">
        <v>26</v>
      </c>
      <c r="I33" s="7">
        <v>0</v>
      </c>
      <c r="J33" s="10">
        <v>16</v>
      </c>
      <c r="K33" s="10">
        <v>53</v>
      </c>
      <c r="L33" s="11">
        <v>2</v>
      </c>
    </row>
    <row r="34" spans="1:12" x14ac:dyDescent="0.3">
      <c r="A34" s="17">
        <v>33</v>
      </c>
      <c r="B34" s="80">
        <v>77.5</v>
      </c>
      <c r="C34" s="80">
        <v>25</v>
      </c>
      <c r="D34" s="3">
        <v>1926</v>
      </c>
      <c r="E34" s="3">
        <v>12</v>
      </c>
      <c r="F34" s="3">
        <v>31</v>
      </c>
      <c r="G34" s="2">
        <v>5.5</v>
      </c>
      <c r="H34" s="3" t="s">
        <v>26</v>
      </c>
      <c r="I34" s="14">
        <v>0</v>
      </c>
      <c r="J34" s="12">
        <v>22</v>
      </c>
      <c r="K34" s="12">
        <v>23</v>
      </c>
      <c r="L34" s="3" t="s">
        <v>27</v>
      </c>
    </row>
    <row r="35" spans="1:12" x14ac:dyDescent="0.3">
      <c r="A35" s="17">
        <v>34</v>
      </c>
      <c r="B35" s="80">
        <v>77.5</v>
      </c>
      <c r="C35" s="80">
        <v>25</v>
      </c>
      <c r="D35" s="3">
        <v>1929</v>
      </c>
      <c r="E35" s="3">
        <v>4</v>
      </c>
      <c r="F35" s="3">
        <v>11</v>
      </c>
      <c r="G35" s="2">
        <v>5.5</v>
      </c>
      <c r="H35" s="3" t="s">
        <v>26</v>
      </c>
      <c r="I35" s="14">
        <v>0</v>
      </c>
      <c r="J35" s="12">
        <v>5</v>
      </c>
      <c r="K35" s="12">
        <v>23</v>
      </c>
      <c r="L35" s="3" t="s">
        <v>27</v>
      </c>
    </row>
    <row r="36" spans="1:12" x14ac:dyDescent="0.3">
      <c r="A36" s="17">
        <v>35</v>
      </c>
      <c r="B36" s="79">
        <v>77.5</v>
      </c>
      <c r="C36" s="79">
        <v>25</v>
      </c>
      <c r="D36" s="11">
        <v>1930</v>
      </c>
      <c r="E36" s="10">
        <v>6</v>
      </c>
      <c r="F36" s="11">
        <v>25</v>
      </c>
      <c r="G36" s="2">
        <v>5.5</v>
      </c>
      <c r="H36" s="3" t="s">
        <v>26</v>
      </c>
      <c r="I36" s="7">
        <v>0</v>
      </c>
      <c r="J36" s="10">
        <v>0</v>
      </c>
      <c r="K36" s="10">
        <v>49</v>
      </c>
      <c r="L36" s="11">
        <v>2</v>
      </c>
    </row>
    <row r="37" spans="1:12" x14ac:dyDescent="0.3">
      <c r="A37" s="17">
        <v>36</v>
      </c>
      <c r="B37" s="80">
        <v>77.5</v>
      </c>
      <c r="C37" s="80">
        <v>25</v>
      </c>
      <c r="D37" s="3">
        <v>1930</v>
      </c>
      <c r="E37" s="3">
        <v>6</v>
      </c>
      <c r="F37" s="3">
        <v>25</v>
      </c>
      <c r="G37" s="2">
        <v>5.5</v>
      </c>
      <c r="H37" s="3" t="s">
        <v>26</v>
      </c>
      <c r="I37" s="14">
        <v>0</v>
      </c>
      <c r="J37" s="12">
        <v>6</v>
      </c>
      <c r="K37" s="12">
        <v>19</v>
      </c>
      <c r="L37" s="3" t="s">
        <v>27</v>
      </c>
    </row>
    <row r="38" spans="1:12" x14ac:dyDescent="0.3">
      <c r="A38" s="17">
        <v>37</v>
      </c>
      <c r="B38" s="80">
        <v>75.75</v>
      </c>
      <c r="C38" s="80">
        <v>21.5</v>
      </c>
      <c r="D38" s="3">
        <v>1938</v>
      </c>
      <c r="E38" s="3">
        <v>3</v>
      </c>
      <c r="F38" s="3">
        <v>14</v>
      </c>
      <c r="G38" s="2">
        <v>6.8241999999999994</v>
      </c>
      <c r="H38" s="3" t="s">
        <v>26</v>
      </c>
      <c r="I38" s="14">
        <v>50</v>
      </c>
      <c r="J38" s="12">
        <v>0</v>
      </c>
      <c r="K38" s="12">
        <v>48</v>
      </c>
      <c r="L38" s="3" t="s">
        <v>7</v>
      </c>
    </row>
    <row r="39" spans="1:12" x14ac:dyDescent="0.3">
      <c r="A39" s="17">
        <v>38</v>
      </c>
      <c r="B39" s="79">
        <v>75.75</v>
      </c>
      <c r="C39" s="79">
        <v>21.5</v>
      </c>
      <c r="D39" s="11">
        <v>1938</v>
      </c>
      <c r="E39" s="10">
        <v>3</v>
      </c>
      <c r="F39" s="11">
        <v>14</v>
      </c>
      <c r="G39" s="2">
        <v>6.2</v>
      </c>
      <c r="H39" s="3" t="s">
        <v>26</v>
      </c>
      <c r="I39" s="7">
        <v>50</v>
      </c>
      <c r="J39" s="10">
        <v>0</v>
      </c>
      <c r="K39" s="10">
        <v>48</v>
      </c>
      <c r="L39" s="11">
        <v>1</v>
      </c>
    </row>
    <row r="40" spans="1:12" x14ac:dyDescent="0.3">
      <c r="A40" s="17">
        <v>39</v>
      </c>
      <c r="B40" s="80">
        <v>75</v>
      </c>
      <c r="C40" s="80">
        <v>21.6</v>
      </c>
      <c r="D40" s="3">
        <v>1938</v>
      </c>
      <c r="E40" s="3">
        <v>3</v>
      </c>
      <c r="F40" s="3">
        <v>14</v>
      </c>
      <c r="G40" s="2">
        <v>6.3</v>
      </c>
      <c r="H40" s="3" t="s">
        <v>26</v>
      </c>
      <c r="I40" s="14">
        <v>0</v>
      </c>
      <c r="J40" s="12">
        <v>6</v>
      </c>
      <c r="K40" s="12">
        <v>18</v>
      </c>
      <c r="L40" s="3" t="s">
        <v>27</v>
      </c>
    </row>
    <row r="41" spans="1:12" x14ac:dyDescent="0.3">
      <c r="A41" s="17">
        <v>40</v>
      </c>
      <c r="B41" s="80">
        <v>80</v>
      </c>
      <c r="C41" s="80">
        <v>22</v>
      </c>
      <c r="D41" s="3">
        <v>1957</v>
      </c>
      <c r="E41" s="3">
        <v>8</v>
      </c>
      <c r="F41" s="3">
        <v>25</v>
      </c>
      <c r="G41" s="2">
        <v>5.5</v>
      </c>
      <c r="H41" s="3" t="s">
        <v>26</v>
      </c>
      <c r="I41" s="14">
        <v>0</v>
      </c>
      <c r="J41" s="12">
        <v>21</v>
      </c>
      <c r="K41" s="12">
        <v>4</v>
      </c>
      <c r="L41" s="3" t="s">
        <v>9</v>
      </c>
    </row>
    <row r="42" spans="1:12" x14ac:dyDescent="0.3">
      <c r="A42" s="17">
        <v>41</v>
      </c>
      <c r="B42" s="79">
        <v>80</v>
      </c>
      <c r="C42" s="79">
        <v>22</v>
      </c>
      <c r="D42" s="11">
        <v>1957</v>
      </c>
      <c r="E42" s="10">
        <v>8</v>
      </c>
      <c r="F42" s="11">
        <v>25</v>
      </c>
      <c r="G42" s="2">
        <v>5.5</v>
      </c>
      <c r="H42" s="3" t="s">
        <v>26</v>
      </c>
      <c r="I42" s="7">
        <v>0</v>
      </c>
      <c r="J42" s="10">
        <v>21</v>
      </c>
      <c r="K42" s="10">
        <v>4</v>
      </c>
      <c r="L42" s="11">
        <v>1</v>
      </c>
    </row>
    <row r="43" spans="1:12" x14ac:dyDescent="0.3">
      <c r="A43" s="17">
        <v>42</v>
      </c>
      <c r="B43" s="79">
        <v>73</v>
      </c>
      <c r="C43" s="79">
        <v>24.2</v>
      </c>
      <c r="D43" s="11">
        <v>1962</v>
      </c>
      <c r="E43" s="10">
        <v>9</v>
      </c>
      <c r="F43" s="10">
        <v>1</v>
      </c>
      <c r="G43" s="2">
        <v>4.9000000000000004</v>
      </c>
      <c r="H43" s="3" t="s">
        <v>26</v>
      </c>
      <c r="I43" s="7">
        <v>0</v>
      </c>
      <c r="J43" s="10">
        <v>22</v>
      </c>
      <c r="K43" s="10">
        <v>51</v>
      </c>
      <c r="L43" s="11">
        <v>2</v>
      </c>
    </row>
    <row r="44" spans="1:12" x14ac:dyDescent="0.3">
      <c r="A44" s="17">
        <v>43</v>
      </c>
      <c r="B44" s="80">
        <v>73</v>
      </c>
      <c r="C44" s="80">
        <v>24.2</v>
      </c>
      <c r="D44" s="3">
        <v>1962</v>
      </c>
      <c r="E44" s="3">
        <v>9</v>
      </c>
      <c r="F44" s="3">
        <v>2</v>
      </c>
      <c r="G44" s="2">
        <v>5</v>
      </c>
      <c r="H44" s="3" t="s">
        <v>26</v>
      </c>
      <c r="I44" s="14">
        <v>0</v>
      </c>
      <c r="J44" s="12">
        <v>4</v>
      </c>
      <c r="K44" s="12">
        <v>21</v>
      </c>
      <c r="L44" s="3" t="s">
        <v>27</v>
      </c>
    </row>
    <row r="45" spans="1:12" x14ac:dyDescent="0.3">
      <c r="A45" s="17">
        <v>44</v>
      </c>
      <c r="B45" s="80">
        <v>72.495599999999996</v>
      </c>
      <c r="C45" s="80">
        <v>24.768999999999998</v>
      </c>
      <c r="D45" s="3">
        <v>1969</v>
      </c>
      <c r="E45" s="3">
        <v>10</v>
      </c>
      <c r="F45" s="3">
        <v>24</v>
      </c>
      <c r="G45" s="2">
        <v>5.3458699999999997</v>
      </c>
      <c r="H45" s="3" t="s">
        <v>26</v>
      </c>
      <c r="I45" s="14">
        <v>30.2</v>
      </c>
      <c r="J45" s="12">
        <v>11</v>
      </c>
      <c r="K45" s="12">
        <v>45</v>
      </c>
      <c r="L45" s="3" t="s">
        <v>10</v>
      </c>
    </row>
    <row r="46" spans="1:12" x14ac:dyDescent="0.3">
      <c r="A46" s="17">
        <v>45</v>
      </c>
      <c r="B46" s="79">
        <v>72.540000000000006</v>
      </c>
      <c r="C46" s="79">
        <v>24.76</v>
      </c>
      <c r="D46" s="11">
        <v>1969</v>
      </c>
      <c r="E46" s="11">
        <v>10</v>
      </c>
      <c r="F46" s="11">
        <v>24</v>
      </c>
      <c r="G46" s="2">
        <v>4.8</v>
      </c>
      <c r="H46" s="3" t="s">
        <v>26</v>
      </c>
      <c r="I46" s="7">
        <v>31</v>
      </c>
      <c r="J46" s="10">
        <v>11</v>
      </c>
      <c r="K46" s="10">
        <v>45</v>
      </c>
      <c r="L46" s="11">
        <v>2</v>
      </c>
    </row>
    <row r="47" spans="1:12" x14ac:dyDescent="0.3">
      <c r="A47" s="17">
        <v>46</v>
      </c>
      <c r="B47" s="80">
        <v>72.540000000000006</v>
      </c>
      <c r="C47" s="80">
        <v>24.76</v>
      </c>
      <c r="D47" s="3">
        <v>1969</v>
      </c>
      <c r="E47" s="3">
        <v>10</v>
      </c>
      <c r="F47" s="3">
        <v>24</v>
      </c>
      <c r="G47" s="2">
        <v>4.9000000000000004</v>
      </c>
      <c r="H47" s="3" t="s">
        <v>26</v>
      </c>
      <c r="I47" s="14">
        <v>31</v>
      </c>
      <c r="J47" s="12">
        <v>17</v>
      </c>
      <c r="K47" s="12">
        <v>15</v>
      </c>
      <c r="L47" s="3" t="s">
        <v>27</v>
      </c>
    </row>
    <row r="48" spans="1:12" x14ac:dyDescent="0.3">
      <c r="A48" s="17">
        <v>47</v>
      </c>
      <c r="B48" s="80">
        <v>73.052400000000006</v>
      </c>
      <c r="C48" s="80">
        <v>21.586200000000002</v>
      </c>
      <c r="D48" s="3">
        <v>1970</v>
      </c>
      <c r="E48" s="3">
        <v>3</v>
      </c>
      <c r="F48" s="3">
        <v>23</v>
      </c>
      <c r="G48" s="2">
        <v>5.6583899999999998</v>
      </c>
      <c r="H48" s="3" t="s">
        <v>26</v>
      </c>
      <c r="I48" s="14">
        <v>13.9</v>
      </c>
      <c r="J48" s="12">
        <v>1</v>
      </c>
      <c r="K48" s="12">
        <v>53</v>
      </c>
      <c r="L48" s="3" t="s">
        <v>10</v>
      </c>
    </row>
    <row r="49" spans="1:12" x14ac:dyDescent="0.3">
      <c r="A49" s="17">
        <v>48</v>
      </c>
      <c r="B49" s="79">
        <v>72.959999999999994</v>
      </c>
      <c r="C49" s="79">
        <v>21.6</v>
      </c>
      <c r="D49" s="11">
        <v>1970</v>
      </c>
      <c r="E49" s="10">
        <v>3</v>
      </c>
      <c r="F49" s="11">
        <v>23</v>
      </c>
      <c r="G49" s="2">
        <v>5.2</v>
      </c>
      <c r="H49" s="3" t="s">
        <v>26</v>
      </c>
      <c r="I49" s="7">
        <v>8</v>
      </c>
      <c r="J49" s="10">
        <v>1</v>
      </c>
      <c r="K49" s="10">
        <v>53</v>
      </c>
      <c r="L49" s="11">
        <v>2</v>
      </c>
    </row>
    <row r="50" spans="1:12" x14ac:dyDescent="0.3">
      <c r="A50" s="17">
        <v>49</v>
      </c>
      <c r="B50" s="80">
        <v>72.959999999999994</v>
      </c>
      <c r="C50" s="80">
        <v>21.6</v>
      </c>
      <c r="D50" s="3">
        <v>1970</v>
      </c>
      <c r="E50" s="3">
        <v>3</v>
      </c>
      <c r="F50" s="3">
        <v>23</v>
      </c>
      <c r="G50" s="2">
        <v>5.2</v>
      </c>
      <c r="H50" s="3" t="s">
        <v>26</v>
      </c>
      <c r="I50" s="14">
        <v>8</v>
      </c>
      <c r="J50" s="12">
        <v>7</v>
      </c>
      <c r="K50" s="12">
        <v>23</v>
      </c>
      <c r="L50" s="3" t="s">
        <v>27</v>
      </c>
    </row>
    <row r="51" spans="1:12" x14ac:dyDescent="0.3">
      <c r="A51" s="17">
        <v>50</v>
      </c>
      <c r="B51" s="79">
        <v>71.8</v>
      </c>
      <c r="C51" s="79">
        <v>26.99</v>
      </c>
      <c r="D51" s="11">
        <v>1974</v>
      </c>
      <c r="E51" s="10">
        <v>5</v>
      </c>
      <c r="F51" s="11">
        <v>18</v>
      </c>
      <c r="G51" s="2">
        <v>4.8</v>
      </c>
      <c r="H51" s="3" t="s">
        <v>26</v>
      </c>
      <c r="I51" s="7">
        <v>0</v>
      </c>
      <c r="J51" s="10">
        <v>2</v>
      </c>
      <c r="K51" s="10">
        <v>34</v>
      </c>
      <c r="L51" s="11">
        <v>2</v>
      </c>
    </row>
    <row r="52" spans="1:12" x14ac:dyDescent="0.3">
      <c r="A52" s="17">
        <v>51</v>
      </c>
      <c r="B52" s="79">
        <v>75.36</v>
      </c>
      <c r="C52" s="79">
        <v>23.56</v>
      </c>
      <c r="D52" s="11">
        <v>1978</v>
      </c>
      <c r="E52" s="10">
        <v>9</v>
      </c>
      <c r="F52" s="11">
        <v>27</v>
      </c>
      <c r="G52" s="2">
        <v>4.9000000000000004</v>
      </c>
      <c r="H52" s="3" t="s">
        <v>26</v>
      </c>
      <c r="I52" s="7">
        <v>0</v>
      </c>
      <c r="J52" s="10">
        <v>22</v>
      </c>
      <c r="K52" s="10">
        <v>54</v>
      </c>
      <c r="L52" s="11">
        <v>1</v>
      </c>
    </row>
    <row r="53" spans="1:12" x14ac:dyDescent="0.3">
      <c r="A53" s="17">
        <v>52</v>
      </c>
      <c r="B53" s="80">
        <v>74</v>
      </c>
      <c r="C53" s="80">
        <v>23.4</v>
      </c>
      <c r="D53" s="3">
        <v>1982</v>
      </c>
      <c r="E53" s="3">
        <v>4</v>
      </c>
      <c r="F53" s="3">
        <v>26</v>
      </c>
      <c r="G53" s="2">
        <v>5.1145999999999994</v>
      </c>
      <c r="H53" s="3" t="s">
        <v>26</v>
      </c>
      <c r="I53" s="14">
        <v>0</v>
      </c>
      <c r="J53" s="12">
        <v>6</v>
      </c>
      <c r="K53" s="12">
        <v>6</v>
      </c>
      <c r="L53" s="3" t="s">
        <v>12</v>
      </c>
    </row>
    <row r="54" spans="1:12" x14ac:dyDescent="0.3">
      <c r="A54" s="17">
        <v>53</v>
      </c>
      <c r="B54" s="80">
        <v>73.683199999999999</v>
      </c>
      <c r="C54" s="80">
        <v>19.670999999999999</v>
      </c>
      <c r="D54" s="3">
        <v>1983</v>
      </c>
      <c r="E54" s="3">
        <v>9</v>
      </c>
      <c r="F54" s="3">
        <v>14</v>
      </c>
      <c r="G54" s="2">
        <v>4.8770899999999999</v>
      </c>
      <c r="H54" s="3" t="s">
        <v>26</v>
      </c>
      <c r="I54" s="14">
        <v>35</v>
      </c>
      <c r="J54" s="12">
        <v>21</v>
      </c>
      <c r="K54" s="12">
        <v>53</v>
      </c>
      <c r="L54" s="3" t="s">
        <v>10</v>
      </c>
    </row>
    <row r="55" spans="1:12" x14ac:dyDescent="0.3">
      <c r="A55" s="17">
        <v>54</v>
      </c>
      <c r="B55" s="80">
        <v>73.760000000000005</v>
      </c>
      <c r="C55" s="80">
        <v>19.693999999999999</v>
      </c>
      <c r="D55" s="3">
        <v>1983</v>
      </c>
      <c r="E55" s="3">
        <v>9</v>
      </c>
      <c r="F55" s="3">
        <v>14</v>
      </c>
      <c r="G55" s="2">
        <v>5.0333500000000004</v>
      </c>
      <c r="H55" s="3" t="s">
        <v>26</v>
      </c>
      <c r="I55" s="14">
        <v>33</v>
      </c>
      <c r="J55" s="12">
        <v>21</v>
      </c>
      <c r="K55" s="12">
        <v>53</v>
      </c>
      <c r="L55" s="3" t="s">
        <v>25</v>
      </c>
    </row>
    <row r="56" spans="1:12" x14ac:dyDescent="0.3">
      <c r="A56" s="17">
        <v>55</v>
      </c>
      <c r="B56" s="79">
        <v>73.540000000000006</v>
      </c>
      <c r="C56" s="79">
        <v>19.64</v>
      </c>
      <c r="D56" s="11">
        <v>1983</v>
      </c>
      <c r="E56" s="10">
        <v>9</v>
      </c>
      <c r="F56" s="11">
        <v>14</v>
      </c>
      <c r="G56" s="2">
        <v>4.2</v>
      </c>
      <c r="H56" s="3" t="s">
        <v>26</v>
      </c>
      <c r="I56" s="7">
        <v>33</v>
      </c>
      <c r="J56" s="10">
        <v>21</v>
      </c>
      <c r="K56" s="10">
        <v>53</v>
      </c>
      <c r="L56" s="11">
        <v>2</v>
      </c>
    </row>
    <row r="57" spans="1:12" x14ac:dyDescent="0.3">
      <c r="A57" s="17">
        <v>56</v>
      </c>
      <c r="B57" s="80">
        <v>73.540000000000006</v>
      </c>
      <c r="C57" s="80">
        <v>19.64</v>
      </c>
      <c r="D57" s="3">
        <v>1983</v>
      </c>
      <c r="E57" s="3">
        <v>9</v>
      </c>
      <c r="F57" s="3">
        <v>15</v>
      </c>
      <c r="G57" s="2">
        <v>4.3</v>
      </c>
      <c r="H57" s="3" t="s">
        <v>26</v>
      </c>
      <c r="I57" s="14">
        <v>33</v>
      </c>
      <c r="J57" s="12">
        <v>3</v>
      </c>
      <c r="K57" s="12">
        <v>23</v>
      </c>
      <c r="L57" s="3" t="s">
        <v>27</v>
      </c>
    </row>
    <row r="58" spans="1:12" x14ac:dyDescent="0.3">
      <c r="A58" s="17">
        <v>57</v>
      </c>
      <c r="B58" s="79">
        <v>74.84</v>
      </c>
      <c r="C58" s="79">
        <v>24.33</v>
      </c>
      <c r="D58" s="11">
        <v>1984</v>
      </c>
      <c r="E58" s="11">
        <v>12</v>
      </c>
      <c r="F58" s="10">
        <v>8</v>
      </c>
      <c r="G58" s="2">
        <v>4.2</v>
      </c>
      <c r="H58" s="3" t="s">
        <v>26</v>
      </c>
      <c r="I58" s="7">
        <v>107</v>
      </c>
      <c r="J58" s="10">
        <v>23</v>
      </c>
      <c r="K58" s="10">
        <v>47</v>
      </c>
      <c r="L58" s="11">
        <v>2</v>
      </c>
    </row>
    <row r="59" spans="1:12" x14ac:dyDescent="0.3">
      <c r="A59" s="17">
        <v>58</v>
      </c>
      <c r="B59" s="80">
        <v>74.84</v>
      </c>
      <c r="C59" s="80">
        <v>24.33</v>
      </c>
      <c r="D59" s="3">
        <v>1984</v>
      </c>
      <c r="E59" s="3">
        <v>12</v>
      </c>
      <c r="F59" s="3">
        <v>9</v>
      </c>
      <c r="G59" s="2">
        <v>4.3</v>
      </c>
      <c r="H59" s="3" t="s">
        <v>26</v>
      </c>
      <c r="I59" s="14">
        <v>107</v>
      </c>
      <c r="J59" s="12">
        <v>5</v>
      </c>
      <c r="K59" s="12">
        <v>17</v>
      </c>
      <c r="L59" s="3" t="s">
        <v>27</v>
      </c>
    </row>
    <row r="60" spans="1:12" x14ac:dyDescent="0.3">
      <c r="A60" s="17">
        <v>59</v>
      </c>
      <c r="B60" s="80">
        <v>73.7316</v>
      </c>
      <c r="C60" s="80">
        <v>20.5078</v>
      </c>
      <c r="D60" s="3">
        <v>1986</v>
      </c>
      <c r="E60" s="3">
        <v>2</v>
      </c>
      <c r="F60" s="3">
        <v>26</v>
      </c>
      <c r="G60" s="2">
        <v>4.8770899999999999</v>
      </c>
      <c r="H60" s="3" t="s">
        <v>26</v>
      </c>
      <c r="I60" s="14">
        <v>35</v>
      </c>
      <c r="J60" s="12">
        <v>12</v>
      </c>
      <c r="K60" s="12">
        <v>47</v>
      </c>
      <c r="L60" s="3" t="s">
        <v>13</v>
      </c>
    </row>
    <row r="61" spans="1:12" x14ac:dyDescent="0.3">
      <c r="A61" s="17">
        <v>60</v>
      </c>
      <c r="B61" s="80">
        <v>73.722999999999999</v>
      </c>
      <c r="C61" s="80">
        <v>20.481999999999999</v>
      </c>
      <c r="D61" s="3">
        <v>1986</v>
      </c>
      <c r="E61" s="3">
        <v>2</v>
      </c>
      <c r="F61" s="3">
        <v>26</v>
      </c>
      <c r="G61" s="2">
        <v>4.8770899999999999</v>
      </c>
      <c r="H61" s="3" t="s">
        <v>26</v>
      </c>
      <c r="I61" s="14">
        <v>33</v>
      </c>
      <c r="J61" s="12">
        <v>12</v>
      </c>
      <c r="K61" s="12">
        <v>47</v>
      </c>
      <c r="L61" s="3" t="s">
        <v>25</v>
      </c>
    </row>
    <row r="62" spans="1:12" x14ac:dyDescent="0.3">
      <c r="A62" s="17">
        <v>61</v>
      </c>
      <c r="B62" s="80">
        <v>73.900000000000006</v>
      </c>
      <c r="C62" s="80">
        <v>20.58</v>
      </c>
      <c r="D62" s="3">
        <v>1986</v>
      </c>
      <c r="E62" s="3">
        <v>2</v>
      </c>
      <c r="F62" s="3">
        <v>26</v>
      </c>
      <c r="G62" s="2">
        <v>4.3</v>
      </c>
      <c r="H62" s="3" t="s">
        <v>26</v>
      </c>
      <c r="I62" s="14">
        <v>33</v>
      </c>
      <c r="J62" s="12">
        <v>18</v>
      </c>
      <c r="K62" s="12">
        <v>17</v>
      </c>
      <c r="L62" s="3" t="s">
        <v>27</v>
      </c>
    </row>
    <row r="63" spans="1:12" x14ac:dyDescent="0.3">
      <c r="A63" s="17">
        <v>62</v>
      </c>
      <c r="B63" s="80">
        <v>77.165999999999997</v>
      </c>
      <c r="C63" s="80">
        <v>26.532800000000002</v>
      </c>
      <c r="D63" s="3">
        <v>1986</v>
      </c>
      <c r="E63" s="3">
        <v>11</v>
      </c>
      <c r="F63" s="3">
        <v>2</v>
      </c>
      <c r="G63" s="2">
        <v>4.6273999999999997</v>
      </c>
      <c r="H63" s="3" t="s">
        <v>26</v>
      </c>
      <c r="I63" s="14">
        <v>10</v>
      </c>
      <c r="J63" s="12">
        <v>6</v>
      </c>
      <c r="K63" s="12">
        <v>16</v>
      </c>
      <c r="L63" s="3" t="s">
        <v>12</v>
      </c>
    </row>
    <row r="64" spans="1:12" x14ac:dyDescent="0.3">
      <c r="A64" s="17">
        <v>63</v>
      </c>
      <c r="B64" s="80">
        <v>73.453900000000004</v>
      </c>
      <c r="C64" s="80">
        <v>24.545400000000001</v>
      </c>
      <c r="D64" s="3">
        <v>1986</v>
      </c>
      <c r="E64" s="3">
        <v>11</v>
      </c>
      <c r="F64" s="3">
        <v>15</v>
      </c>
      <c r="G64" s="2">
        <v>5.1145999999999994</v>
      </c>
      <c r="H64" s="3" t="s">
        <v>26</v>
      </c>
      <c r="I64" s="14">
        <v>10</v>
      </c>
      <c r="J64" s="12">
        <v>0</v>
      </c>
      <c r="K64" s="12">
        <v>25</v>
      </c>
      <c r="L64" s="3" t="s">
        <v>12</v>
      </c>
    </row>
    <row r="65" spans="1:12" x14ac:dyDescent="0.3">
      <c r="A65" s="17">
        <v>64</v>
      </c>
      <c r="B65" s="80">
        <v>73.599999999999994</v>
      </c>
      <c r="C65" s="80">
        <v>24.45</v>
      </c>
      <c r="D65" s="3">
        <v>1986</v>
      </c>
      <c r="E65" s="3">
        <v>11</v>
      </c>
      <c r="F65" s="3">
        <v>15</v>
      </c>
      <c r="G65" s="2">
        <v>4.0999999999999996</v>
      </c>
      <c r="H65" s="3" t="s">
        <v>26</v>
      </c>
      <c r="I65" s="14">
        <v>22</v>
      </c>
      <c r="J65" s="12">
        <v>5</v>
      </c>
      <c r="K65" s="12">
        <v>55</v>
      </c>
      <c r="L65" s="3" t="s">
        <v>27</v>
      </c>
    </row>
    <row r="66" spans="1:12" x14ac:dyDescent="0.3">
      <c r="A66" s="17">
        <v>65</v>
      </c>
      <c r="B66" s="80">
        <v>79.353899999999996</v>
      </c>
      <c r="C66" s="80">
        <v>22.473199999999999</v>
      </c>
      <c r="D66" s="3">
        <v>1987</v>
      </c>
      <c r="E66" s="3">
        <v>4</v>
      </c>
      <c r="F66" s="3">
        <v>18</v>
      </c>
      <c r="G66" s="2">
        <v>5.3458699999999997</v>
      </c>
      <c r="H66" s="3" t="s">
        <v>26</v>
      </c>
      <c r="I66" s="14">
        <v>35</v>
      </c>
      <c r="J66" s="12">
        <v>16</v>
      </c>
      <c r="K66" s="12">
        <v>59</v>
      </c>
      <c r="L66" s="3" t="s">
        <v>10</v>
      </c>
    </row>
    <row r="67" spans="1:12" x14ac:dyDescent="0.3">
      <c r="A67" s="17">
        <v>66</v>
      </c>
      <c r="B67" s="80">
        <v>79.259</v>
      </c>
      <c r="C67" s="80">
        <v>22.346</v>
      </c>
      <c r="D67" s="3">
        <v>1987</v>
      </c>
      <c r="E67" s="3">
        <v>4</v>
      </c>
      <c r="F67" s="3">
        <v>18</v>
      </c>
      <c r="G67" s="2">
        <v>5.3458699999999997</v>
      </c>
      <c r="H67" s="3" t="s">
        <v>26</v>
      </c>
      <c r="I67" s="14">
        <v>33</v>
      </c>
      <c r="J67" s="12">
        <v>16</v>
      </c>
      <c r="K67" s="12">
        <v>59</v>
      </c>
      <c r="L67" s="3" t="s">
        <v>25</v>
      </c>
    </row>
    <row r="68" spans="1:12" x14ac:dyDescent="0.3">
      <c r="A68" s="17">
        <v>67</v>
      </c>
      <c r="B68" s="79">
        <v>79.239999999999995</v>
      </c>
      <c r="C68" s="79">
        <v>22.53</v>
      </c>
      <c r="D68" s="11">
        <v>1987</v>
      </c>
      <c r="E68" s="10">
        <v>4</v>
      </c>
      <c r="F68" s="11">
        <v>18</v>
      </c>
      <c r="G68" s="2">
        <v>4.7</v>
      </c>
      <c r="H68" s="3" t="s">
        <v>26</v>
      </c>
      <c r="I68" s="7">
        <v>20</v>
      </c>
      <c r="J68" s="10">
        <v>16</v>
      </c>
      <c r="K68" s="10">
        <v>59</v>
      </c>
      <c r="L68" s="11">
        <v>2</v>
      </c>
    </row>
    <row r="69" spans="1:12" x14ac:dyDescent="0.3">
      <c r="A69" s="17">
        <v>68</v>
      </c>
      <c r="B69" s="80">
        <v>79.239999999999995</v>
      </c>
      <c r="C69" s="80">
        <v>22.53</v>
      </c>
      <c r="D69" s="3">
        <v>1987</v>
      </c>
      <c r="E69" s="3">
        <v>4</v>
      </c>
      <c r="F69" s="3">
        <v>18</v>
      </c>
      <c r="G69" s="2">
        <v>4.8</v>
      </c>
      <c r="H69" s="3" t="s">
        <v>26</v>
      </c>
      <c r="I69" s="14">
        <v>20</v>
      </c>
      <c r="J69" s="12">
        <v>22</v>
      </c>
      <c r="K69" s="12">
        <v>29</v>
      </c>
      <c r="L69" s="3" t="s">
        <v>27</v>
      </c>
    </row>
    <row r="70" spans="1:12" x14ac:dyDescent="0.3">
      <c r="A70" s="17">
        <v>69</v>
      </c>
      <c r="B70" s="80">
        <v>72.900000000000006</v>
      </c>
      <c r="C70" s="80">
        <v>20.100000000000001</v>
      </c>
      <c r="D70" s="3">
        <v>1989</v>
      </c>
      <c r="E70" s="3">
        <v>6</v>
      </c>
      <c r="F70" s="3">
        <v>21</v>
      </c>
      <c r="G70" s="2">
        <v>4.0999999999999996</v>
      </c>
      <c r="H70" s="3" t="s">
        <v>26</v>
      </c>
      <c r="I70" s="14">
        <v>33</v>
      </c>
      <c r="J70" s="12">
        <v>21</v>
      </c>
      <c r="K70" s="12">
        <v>5</v>
      </c>
      <c r="L70" s="3" t="s">
        <v>27</v>
      </c>
    </row>
    <row r="71" spans="1:12" x14ac:dyDescent="0.3">
      <c r="A71" s="17">
        <v>70</v>
      </c>
      <c r="B71" s="79">
        <v>71.599999999999994</v>
      </c>
      <c r="C71" s="79">
        <v>18.350000000000001</v>
      </c>
      <c r="D71" s="11">
        <v>1991</v>
      </c>
      <c r="E71" s="10">
        <v>8</v>
      </c>
      <c r="F71" s="11">
        <v>12</v>
      </c>
      <c r="G71" s="2">
        <v>3.9</v>
      </c>
      <c r="H71" s="3" t="s">
        <v>26</v>
      </c>
      <c r="I71" s="7">
        <v>33</v>
      </c>
      <c r="J71" s="10">
        <v>16</v>
      </c>
      <c r="K71" s="10">
        <v>41</v>
      </c>
      <c r="L71" s="11">
        <v>2</v>
      </c>
    </row>
    <row r="72" spans="1:12" x14ac:dyDescent="0.3">
      <c r="A72" s="17">
        <v>71</v>
      </c>
      <c r="B72" s="79">
        <v>74.099999999999994</v>
      </c>
      <c r="C72" s="79">
        <v>24.1</v>
      </c>
      <c r="D72" s="11">
        <v>1992</v>
      </c>
      <c r="E72" s="10">
        <v>5</v>
      </c>
      <c r="F72" s="11">
        <v>30</v>
      </c>
      <c r="G72" s="2">
        <v>4.4000000000000004</v>
      </c>
      <c r="H72" s="3" t="s">
        <v>26</v>
      </c>
      <c r="I72" s="7">
        <v>33</v>
      </c>
      <c r="J72" s="10">
        <v>20</v>
      </c>
      <c r="K72" s="10">
        <v>17</v>
      </c>
      <c r="L72" s="11">
        <v>2</v>
      </c>
    </row>
    <row r="73" spans="1:12" x14ac:dyDescent="0.3">
      <c r="A73" s="17">
        <v>72</v>
      </c>
      <c r="B73" s="80">
        <v>74.099999999999994</v>
      </c>
      <c r="C73" s="80">
        <v>24.1</v>
      </c>
      <c r="D73" s="3">
        <v>1992</v>
      </c>
      <c r="E73" s="3">
        <v>5</v>
      </c>
      <c r="F73" s="3">
        <v>31</v>
      </c>
      <c r="G73" s="2">
        <v>4.5</v>
      </c>
      <c r="H73" s="3" t="s">
        <v>26</v>
      </c>
      <c r="I73" s="14">
        <v>33</v>
      </c>
      <c r="J73" s="12">
        <v>1</v>
      </c>
      <c r="K73" s="12">
        <v>47</v>
      </c>
      <c r="L73" s="3" t="s">
        <v>27</v>
      </c>
    </row>
    <row r="74" spans="1:12" x14ac:dyDescent="0.3">
      <c r="A74" s="17">
        <v>73</v>
      </c>
      <c r="B74" s="80">
        <v>71.543300000000002</v>
      </c>
      <c r="C74" s="80">
        <v>20.7271</v>
      </c>
      <c r="D74" s="3">
        <v>1993</v>
      </c>
      <c r="E74" s="3">
        <v>8</v>
      </c>
      <c r="F74" s="3">
        <v>24</v>
      </c>
      <c r="G74" s="2">
        <v>5.4239999999999995</v>
      </c>
      <c r="H74" s="3" t="s">
        <v>26</v>
      </c>
      <c r="I74" s="14">
        <v>23.9</v>
      </c>
      <c r="J74" s="12">
        <v>17</v>
      </c>
      <c r="K74" s="12">
        <v>47</v>
      </c>
      <c r="L74" s="3" t="s">
        <v>10</v>
      </c>
    </row>
    <row r="75" spans="1:12" x14ac:dyDescent="0.3">
      <c r="A75" s="17">
        <v>74</v>
      </c>
      <c r="B75" s="80">
        <v>76.62</v>
      </c>
      <c r="C75" s="80">
        <v>18.7</v>
      </c>
      <c r="D75" s="3">
        <v>1993</v>
      </c>
      <c r="E75" s="3">
        <v>9</v>
      </c>
      <c r="F75" s="3">
        <v>30</v>
      </c>
      <c r="G75" s="2">
        <v>6.3</v>
      </c>
      <c r="H75" s="3" t="s">
        <v>26</v>
      </c>
      <c r="I75" s="14">
        <v>12</v>
      </c>
      <c r="J75" s="12">
        <v>3</v>
      </c>
      <c r="K75" s="12">
        <v>55</v>
      </c>
      <c r="L75" s="3" t="s">
        <v>27</v>
      </c>
    </row>
    <row r="76" spans="1:12" x14ac:dyDescent="0.3">
      <c r="A76" s="17">
        <v>75</v>
      </c>
      <c r="B76" s="79">
        <v>80</v>
      </c>
      <c r="C76" s="79">
        <v>23</v>
      </c>
      <c r="D76" s="11">
        <v>1993</v>
      </c>
      <c r="E76" s="11">
        <v>10</v>
      </c>
      <c r="F76" s="11">
        <v>31</v>
      </c>
      <c r="G76" s="2">
        <v>4.5999999999999996</v>
      </c>
      <c r="H76" s="3" t="s">
        <v>26</v>
      </c>
      <c r="I76" s="7">
        <v>0</v>
      </c>
      <c r="J76" s="10">
        <v>3</v>
      </c>
      <c r="K76" s="10">
        <v>47</v>
      </c>
      <c r="L76" s="11">
        <v>2</v>
      </c>
    </row>
    <row r="77" spans="1:12" x14ac:dyDescent="0.3">
      <c r="A77" s="17">
        <v>76</v>
      </c>
      <c r="B77" s="80">
        <v>80</v>
      </c>
      <c r="C77" s="80">
        <v>23</v>
      </c>
      <c r="D77" s="3">
        <v>1993</v>
      </c>
      <c r="E77" s="3">
        <v>10</v>
      </c>
      <c r="F77" s="3">
        <v>31</v>
      </c>
      <c r="G77" s="2">
        <v>4.7</v>
      </c>
      <c r="H77" s="3" t="s">
        <v>26</v>
      </c>
      <c r="I77" s="14">
        <v>0</v>
      </c>
      <c r="J77" s="12">
        <v>9</v>
      </c>
      <c r="K77" s="12">
        <v>17</v>
      </c>
      <c r="L77" s="3" t="s">
        <v>27</v>
      </c>
    </row>
    <row r="78" spans="1:12" x14ac:dyDescent="0.3">
      <c r="A78" s="17">
        <v>77</v>
      </c>
      <c r="B78" s="80">
        <v>72.720600000000005</v>
      </c>
      <c r="C78" s="80">
        <v>21.128799999999998</v>
      </c>
      <c r="D78" s="3">
        <v>1993</v>
      </c>
      <c r="E78" s="3">
        <v>12</v>
      </c>
      <c r="F78" s="3">
        <v>31</v>
      </c>
      <c r="G78" s="2">
        <v>4.48644</v>
      </c>
      <c r="H78" s="3" t="s">
        <v>26</v>
      </c>
      <c r="I78" s="14">
        <v>35</v>
      </c>
      <c r="J78" s="12">
        <v>13</v>
      </c>
      <c r="K78" s="12">
        <v>32</v>
      </c>
      <c r="L78" s="3" t="s">
        <v>14</v>
      </c>
    </row>
    <row r="79" spans="1:12" x14ac:dyDescent="0.3">
      <c r="A79" s="17">
        <v>78</v>
      </c>
      <c r="B79" s="80">
        <v>72.739999999999995</v>
      </c>
      <c r="C79" s="80">
        <v>21.117000000000001</v>
      </c>
      <c r="D79" s="3">
        <v>1993</v>
      </c>
      <c r="E79" s="3">
        <v>12</v>
      </c>
      <c r="F79" s="3">
        <v>31</v>
      </c>
      <c r="G79" s="2">
        <v>4.48644</v>
      </c>
      <c r="H79" s="3" t="s">
        <v>26</v>
      </c>
      <c r="I79" s="14">
        <v>33</v>
      </c>
      <c r="J79" s="12">
        <v>13</v>
      </c>
      <c r="K79" s="12">
        <v>32</v>
      </c>
      <c r="L79" s="3" t="s">
        <v>25</v>
      </c>
    </row>
    <row r="80" spans="1:12" x14ac:dyDescent="0.3">
      <c r="A80" s="17">
        <v>79</v>
      </c>
      <c r="B80" s="79">
        <v>72.72</v>
      </c>
      <c r="C80" s="79">
        <v>21.12</v>
      </c>
      <c r="D80" s="11">
        <v>1993</v>
      </c>
      <c r="E80" s="11">
        <v>12</v>
      </c>
      <c r="F80" s="11">
        <v>31</v>
      </c>
      <c r="G80" s="2">
        <v>4.2</v>
      </c>
      <c r="H80" s="3" t="s">
        <v>26</v>
      </c>
      <c r="I80" s="7">
        <v>35.200000000000003</v>
      </c>
      <c r="J80" s="10">
        <v>13</v>
      </c>
      <c r="K80" s="10">
        <v>32</v>
      </c>
      <c r="L80" s="11">
        <v>1</v>
      </c>
    </row>
    <row r="81" spans="1:12" x14ac:dyDescent="0.3">
      <c r="A81" s="17">
        <v>80</v>
      </c>
      <c r="B81" s="80">
        <v>78.654799999999994</v>
      </c>
      <c r="C81" s="80">
        <v>25.9908</v>
      </c>
      <c r="D81" s="3">
        <v>1994</v>
      </c>
      <c r="E81" s="3">
        <v>8</v>
      </c>
      <c r="F81" s="3">
        <v>31</v>
      </c>
      <c r="G81" s="2">
        <v>5.1896100000000001</v>
      </c>
      <c r="H81" s="3" t="s">
        <v>26</v>
      </c>
      <c r="I81" s="14">
        <v>23.5</v>
      </c>
      <c r="J81" s="12">
        <v>23</v>
      </c>
      <c r="K81" s="12">
        <v>29</v>
      </c>
      <c r="L81" s="3" t="s">
        <v>10</v>
      </c>
    </row>
    <row r="82" spans="1:12" x14ac:dyDescent="0.3">
      <c r="A82" s="17">
        <v>81</v>
      </c>
      <c r="B82" s="80">
        <v>78.566000000000003</v>
      </c>
      <c r="C82" s="80">
        <v>25.850999999999999</v>
      </c>
      <c r="D82" s="3">
        <v>1994</v>
      </c>
      <c r="E82" s="3">
        <v>8</v>
      </c>
      <c r="F82" s="3">
        <v>31</v>
      </c>
      <c r="G82" s="2">
        <v>5.1896100000000001</v>
      </c>
      <c r="H82" s="3" t="s">
        <v>26</v>
      </c>
      <c r="I82" s="14">
        <v>33</v>
      </c>
      <c r="J82" s="12">
        <v>23</v>
      </c>
      <c r="K82" s="12">
        <v>29</v>
      </c>
      <c r="L82" s="3" t="s">
        <v>25</v>
      </c>
    </row>
    <row r="83" spans="1:12" x14ac:dyDescent="0.3">
      <c r="A83" s="17">
        <v>82</v>
      </c>
      <c r="B83" s="79">
        <v>78.599999999999994</v>
      </c>
      <c r="C83" s="79">
        <v>25.9</v>
      </c>
      <c r="D83" s="11">
        <v>1994</v>
      </c>
      <c r="E83" s="10">
        <v>8</v>
      </c>
      <c r="F83" s="11">
        <v>31</v>
      </c>
      <c r="G83" s="2">
        <v>4.5999999999999996</v>
      </c>
      <c r="H83" s="3" t="s">
        <v>26</v>
      </c>
      <c r="I83" s="7">
        <v>33</v>
      </c>
      <c r="J83" s="10">
        <v>23</v>
      </c>
      <c r="K83" s="10">
        <v>29</v>
      </c>
      <c r="L83" s="11">
        <v>2</v>
      </c>
    </row>
    <row r="84" spans="1:12" x14ac:dyDescent="0.3">
      <c r="A84" s="17">
        <v>83</v>
      </c>
      <c r="B84" s="80">
        <v>78.599999999999994</v>
      </c>
      <c r="C84" s="80">
        <v>25.9</v>
      </c>
      <c r="D84" s="3">
        <v>1994</v>
      </c>
      <c r="E84" s="3">
        <v>9</v>
      </c>
      <c r="F84" s="3">
        <v>1</v>
      </c>
      <c r="G84" s="2">
        <v>4.7</v>
      </c>
      <c r="H84" s="3" t="s">
        <v>26</v>
      </c>
      <c r="I84" s="14">
        <v>33</v>
      </c>
      <c r="J84" s="12">
        <v>4</v>
      </c>
      <c r="K84" s="12">
        <v>59</v>
      </c>
      <c r="L84" s="3" t="s">
        <v>27</v>
      </c>
    </row>
    <row r="85" spans="1:12" x14ac:dyDescent="0.3">
      <c r="A85" s="17">
        <v>84</v>
      </c>
      <c r="B85" s="79">
        <v>78.3</v>
      </c>
      <c r="C85" s="79">
        <v>22.7</v>
      </c>
      <c r="D85" s="11">
        <v>1995</v>
      </c>
      <c r="E85" s="10">
        <v>5</v>
      </c>
      <c r="F85" s="10">
        <v>2</v>
      </c>
      <c r="G85" s="2">
        <v>4.3</v>
      </c>
      <c r="H85" s="3" t="s">
        <v>26</v>
      </c>
      <c r="I85" s="7">
        <v>33</v>
      </c>
      <c r="J85" s="10">
        <v>0</v>
      </c>
      <c r="K85" s="10">
        <v>46</v>
      </c>
      <c r="L85" s="11">
        <v>2</v>
      </c>
    </row>
    <row r="86" spans="1:12" x14ac:dyDescent="0.3">
      <c r="A86" s="17">
        <v>85</v>
      </c>
      <c r="B86" s="80">
        <v>78.3</v>
      </c>
      <c r="C86" s="80">
        <v>22.7</v>
      </c>
      <c r="D86" s="3">
        <v>1995</v>
      </c>
      <c r="E86" s="3">
        <v>5</v>
      </c>
      <c r="F86" s="3">
        <v>2</v>
      </c>
      <c r="G86" s="2">
        <v>4.4000000000000004</v>
      </c>
      <c r="H86" s="3" t="s">
        <v>26</v>
      </c>
      <c r="I86" s="14">
        <v>33</v>
      </c>
      <c r="J86" s="12">
        <v>6</v>
      </c>
      <c r="K86" s="12">
        <v>16</v>
      </c>
      <c r="L86" s="3" t="s">
        <v>27</v>
      </c>
    </row>
    <row r="87" spans="1:12" x14ac:dyDescent="0.3">
      <c r="A87" s="17">
        <v>86</v>
      </c>
      <c r="B87" s="80">
        <v>75.900000000000006</v>
      </c>
      <c r="C87" s="80">
        <v>19.899999999999999</v>
      </c>
      <c r="D87" s="3">
        <v>1995</v>
      </c>
      <c r="E87" s="3">
        <v>11</v>
      </c>
      <c r="F87" s="3">
        <v>7</v>
      </c>
      <c r="G87" s="2">
        <v>3.4</v>
      </c>
      <c r="H87" s="3" t="s">
        <v>26</v>
      </c>
      <c r="I87" s="14">
        <v>33</v>
      </c>
      <c r="J87" s="12">
        <v>11</v>
      </c>
      <c r="K87" s="12">
        <v>48</v>
      </c>
      <c r="L87" s="3" t="s">
        <v>27</v>
      </c>
    </row>
    <row r="88" spans="1:12" x14ac:dyDescent="0.3">
      <c r="A88" s="17">
        <v>87</v>
      </c>
      <c r="B88" s="80">
        <v>74.400000000000006</v>
      </c>
      <c r="C88" s="80">
        <v>25.3</v>
      </c>
      <c r="D88" s="3">
        <v>1995</v>
      </c>
      <c r="E88" s="3">
        <v>12</v>
      </c>
      <c r="F88" s="3">
        <v>19</v>
      </c>
      <c r="G88" s="2">
        <v>3.3</v>
      </c>
      <c r="H88" s="3" t="s">
        <v>26</v>
      </c>
      <c r="I88" s="14">
        <v>33</v>
      </c>
      <c r="J88" s="12">
        <v>5</v>
      </c>
      <c r="K88" s="12">
        <v>15</v>
      </c>
      <c r="L88" s="3" t="s">
        <v>27</v>
      </c>
    </row>
    <row r="89" spans="1:12" x14ac:dyDescent="0.3">
      <c r="A89" s="17">
        <v>88</v>
      </c>
      <c r="B89" s="79">
        <v>73.3</v>
      </c>
      <c r="C89" s="79">
        <v>24.7</v>
      </c>
      <c r="D89" s="11">
        <v>1996</v>
      </c>
      <c r="E89" s="10">
        <v>1</v>
      </c>
      <c r="F89" s="10">
        <v>4</v>
      </c>
      <c r="G89" s="2">
        <v>4.2</v>
      </c>
      <c r="H89" s="3" t="s">
        <v>26</v>
      </c>
      <c r="I89" s="7">
        <v>33</v>
      </c>
      <c r="J89" s="10">
        <v>7</v>
      </c>
      <c r="K89" s="10">
        <v>30</v>
      </c>
      <c r="L89" s="11">
        <v>2</v>
      </c>
    </row>
    <row r="90" spans="1:12" x14ac:dyDescent="0.3">
      <c r="A90" s="17">
        <v>89</v>
      </c>
      <c r="B90" s="80">
        <v>73.3</v>
      </c>
      <c r="C90" s="80">
        <v>24.7</v>
      </c>
      <c r="D90" s="3">
        <v>1996</v>
      </c>
      <c r="E90" s="3">
        <v>1</v>
      </c>
      <c r="F90" s="3">
        <v>4</v>
      </c>
      <c r="G90" s="2">
        <v>4.3</v>
      </c>
      <c r="H90" s="3" t="s">
        <v>26</v>
      </c>
      <c r="I90" s="14">
        <v>33</v>
      </c>
      <c r="J90" s="12">
        <v>13</v>
      </c>
      <c r="K90" s="12">
        <v>0</v>
      </c>
      <c r="L90" s="3" t="s">
        <v>27</v>
      </c>
    </row>
    <row r="91" spans="1:12" x14ac:dyDescent="0.3">
      <c r="A91" s="17">
        <v>90</v>
      </c>
      <c r="B91" s="80">
        <v>77.644499999999994</v>
      </c>
      <c r="C91" s="80">
        <v>22.251899999999999</v>
      </c>
      <c r="D91" s="3">
        <v>1996</v>
      </c>
      <c r="E91" s="3">
        <v>1</v>
      </c>
      <c r="F91" s="3">
        <v>10</v>
      </c>
      <c r="G91" s="2">
        <v>4.7208299999999994</v>
      </c>
      <c r="H91" s="3" t="s">
        <v>26</v>
      </c>
      <c r="I91" s="14">
        <v>35</v>
      </c>
      <c r="J91" s="12">
        <v>10</v>
      </c>
      <c r="K91" s="12">
        <v>37</v>
      </c>
      <c r="L91" s="3" t="s">
        <v>10</v>
      </c>
    </row>
    <row r="92" spans="1:12" x14ac:dyDescent="0.3">
      <c r="A92" s="17">
        <v>91</v>
      </c>
      <c r="B92" s="80">
        <v>77.665999999999997</v>
      </c>
      <c r="C92" s="80">
        <v>22.173999999999999</v>
      </c>
      <c r="D92" s="3">
        <v>1996</v>
      </c>
      <c r="E92" s="3">
        <v>1</v>
      </c>
      <c r="F92" s="3">
        <v>10</v>
      </c>
      <c r="G92" s="2">
        <v>4.6426999999999996</v>
      </c>
      <c r="H92" s="3" t="s">
        <v>26</v>
      </c>
      <c r="I92" s="14">
        <v>10</v>
      </c>
      <c r="J92" s="12">
        <v>10</v>
      </c>
      <c r="K92" s="12">
        <v>37</v>
      </c>
      <c r="L92" s="3" t="s">
        <v>25</v>
      </c>
    </row>
    <row r="93" spans="1:12" x14ac:dyDescent="0.3">
      <c r="A93" s="17">
        <v>92</v>
      </c>
      <c r="B93" s="79">
        <v>77.599999999999994</v>
      </c>
      <c r="C93" s="79">
        <v>22.2</v>
      </c>
      <c r="D93" s="11">
        <v>1996</v>
      </c>
      <c r="E93" s="10">
        <v>1</v>
      </c>
      <c r="F93" s="11">
        <v>10</v>
      </c>
      <c r="G93" s="2">
        <v>3.9</v>
      </c>
      <c r="H93" s="3" t="s">
        <v>26</v>
      </c>
      <c r="I93" s="7">
        <v>33</v>
      </c>
      <c r="J93" s="10">
        <v>10</v>
      </c>
      <c r="K93" s="10">
        <v>37</v>
      </c>
      <c r="L93" s="11">
        <v>2</v>
      </c>
    </row>
    <row r="94" spans="1:12" x14ac:dyDescent="0.3">
      <c r="A94" s="17">
        <v>93</v>
      </c>
      <c r="B94" s="80">
        <v>77.599999999999994</v>
      </c>
      <c r="C94" s="80">
        <v>22.2</v>
      </c>
      <c r="D94" s="3">
        <v>1996</v>
      </c>
      <c r="E94" s="3">
        <v>1</v>
      </c>
      <c r="F94" s="3">
        <v>10</v>
      </c>
      <c r="G94" s="2">
        <v>4</v>
      </c>
      <c r="H94" s="3" t="s">
        <v>26</v>
      </c>
      <c r="I94" s="14">
        <v>33</v>
      </c>
      <c r="J94" s="12">
        <v>16</v>
      </c>
      <c r="K94" s="12">
        <v>7</v>
      </c>
      <c r="L94" s="3" t="s">
        <v>27</v>
      </c>
    </row>
    <row r="95" spans="1:12" x14ac:dyDescent="0.3">
      <c r="A95" s="17">
        <v>94</v>
      </c>
      <c r="B95" s="80">
        <v>77.599999999999994</v>
      </c>
      <c r="C95" s="80">
        <v>22.4</v>
      </c>
      <c r="D95" s="3">
        <v>1996</v>
      </c>
      <c r="E95" s="3">
        <v>1</v>
      </c>
      <c r="F95" s="3">
        <v>10</v>
      </c>
      <c r="G95" s="2">
        <v>4.5</v>
      </c>
      <c r="H95" s="3" t="s">
        <v>26</v>
      </c>
      <c r="I95" s="14">
        <v>33</v>
      </c>
      <c r="J95" s="12">
        <v>16</v>
      </c>
      <c r="K95" s="12">
        <v>7</v>
      </c>
      <c r="L95" s="3" t="s">
        <v>27</v>
      </c>
    </row>
    <row r="96" spans="1:12" x14ac:dyDescent="0.3">
      <c r="A96" s="17">
        <v>95</v>
      </c>
      <c r="B96" s="80">
        <v>76.099999999999994</v>
      </c>
      <c r="C96" s="80">
        <v>24.1</v>
      </c>
      <c r="D96" s="3">
        <v>1996</v>
      </c>
      <c r="E96" s="3">
        <v>2</v>
      </c>
      <c r="F96" s="3">
        <v>13</v>
      </c>
      <c r="G96" s="2">
        <v>3.6</v>
      </c>
      <c r="H96" s="3" t="s">
        <v>26</v>
      </c>
      <c r="I96" s="14">
        <v>33</v>
      </c>
      <c r="J96" s="12">
        <v>1</v>
      </c>
      <c r="K96" s="12">
        <v>50</v>
      </c>
      <c r="L96" s="3" t="s">
        <v>27</v>
      </c>
    </row>
    <row r="97" spans="1:12" x14ac:dyDescent="0.3">
      <c r="A97" s="17">
        <v>96</v>
      </c>
      <c r="B97" s="79">
        <v>72.62</v>
      </c>
      <c r="C97" s="79">
        <v>26.82</v>
      </c>
      <c r="D97" s="11">
        <v>1996</v>
      </c>
      <c r="E97" s="10">
        <v>2</v>
      </c>
      <c r="F97" s="11">
        <v>27</v>
      </c>
      <c r="G97" s="2">
        <v>4.3</v>
      </c>
      <c r="H97" s="3" t="s">
        <v>26</v>
      </c>
      <c r="I97" s="7">
        <v>0</v>
      </c>
      <c r="J97" s="10">
        <v>9</v>
      </c>
      <c r="K97" s="10">
        <v>4</v>
      </c>
      <c r="L97" s="11">
        <v>1</v>
      </c>
    </row>
    <row r="98" spans="1:12" x14ac:dyDescent="0.3">
      <c r="A98" s="17">
        <v>97</v>
      </c>
      <c r="B98" s="80">
        <v>74.5</v>
      </c>
      <c r="C98" s="80">
        <v>22.1</v>
      </c>
      <c r="D98" s="3">
        <v>1996</v>
      </c>
      <c r="E98" s="3">
        <v>3</v>
      </c>
      <c r="F98" s="3">
        <v>12</v>
      </c>
      <c r="G98" s="2">
        <v>3.5</v>
      </c>
      <c r="H98" s="3" t="s">
        <v>26</v>
      </c>
      <c r="I98" s="14">
        <v>33</v>
      </c>
      <c r="J98" s="12">
        <v>9</v>
      </c>
      <c r="K98" s="12">
        <v>38</v>
      </c>
      <c r="L98" s="3" t="s">
        <v>27</v>
      </c>
    </row>
    <row r="99" spans="1:12" x14ac:dyDescent="0.3">
      <c r="A99" s="17">
        <v>98</v>
      </c>
      <c r="B99" s="80">
        <v>77.2</v>
      </c>
      <c r="C99" s="80">
        <v>26.5</v>
      </c>
      <c r="D99" s="3">
        <v>1996</v>
      </c>
      <c r="E99" s="3">
        <v>7</v>
      </c>
      <c r="F99" s="3">
        <v>29</v>
      </c>
      <c r="G99" s="2">
        <v>3.5</v>
      </c>
      <c r="H99" s="3" t="s">
        <v>26</v>
      </c>
      <c r="I99" s="14">
        <v>0</v>
      </c>
      <c r="J99" s="12">
        <v>2</v>
      </c>
      <c r="K99" s="12">
        <v>24</v>
      </c>
      <c r="L99" s="3" t="s">
        <v>27</v>
      </c>
    </row>
    <row r="100" spans="1:12" x14ac:dyDescent="0.3">
      <c r="A100" s="17">
        <v>99</v>
      </c>
      <c r="B100" s="80">
        <v>76.727000000000004</v>
      </c>
      <c r="C100" s="80">
        <v>18.238600000000002</v>
      </c>
      <c r="D100" s="3">
        <v>1996</v>
      </c>
      <c r="E100" s="3">
        <v>11</v>
      </c>
      <c r="F100" s="3">
        <v>10</v>
      </c>
      <c r="G100" s="2">
        <v>4.8770899999999999</v>
      </c>
      <c r="H100" s="3" t="s">
        <v>26</v>
      </c>
      <c r="I100" s="14">
        <v>35</v>
      </c>
      <c r="J100" s="12">
        <v>9</v>
      </c>
      <c r="K100" s="12">
        <v>0</v>
      </c>
      <c r="L100" s="3" t="s">
        <v>10</v>
      </c>
    </row>
    <row r="101" spans="1:12" x14ac:dyDescent="0.3">
      <c r="A101" s="17">
        <v>100</v>
      </c>
      <c r="B101" s="80">
        <v>76.694999999999993</v>
      </c>
      <c r="C101" s="80">
        <v>18.300999999999998</v>
      </c>
      <c r="D101" s="3">
        <v>1996</v>
      </c>
      <c r="E101" s="3">
        <v>11</v>
      </c>
      <c r="F101" s="3">
        <v>10</v>
      </c>
      <c r="G101" s="2">
        <v>4.7208299999999994</v>
      </c>
      <c r="H101" s="3" t="s">
        <v>26</v>
      </c>
      <c r="I101" s="14">
        <v>33</v>
      </c>
      <c r="J101" s="12">
        <v>9</v>
      </c>
      <c r="K101" s="12">
        <v>0</v>
      </c>
      <c r="L101" s="3" t="s">
        <v>25</v>
      </c>
    </row>
    <row r="102" spans="1:12" x14ac:dyDescent="0.3">
      <c r="A102" s="17">
        <v>101</v>
      </c>
      <c r="B102" s="79">
        <v>76.69</v>
      </c>
      <c r="C102" s="79">
        <v>18.3</v>
      </c>
      <c r="D102" s="11">
        <v>1996</v>
      </c>
      <c r="E102" s="11">
        <v>11</v>
      </c>
      <c r="F102" s="11">
        <v>10</v>
      </c>
      <c r="G102" s="2">
        <v>4</v>
      </c>
      <c r="H102" s="3" t="s">
        <v>26</v>
      </c>
      <c r="I102" s="7">
        <v>33</v>
      </c>
      <c r="J102" s="10">
        <v>9</v>
      </c>
      <c r="K102" s="10">
        <v>0</v>
      </c>
      <c r="L102" s="11">
        <v>2</v>
      </c>
    </row>
    <row r="103" spans="1:12" x14ac:dyDescent="0.3">
      <c r="A103" s="17">
        <v>102</v>
      </c>
      <c r="B103" s="80">
        <v>76.69</v>
      </c>
      <c r="C103" s="80">
        <v>18.3</v>
      </c>
      <c r="D103" s="3">
        <v>1996</v>
      </c>
      <c r="E103" s="3">
        <v>11</v>
      </c>
      <c r="F103" s="3">
        <v>10</v>
      </c>
      <c r="G103" s="2">
        <v>4.0999999999999996</v>
      </c>
      <c r="H103" s="3" t="s">
        <v>26</v>
      </c>
      <c r="I103" s="14">
        <v>33</v>
      </c>
      <c r="J103" s="12">
        <v>14</v>
      </c>
      <c r="K103" s="12">
        <v>30</v>
      </c>
      <c r="L103" s="3" t="s">
        <v>27</v>
      </c>
    </row>
    <row r="104" spans="1:12" x14ac:dyDescent="0.3">
      <c r="A104" s="17">
        <v>103</v>
      </c>
      <c r="B104" s="80">
        <v>73.223399999999998</v>
      </c>
      <c r="C104" s="80">
        <v>21.383800000000001</v>
      </c>
      <c r="D104" s="3">
        <v>1996</v>
      </c>
      <c r="E104" s="3">
        <v>11</v>
      </c>
      <c r="F104" s="3">
        <v>17</v>
      </c>
      <c r="G104" s="2">
        <v>4.7208299999999994</v>
      </c>
      <c r="H104" s="3" t="s">
        <v>26</v>
      </c>
      <c r="I104" s="14">
        <v>35</v>
      </c>
      <c r="J104" s="12">
        <v>18</v>
      </c>
      <c r="K104" s="12">
        <v>12</v>
      </c>
      <c r="L104" s="3" t="s">
        <v>10</v>
      </c>
    </row>
    <row r="105" spans="1:12" x14ac:dyDescent="0.3">
      <c r="A105" s="17">
        <v>104</v>
      </c>
      <c r="B105" s="80">
        <v>73.042000000000002</v>
      </c>
      <c r="C105" s="80">
        <v>21.471</v>
      </c>
      <c r="D105" s="3">
        <v>1996</v>
      </c>
      <c r="E105" s="3">
        <v>11</v>
      </c>
      <c r="F105" s="3">
        <v>17</v>
      </c>
      <c r="G105" s="2">
        <v>4.7989600000000001</v>
      </c>
      <c r="H105" s="3" t="s">
        <v>26</v>
      </c>
      <c r="I105" s="14">
        <v>10</v>
      </c>
      <c r="J105" s="12">
        <v>18</v>
      </c>
      <c r="K105" s="12">
        <v>12</v>
      </c>
      <c r="L105" s="3" t="s">
        <v>25</v>
      </c>
    </row>
    <row r="106" spans="1:12" x14ac:dyDescent="0.3">
      <c r="A106" s="17">
        <v>105</v>
      </c>
      <c r="B106" s="80">
        <v>73</v>
      </c>
      <c r="C106" s="80">
        <v>21.5</v>
      </c>
      <c r="D106" s="3">
        <v>1996</v>
      </c>
      <c r="E106" s="3">
        <v>11</v>
      </c>
      <c r="F106" s="3">
        <v>17</v>
      </c>
      <c r="G106" s="2">
        <v>4.2</v>
      </c>
      <c r="H106" s="3" t="s">
        <v>26</v>
      </c>
      <c r="I106" s="14">
        <v>10</v>
      </c>
      <c r="J106" s="12">
        <v>18</v>
      </c>
      <c r="K106" s="12">
        <v>12</v>
      </c>
      <c r="L106" s="3" t="s">
        <v>27</v>
      </c>
    </row>
    <row r="107" spans="1:12" x14ac:dyDescent="0.3">
      <c r="A107" s="17">
        <v>106</v>
      </c>
      <c r="B107" s="80">
        <v>80.133600000000001</v>
      </c>
      <c r="C107" s="80">
        <v>23.102699999999999</v>
      </c>
      <c r="D107" s="3">
        <v>1997</v>
      </c>
      <c r="E107" s="3">
        <v>5</v>
      </c>
      <c r="F107" s="3">
        <v>21</v>
      </c>
      <c r="G107" s="2">
        <v>5.8</v>
      </c>
      <c r="H107" s="3" t="s">
        <v>26</v>
      </c>
      <c r="I107" s="14">
        <v>35.9</v>
      </c>
      <c r="J107" s="12">
        <v>22</v>
      </c>
      <c r="K107" s="12">
        <v>51</v>
      </c>
      <c r="L107" s="3" t="s">
        <v>16</v>
      </c>
    </row>
    <row r="108" spans="1:12" x14ac:dyDescent="0.3">
      <c r="A108" s="17">
        <v>107</v>
      </c>
      <c r="B108" s="80">
        <v>80.040999999999997</v>
      </c>
      <c r="C108" s="80">
        <v>23.082999999999998</v>
      </c>
      <c r="D108" s="3">
        <v>1997</v>
      </c>
      <c r="E108" s="3">
        <v>5</v>
      </c>
      <c r="F108" s="3">
        <v>21</v>
      </c>
      <c r="G108" s="2">
        <v>5.8</v>
      </c>
      <c r="H108" s="3" t="s">
        <v>26</v>
      </c>
      <c r="I108" s="14">
        <v>36</v>
      </c>
      <c r="J108" s="12">
        <v>22</v>
      </c>
      <c r="K108" s="12">
        <v>51</v>
      </c>
      <c r="L108" s="3" t="s">
        <v>25</v>
      </c>
    </row>
    <row r="109" spans="1:12" x14ac:dyDescent="0.3">
      <c r="A109" s="17">
        <v>108</v>
      </c>
      <c r="B109" s="79">
        <v>80.14</v>
      </c>
      <c r="C109" s="79">
        <v>23.08</v>
      </c>
      <c r="D109" s="11">
        <v>1997</v>
      </c>
      <c r="E109" s="10">
        <v>5</v>
      </c>
      <c r="F109" s="11">
        <v>21</v>
      </c>
      <c r="G109" s="2">
        <v>6.1</v>
      </c>
      <c r="H109" s="3" t="s">
        <v>26</v>
      </c>
      <c r="I109" s="7">
        <v>36</v>
      </c>
      <c r="J109" s="10">
        <v>22</v>
      </c>
      <c r="K109" s="10">
        <v>51</v>
      </c>
      <c r="L109" s="11">
        <v>2</v>
      </c>
    </row>
    <row r="110" spans="1:12" x14ac:dyDescent="0.3">
      <c r="A110" s="17">
        <v>109</v>
      </c>
      <c r="B110" s="80">
        <v>80.14</v>
      </c>
      <c r="C110" s="80">
        <v>23.8</v>
      </c>
      <c r="D110" s="3">
        <v>1997</v>
      </c>
      <c r="E110" s="3">
        <v>5</v>
      </c>
      <c r="F110" s="3">
        <v>22</v>
      </c>
      <c r="G110" s="2">
        <v>5.8</v>
      </c>
      <c r="H110" s="3" t="s">
        <v>26</v>
      </c>
      <c r="I110" s="14">
        <v>36</v>
      </c>
      <c r="J110" s="12">
        <v>4</v>
      </c>
      <c r="K110" s="12">
        <v>21</v>
      </c>
      <c r="L110" s="3" t="s">
        <v>27</v>
      </c>
    </row>
    <row r="111" spans="1:12" x14ac:dyDescent="0.3">
      <c r="A111" s="17">
        <v>110</v>
      </c>
      <c r="B111" s="80">
        <v>80.28</v>
      </c>
      <c r="C111" s="80">
        <v>22.93</v>
      </c>
      <c r="D111" s="3">
        <v>1997</v>
      </c>
      <c r="E111" s="3">
        <v>6</v>
      </c>
      <c r="F111" s="3">
        <v>4</v>
      </c>
      <c r="G111" s="2">
        <v>3.6</v>
      </c>
      <c r="H111" s="3" t="s">
        <v>26</v>
      </c>
      <c r="I111" s="14">
        <v>0</v>
      </c>
      <c r="J111" s="12">
        <v>19</v>
      </c>
      <c r="K111" s="12">
        <v>20</v>
      </c>
      <c r="L111" s="3" t="s">
        <v>27</v>
      </c>
    </row>
    <row r="112" spans="1:12" x14ac:dyDescent="0.3">
      <c r="A112" s="17">
        <v>111</v>
      </c>
      <c r="B112" s="80">
        <v>79.928899999999999</v>
      </c>
      <c r="C112" s="80">
        <v>23.1023</v>
      </c>
      <c r="D112" s="3">
        <v>1997</v>
      </c>
      <c r="E112" s="3">
        <v>6</v>
      </c>
      <c r="F112" s="3">
        <v>4</v>
      </c>
      <c r="G112" s="2">
        <v>4.48644</v>
      </c>
      <c r="H112" s="3" t="s">
        <v>26</v>
      </c>
      <c r="I112" s="14">
        <v>35</v>
      </c>
      <c r="J112" s="12">
        <v>19</v>
      </c>
      <c r="K112" s="12">
        <v>29</v>
      </c>
      <c r="L112" s="3" t="s">
        <v>10</v>
      </c>
    </row>
    <row r="113" spans="1:12" x14ac:dyDescent="0.3">
      <c r="A113" s="17">
        <v>112</v>
      </c>
      <c r="B113" s="80">
        <v>79.974000000000004</v>
      </c>
      <c r="C113" s="80">
        <v>23.138999999999999</v>
      </c>
      <c r="D113" s="3">
        <v>1997</v>
      </c>
      <c r="E113" s="3">
        <v>6</v>
      </c>
      <c r="F113" s="3">
        <v>4</v>
      </c>
      <c r="G113" s="2">
        <v>4.3038699999999999</v>
      </c>
      <c r="H113" s="3" t="s">
        <v>26</v>
      </c>
      <c r="I113" s="14">
        <v>33</v>
      </c>
      <c r="J113" s="12">
        <v>19</v>
      </c>
      <c r="K113" s="12">
        <v>29</v>
      </c>
      <c r="L113" s="3" t="s">
        <v>25</v>
      </c>
    </row>
    <row r="114" spans="1:12" x14ac:dyDescent="0.3">
      <c r="A114" s="17">
        <v>113</v>
      </c>
      <c r="B114" s="79">
        <v>80.040000000000006</v>
      </c>
      <c r="C114" s="79">
        <v>23.08</v>
      </c>
      <c r="D114" s="11">
        <v>1997</v>
      </c>
      <c r="E114" s="10">
        <v>6</v>
      </c>
      <c r="F114" s="10">
        <v>4</v>
      </c>
      <c r="G114" s="2">
        <v>4.3</v>
      </c>
      <c r="H114" s="3" t="s">
        <v>26</v>
      </c>
      <c r="I114" s="7">
        <v>31.4</v>
      </c>
      <c r="J114" s="10">
        <v>19</v>
      </c>
      <c r="K114" s="10">
        <v>29</v>
      </c>
      <c r="L114" s="11">
        <v>1</v>
      </c>
    </row>
    <row r="115" spans="1:12" x14ac:dyDescent="0.3">
      <c r="A115" s="17">
        <v>114</v>
      </c>
      <c r="B115" s="79">
        <v>73.599999999999994</v>
      </c>
      <c r="C115" s="79">
        <v>25</v>
      </c>
      <c r="D115" s="11">
        <v>1997</v>
      </c>
      <c r="E115" s="10">
        <v>7</v>
      </c>
      <c r="F115" s="11">
        <v>29</v>
      </c>
      <c r="G115" s="2">
        <v>4.5</v>
      </c>
      <c r="H115" s="3" t="s">
        <v>26</v>
      </c>
      <c r="I115" s="7">
        <v>33</v>
      </c>
      <c r="J115" s="10">
        <v>9</v>
      </c>
      <c r="K115" s="10">
        <v>43</v>
      </c>
      <c r="L115" s="11">
        <v>2</v>
      </c>
    </row>
    <row r="116" spans="1:12" x14ac:dyDescent="0.3">
      <c r="A116" s="17">
        <v>115</v>
      </c>
      <c r="B116" s="80">
        <v>73.599999999999994</v>
      </c>
      <c r="C116" s="80">
        <v>25</v>
      </c>
      <c r="D116" s="3">
        <v>1997</v>
      </c>
      <c r="E116" s="3">
        <v>7</v>
      </c>
      <c r="F116" s="3">
        <v>29</v>
      </c>
      <c r="G116" s="2">
        <v>4.5999999999999996</v>
      </c>
      <c r="H116" s="3" t="s">
        <v>26</v>
      </c>
      <c r="I116" s="14">
        <v>33</v>
      </c>
      <c r="J116" s="12">
        <v>15</v>
      </c>
      <c r="K116" s="12">
        <v>13</v>
      </c>
      <c r="L116" s="3" t="s">
        <v>27</v>
      </c>
    </row>
    <row r="117" spans="1:12" x14ac:dyDescent="0.3">
      <c r="A117" s="17">
        <v>116</v>
      </c>
      <c r="B117" s="80">
        <v>75.25</v>
      </c>
      <c r="C117" s="80">
        <v>21.55</v>
      </c>
      <c r="D117" s="3">
        <v>1997</v>
      </c>
      <c r="E117" s="3">
        <v>11</v>
      </c>
      <c r="F117" s="3">
        <v>13</v>
      </c>
      <c r="G117" s="2">
        <v>4.8770899999999999</v>
      </c>
      <c r="H117" s="3" t="s">
        <v>26</v>
      </c>
      <c r="I117" s="14">
        <v>8</v>
      </c>
      <c r="J117" s="12">
        <v>20</v>
      </c>
      <c r="K117" s="12">
        <v>17</v>
      </c>
      <c r="L117" s="3" t="s">
        <v>12</v>
      </c>
    </row>
    <row r="118" spans="1:12" x14ac:dyDescent="0.3">
      <c r="A118" s="17">
        <v>117</v>
      </c>
      <c r="B118" s="79">
        <v>75.25</v>
      </c>
      <c r="C118" s="79">
        <v>21.55</v>
      </c>
      <c r="D118" s="11">
        <v>1997</v>
      </c>
      <c r="E118" s="11">
        <v>11</v>
      </c>
      <c r="F118" s="11">
        <v>13</v>
      </c>
      <c r="G118" s="2">
        <v>4.7</v>
      </c>
      <c r="H118" s="3" t="s">
        <v>26</v>
      </c>
      <c r="I118" s="7">
        <v>8</v>
      </c>
      <c r="J118" s="10">
        <v>20</v>
      </c>
      <c r="K118" s="10">
        <v>17</v>
      </c>
      <c r="L118" s="11">
        <v>1</v>
      </c>
    </row>
    <row r="119" spans="1:12" x14ac:dyDescent="0.3">
      <c r="A119" s="17">
        <v>118</v>
      </c>
      <c r="B119" s="80">
        <v>78.173599999999993</v>
      </c>
      <c r="C119" s="80">
        <v>22.5579</v>
      </c>
      <c r="D119" s="3">
        <v>1998</v>
      </c>
      <c r="E119" s="3">
        <v>3</v>
      </c>
      <c r="F119" s="3">
        <v>9</v>
      </c>
      <c r="G119" s="2">
        <v>4.7989600000000001</v>
      </c>
      <c r="H119" s="3" t="s">
        <v>26</v>
      </c>
      <c r="I119" s="14">
        <v>35</v>
      </c>
      <c r="J119" s="12">
        <v>7</v>
      </c>
      <c r="K119" s="12">
        <v>41</v>
      </c>
      <c r="L119" s="3" t="s">
        <v>10</v>
      </c>
    </row>
    <row r="120" spans="1:12" x14ac:dyDescent="0.3">
      <c r="A120" s="17">
        <v>119</v>
      </c>
      <c r="B120" s="80">
        <v>78.016000000000005</v>
      </c>
      <c r="C120" s="80">
        <v>22.486999999999998</v>
      </c>
      <c r="D120" s="3">
        <v>1998</v>
      </c>
      <c r="E120" s="3">
        <v>3</v>
      </c>
      <c r="F120" s="3">
        <v>9</v>
      </c>
      <c r="G120" s="2">
        <v>4.8770899999999999</v>
      </c>
      <c r="H120" s="3" t="s">
        <v>26</v>
      </c>
      <c r="I120" s="14">
        <v>10</v>
      </c>
      <c r="J120" s="12">
        <v>7</v>
      </c>
      <c r="K120" s="12">
        <v>41</v>
      </c>
      <c r="L120" s="3" t="s">
        <v>25</v>
      </c>
    </row>
    <row r="121" spans="1:12" x14ac:dyDescent="0.3">
      <c r="A121" s="17">
        <v>120</v>
      </c>
      <c r="B121" s="79">
        <v>78</v>
      </c>
      <c r="C121" s="79">
        <v>22.4</v>
      </c>
      <c r="D121" s="11">
        <v>1998</v>
      </c>
      <c r="E121" s="10">
        <v>3</v>
      </c>
      <c r="F121" s="10">
        <v>9</v>
      </c>
      <c r="G121" s="2">
        <v>4.2</v>
      </c>
      <c r="H121" s="3" t="s">
        <v>26</v>
      </c>
      <c r="I121" s="7">
        <v>10</v>
      </c>
      <c r="J121" s="10">
        <v>7</v>
      </c>
      <c r="K121" s="10">
        <v>41</v>
      </c>
      <c r="L121" s="11">
        <v>2</v>
      </c>
    </row>
    <row r="122" spans="1:12" x14ac:dyDescent="0.3">
      <c r="A122" s="17">
        <v>121</v>
      </c>
      <c r="B122" s="80">
        <v>78</v>
      </c>
      <c r="C122" s="80">
        <v>22.4</v>
      </c>
      <c r="D122" s="3">
        <v>1998</v>
      </c>
      <c r="E122" s="3">
        <v>3</v>
      </c>
      <c r="F122" s="3">
        <v>9</v>
      </c>
      <c r="G122" s="2">
        <v>4.3</v>
      </c>
      <c r="H122" s="3" t="s">
        <v>26</v>
      </c>
      <c r="I122" s="14">
        <v>10</v>
      </c>
      <c r="J122" s="12">
        <v>13</v>
      </c>
      <c r="K122" s="12">
        <v>11</v>
      </c>
      <c r="L122" s="3" t="s">
        <v>27</v>
      </c>
    </row>
    <row r="123" spans="1:12" x14ac:dyDescent="0.3">
      <c r="A123" s="17">
        <v>122</v>
      </c>
      <c r="B123" s="79">
        <v>79.260000000000005</v>
      </c>
      <c r="C123" s="79">
        <v>22.51</v>
      </c>
      <c r="D123" s="11">
        <v>1998</v>
      </c>
      <c r="E123" s="10">
        <v>3</v>
      </c>
      <c r="F123" s="11">
        <v>29</v>
      </c>
      <c r="G123" s="2">
        <v>4.3</v>
      </c>
      <c r="H123" s="3" t="s">
        <v>26</v>
      </c>
      <c r="I123" s="7">
        <v>0</v>
      </c>
      <c r="J123" s="10">
        <v>18</v>
      </c>
      <c r="K123" s="10">
        <v>54</v>
      </c>
      <c r="L123" s="11">
        <v>1</v>
      </c>
    </row>
    <row r="124" spans="1:12" x14ac:dyDescent="0.3">
      <c r="A124" s="17">
        <v>123</v>
      </c>
      <c r="B124" s="80">
        <v>79.2</v>
      </c>
      <c r="C124" s="80">
        <v>22.5</v>
      </c>
      <c r="D124" s="3">
        <v>1998</v>
      </c>
      <c r="E124" s="3">
        <v>3</v>
      </c>
      <c r="F124" s="3">
        <v>30</v>
      </c>
      <c r="G124" s="2">
        <v>3.9</v>
      </c>
      <c r="H124" s="3" t="s">
        <v>26</v>
      </c>
      <c r="I124" s="14">
        <v>33</v>
      </c>
      <c r="J124" s="12">
        <v>0</v>
      </c>
      <c r="K124" s="12">
        <v>24</v>
      </c>
      <c r="L124" s="3" t="s">
        <v>27</v>
      </c>
    </row>
    <row r="125" spans="1:12" x14ac:dyDescent="0.3">
      <c r="A125" s="17">
        <v>124</v>
      </c>
      <c r="B125" s="80">
        <v>76.92</v>
      </c>
      <c r="C125" s="80">
        <v>21.26</v>
      </c>
      <c r="D125" s="3">
        <v>1998</v>
      </c>
      <c r="E125" s="3">
        <v>4</v>
      </c>
      <c r="F125" s="3">
        <v>18</v>
      </c>
      <c r="G125" s="2">
        <v>3.1</v>
      </c>
      <c r="H125" s="3" t="s">
        <v>26</v>
      </c>
      <c r="I125" s="14">
        <v>15</v>
      </c>
      <c r="J125" s="12">
        <v>3</v>
      </c>
      <c r="K125" s="12">
        <v>39</v>
      </c>
      <c r="L125" s="3" t="s">
        <v>27</v>
      </c>
    </row>
    <row r="126" spans="1:12" x14ac:dyDescent="0.3">
      <c r="A126" s="17">
        <v>125</v>
      </c>
      <c r="B126" s="79">
        <v>71.8</v>
      </c>
      <c r="C126" s="79">
        <v>27.1</v>
      </c>
      <c r="D126" s="11">
        <v>1998</v>
      </c>
      <c r="E126" s="10">
        <v>5</v>
      </c>
      <c r="F126" s="11">
        <v>11</v>
      </c>
      <c r="G126" s="2">
        <v>5.2</v>
      </c>
      <c r="H126" s="3" t="s">
        <v>26</v>
      </c>
      <c r="I126" s="7">
        <v>0</v>
      </c>
      <c r="J126" s="10">
        <v>10</v>
      </c>
      <c r="K126" s="10">
        <v>13</v>
      </c>
      <c r="L126" s="11">
        <v>2</v>
      </c>
    </row>
    <row r="127" spans="1:12" x14ac:dyDescent="0.3">
      <c r="A127" s="17">
        <v>126</v>
      </c>
      <c r="B127" s="80">
        <v>73.900000000000006</v>
      </c>
      <c r="C127" s="80">
        <v>19.2</v>
      </c>
      <c r="D127" s="3">
        <v>1998</v>
      </c>
      <c r="E127" s="3">
        <v>5</v>
      </c>
      <c r="F127" s="3">
        <v>31</v>
      </c>
      <c r="G127" s="2">
        <v>3.6</v>
      </c>
      <c r="H127" s="3" t="s">
        <v>26</v>
      </c>
      <c r="I127" s="14">
        <v>10</v>
      </c>
      <c r="J127" s="12">
        <v>18</v>
      </c>
      <c r="K127" s="12">
        <v>58</v>
      </c>
      <c r="L127" s="3" t="s">
        <v>27</v>
      </c>
    </row>
    <row r="128" spans="1:12" x14ac:dyDescent="0.3">
      <c r="A128" s="17">
        <v>127</v>
      </c>
      <c r="B128" s="80">
        <v>77.832899999999995</v>
      </c>
      <c r="C128" s="80">
        <v>22.511600000000001</v>
      </c>
      <c r="D128" s="3">
        <v>1998</v>
      </c>
      <c r="E128" s="3">
        <v>7</v>
      </c>
      <c r="F128" s="3">
        <v>19</v>
      </c>
      <c r="G128" s="2">
        <v>4.09579</v>
      </c>
      <c r="H128" s="3" t="s">
        <v>26</v>
      </c>
      <c r="I128" s="14">
        <v>35</v>
      </c>
      <c r="J128" s="12">
        <v>12</v>
      </c>
      <c r="K128" s="12">
        <v>57</v>
      </c>
      <c r="L128" s="3" t="s">
        <v>17</v>
      </c>
    </row>
    <row r="129" spans="1:12" x14ac:dyDescent="0.3">
      <c r="A129" s="17">
        <v>128</v>
      </c>
      <c r="B129" s="80">
        <v>78.2</v>
      </c>
      <c r="C129" s="80">
        <v>22.39</v>
      </c>
      <c r="D129" s="3">
        <v>1998</v>
      </c>
      <c r="E129" s="3">
        <v>7</v>
      </c>
      <c r="F129" s="3">
        <v>19</v>
      </c>
      <c r="G129" s="2">
        <v>4.9552200000000006</v>
      </c>
      <c r="H129" s="3" t="s">
        <v>26</v>
      </c>
      <c r="I129" s="14">
        <v>33</v>
      </c>
      <c r="J129" s="12">
        <v>18</v>
      </c>
      <c r="K129" s="12">
        <v>27</v>
      </c>
      <c r="L129" s="3" t="s">
        <v>27</v>
      </c>
    </row>
    <row r="130" spans="1:12" x14ac:dyDescent="0.3">
      <c r="A130" s="17">
        <v>129</v>
      </c>
      <c r="B130" s="80">
        <v>76.680000000000007</v>
      </c>
      <c r="C130" s="80">
        <v>18.8</v>
      </c>
      <c r="D130" s="3">
        <v>1998</v>
      </c>
      <c r="E130" s="3">
        <v>8</v>
      </c>
      <c r="F130" s="3">
        <v>10</v>
      </c>
      <c r="G130" s="2">
        <v>4.1402000000000001</v>
      </c>
      <c r="H130" s="3" t="s">
        <v>26</v>
      </c>
      <c r="I130" s="14">
        <v>10</v>
      </c>
      <c r="J130" s="12">
        <v>22</v>
      </c>
      <c r="K130" s="12">
        <v>50</v>
      </c>
      <c r="L130" s="3" t="s">
        <v>27</v>
      </c>
    </row>
    <row r="131" spans="1:12" x14ac:dyDescent="0.3">
      <c r="A131" s="17">
        <v>130</v>
      </c>
      <c r="B131" s="80">
        <v>72.995000000000005</v>
      </c>
      <c r="C131" s="80">
        <v>20.46</v>
      </c>
      <c r="D131" s="3">
        <v>1998</v>
      </c>
      <c r="E131" s="3">
        <v>9</v>
      </c>
      <c r="F131" s="3">
        <v>2</v>
      </c>
      <c r="G131" s="2">
        <v>3.6688899999999998</v>
      </c>
      <c r="H131" s="3" t="s">
        <v>26</v>
      </c>
      <c r="I131" s="14">
        <v>13.2</v>
      </c>
      <c r="J131" s="12">
        <v>22</v>
      </c>
      <c r="K131" s="12">
        <v>58</v>
      </c>
      <c r="L131" s="3" t="s">
        <v>12</v>
      </c>
    </row>
    <row r="132" spans="1:12" x14ac:dyDescent="0.3">
      <c r="A132" s="17">
        <v>131</v>
      </c>
      <c r="B132" s="80">
        <v>72.099999999999994</v>
      </c>
      <c r="C132" s="80">
        <v>20.46</v>
      </c>
      <c r="D132" s="3">
        <v>1998</v>
      </c>
      <c r="E132" s="3">
        <v>9</v>
      </c>
      <c r="F132" s="3">
        <v>3</v>
      </c>
      <c r="G132" s="2">
        <v>3.9314</v>
      </c>
      <c r="H132" s="3" t="s">
        <v>26</v>
      </c>
      <c r="I132" s="14">
        <v>13</v>
      </c>
      <c r="J132" s="12">
        <v>4</v>
      </c>
      <c r="K132" s="12">
        <v>28</v>
      </c>
      <c r="L132" s="3" t="s">
        <v>27</v>
      </c>
    </row>
    <row r="133" spans="1:12" x14ac:dyDescent="0.3">
      <c r="A133" s="17">
        <v>132</v>
      </c>
      <c r="B133" s="80">
        <v>75.748999999999995</v>
      </c>
      <c r="C133" s="80">
        <v>22.111000000000001</v>
      </c>
      <c r="D133" s="3">
        <v>1998</v>
      </c>
      <c r="E133" s="3">
        <v>9</v>
      </c>
      <c r="F133" s="3">
        <v>13</v>
      </c>
      <c r="G133" s="2">
        <v>3.6688899999999998</v>
      </c>
      <c r="H133" s="3" t="s">
        <v>26</v>
      </c>
      <c r="I133" s="14">
        <v>15</v>
      </c>
      <c r="J133" s="12">
        <v>20</v>
      </c>
      <c r="K133" s="12">
        <v>42</v>
      </c>
      <c r="L133" s="3" t="s">
        <v>12</v>
      </c>
    </row>
    <row r="134" spans="1:12" x14ac:dyDescent="0.3">
      <c r="A134" s="17">
        <v>133</v>
      </c>
      <c r="B134" s="80">
        <v>75.75</v>
      </c>
      <c r="C134" s="80">
        <v>22.11</v>
      </c>
      <c r="D134" s="3">
        <v>1998</v>
      </c>
      <c r="E134" s="3">
        <v>9</v>
      </c>
      <c r="F134" s="3">
        <v>14</v>
      </c>
      <c r="G134" s="2">
        <v>3.6688899999999998</v>
      </c>
      <c r="H134" s="3" t="s">
        <v>26</v>
      </c>
      <c r="I134" s="14">
        <v>15</v>
      </c>
      <c r="J134" s="12">
        <v>2</v>
      </c>
      <c r="K134" s="12">
        <v>12</v>
      </c>
      <c r="L134" s="3" t="s">
        <v>27</v>
      </c>
    </row>
    <row r="135" spans="1:12" x14ac:dyDescent="0.3">
      <c r="A135" s="17">
        <v>134</v>
      </c>
      <c r="B135" s="80">
        <v>75.92</v>
      </c>
      <c r="C135" s="80">
        <v>21.87</v>
      </c>
      <c r="D135" s="3">
        <v>1998</v>
      </c>
      <c r="E135" s="3">
        <v>10</v>
      </c>
      <c r="F135" s="3">
        <v>11</v>
      </c>
      <c r="G135" s="2">
        <v>3.8618000000000001</v>
      </c>
      <c r="H135" s="3" t="s">
        <v>26</v>
      </c>
      <c r="I135" s="14">
        <v>1</v>
      </c>
      <c r="J135" s="12">
        <v>17</v>
      </c>
      <c r="K135" s="12">
        <v>51</v>
      </c>
      <c r="L135" s="3" t="s">
        <v>27</v>
      </c>
    </row>
    <row r="136" spans="1:12" x14ac:dyDescent="0.3">
      <c r="A136" s="17">
        <v>135</v>
      </c>
      <c r="B136" s="80">
        <v>76.28</v>
      </c>
      <c r="C136" s="80">
        <v>21.59</v>
      </c>
      <c r="D136" s="3">
        <v>1998</v>
      </c>
      <c r="E136" s="3">
        <v>10</v>
      </c>
      <c r="F136" s="3">
        <v>19</v>
      </c>
      <c r="G136" s="2">
        <v>3.8618000000000001</v>
      </c>
      <c r="H136" s="3" t="s">
        <v>26</v>
      </c>
      <c r="I136" s="14">
        <v>1</v>
      </c>
      <c r="J136" s="12">
        <v>17</v>
      </c>
      <c r="K136" s="12">
        <v>51</v>
      </c>
      <c r="L136" s="3" t="s">
        <v>27</v>
      </c>
    </row>
    <row r="137" spans="1:12" x14ac:dyDescent="0.3">
      <c r="A137" s="17">
        <v>136</v>
      </c>
      <c r="B137" s="80">
        <v>76.09</v>
      </c>
      <c r="C137" s="80">
        <v>21.693000000000001</v>
      </c>
      <c r="D137" s="3">
        <v>1998</v>
      </c>
      <c r="E137" s="3">
        <v>10</v>
      </c>
      <c r="F137" s="3">
        <v>20</v>
      </c>
      <c r="G137" s="2">
        <v>3.45723</v>
      </c>
      <c r="H137" s="3" t="s">
        <v>26</v>
      </c>
      <c r="I137" s="14">
        <v>2</v>
      </c>
      <c r="J137" s="12">
        <v>9</v>
      </c>
      <c r="K137" s="12">
        <v>5</v>
      </c>
      <c r="L137" s="3" t="s">
        <v>12</v>
      </c>
    </row>
    <row r="138" spans="1:12" x14ac:dyDescent="0.3">
      <c r="A138" s="17">
        <v>137</v>
      </c>
      <c r="B138" s="80">
        <v>76.900000000000006</v>
      </c>
      <c r="C138" s="80">
        <v>21.69</v>
      </c>
      <c r="D138" s="3">
        <v>1998</v>
      </c>
      <c r="E138" s="3">
        <v>10</v>
      </c>
      <c r="F138" s="3">
        <v>20</v>
      </c>
      <c r="G138" s="2">
        <v>4.1402000000000001</v>
      </c>
      <c r="H138" s="3" t="s">
        <v>26</v>
      </c>
      <c r="I138" s="14">
        <v>2</v>
      </c>
      <c r="J138" s="12">
        <v>14</v>
      </c>
      <c r="K138" s="12">
        <v>35</v>
      </c>
      <c r="L138" s="3" t="s">
        <v>27</v>
      </c>
    </row>
    <row r="139" spans="1:12" x14ac:dyDescent="0.3">
      <c r="A139" s="17">
        <v>138</v>
      </c>
      <c r="B139" s="80">
        <v>76.230999999999995</v>
      </c>
      <c r="C139" s="80">
        <v>21.620999999999999</v>
      </c>
      <c r="D139" s="3">
        <v>1998</v>
      </c>
      <c r="E139" s="3">
        <v>10</v>
      </c>
      <c r="F139" s="3">
        <v>24</v>
      </c>
      <c r="G139" s="2">
        <v>3.3513999999999999</v>
      </c>
      <c r="H139" s="3" t="s">
        <v>26</v>
      </c>
      <c r="I139" s="14">
        <v>1</v>
      </c>
      <c r="J139" s="12">
        <v>7</v>
      </c>
      <c r="K139" s="12">
        <v>48</v>
      </c>
      <c r="L139" s="3" t="s">
        <v>12</v>
      </c>
    </row>
    <row r="140" spans="1:12" x14ac:dyDescent="0.3">
      <c r="A140" s="17">
        <v>139</v>
      </c>
      <c r="B140" s="80">
        <v>76.23</v>
      </c>
      <c r="C140" s="80">
        <v>21.62</v>
      </c>
      <c r="D140" s="3">
        <v>1998</v>
      </c>
      <c r="E140" s="3">
        <v>10</v>
      </c>
      <c r="F140" s="3">
        <v>24</v>
      </c>
      <c r="G140" s="2">
        <v>3</v>
      </c>
      <c r="H140" s="3" t="s">
        <v>26</v>
      </c>
      <c r="I140" s="14">
        <v>1</v>
      </c>
      <c r="J140" s="12">
        <v>13</v>
      </c>
      <c r="K140" s="12">
        <v>18</v>
      </c>
      <c r="L140" s="3" t="s">
        <v>27</v>
      </c>
    </row>
    <row r="141" spans="1:12" x14ac:dyDescent="0.3">
      <c r="A141" s="17">
        <v>140</v>
      </c>
      <c r="B141" s="80">
        <v>76.382000000000005</v>
      </c>
      <c r="C141" s="80">
        <v>21.63</v>
      </c>
      <c r="D141" s="3">
        <v>1998</v>
      </c>
      <c r="E141" s="3">
        <v>11</v>
      </c>
      <c r="F141" s="3">
        <v>5</v>
      </c>
      <c r="G141" s="2">
        <v>3.8805499999999999</v>
      </c>
      <c r="H141" s="3" t="s">
        <v>26</v>
      </c>
      <c r="I141" s="14">
        <v>10.8</v>
      </c>
      <c r="J141" s="12">
        <v>5</v>
      </c>
      <c r="K141" s="12">
        <v>42</v>
      </c>
      <c r="L141" s="3" t="s">
        <v>12</v>
      </c>
    </row>
    <row r="142" spans="1:12" x14ac:dyDescent="0.3">
      <c r="A142" s="17">
        <v>141</v>
      </c>
      <c r="B142" s="80">
        <v>76.38</v>
      </c>
      <c r="C142" s="80">
        <v>21.63</v>
      </c>
      <c r="D142" s="3">
        <v>1998</v>
      </c>
      <c r="E142" s="3">
        <v>11</v>
      </c>
      <c r="F142" s="3">
        <v>5</v>
      </c>
      <c r="G142" s="2">
        <v>4.0705999999999998</v>
      </c>
      <c r="H142" s="3" t="s">
        <v>26</v>
      </c>
      <c r="I142" s="14">
        <v>10</v>
      </c>
      <c r="J142" s="12">
        <v>11</v>
      </c>
      <c r="K142" s="12">
        <v>12</v>
      </c>
      <c r="L142" s="3" t="s">
        <v>27</v>
      </c>
    </row>
    <row r="143" spans="1:12" x14ac:dyDescent="0.3">
      <c r="A143" s="17">
        <v>142</v>
      </c>
      <c r="B143" s="80">
        <v>71.168800000000005</v>
      </c>
      <c r="C143" s="80">
        <v>22.0932</v>
      </c>
      <c r="D143" s="3">
        <v>1998</v>
      </c>
      <c r="E143" s="3">
        <v>11</v>
      </c>
      <c r="F143" s="3">
        <v>28</v>
      </c>
      <c r="G143" s="2">
        <v>3.8805499999999999</v>
      </c>
      <c r="H143" s="3" t="s">
        <v>26</v>
      </c>
      <c r="I143" s="14">
        <v>35</v>
      </c>
      <c r="J143" s="12">
        <v>16</v>
      </c>
      <c r="K143" s="12">
        <v>59</v>
      </c>
      <c r="L143" s="3" t="s">
        <v>12</v>
      </c>
    </row>
    <row r="144" spans="1:12" x14ac:dyDescent="0.3">
      <c r="A144" s="17">
        <v>143</v>
      </c>
      <c r="B144" s="80">
        <v>71.599999999999994</v>
      </c>
      <c r="C144" s="80">
        <v>21.94</v>
      </c>
      <c r="D144" s="3">
        <v>1998</v>
      </c>
      <c r="E144" s="3">
        <v>11</v>
      </c>
      <c r="F144" s="3">
        <v>28</v>
      </c>
      <c r="G144" s="2">
        <v>4.0009999999999994</v>
      </c>
      <c r="H144" s="3" t="s">
        <v>26</v>
      </c>
      <c r="I144" s="14">
        <v>15</v>
      </c>
      <c r="J144" s="12">
        <v>22</v>
      </c>
      <c r="K144" s="12">
        <v>29</v>
      </c>
      <c r="L144" s="3" t="s">
        <v>27</v>
      </c>
    </row>
    <row r="145" spans="1:12" x14ac:dyDescent="0.3">
      <c r="A145" s="17">
        <v>144</v>
      </c>
      <c r="B145" s="80">
        <v>73.663600000000002</v>
      </c>
      <c r="C145" s="80">
        <v>24.793900000000001</v>
      </c>
      <c r="D145" s="3">
        <v>1998</v>
      </c>
      <c r="E145" s="3">
        <v>12</v>
      </c>
      <c r="F145" s="3">
        <v>26</v>
      </c>
      <c r="G145" s="2">
        <v>4.0705999999999998</v>
      </c>
      <c r="H145" s="3" t="s">
        <v>26</v>
      </c>
      <c r="I145" s="14">
        <v>35</v>
      </c>
      <c r="J145" s="12">
        <v>20</v>
      </c>
      <c r="K145" s="12">
        <v>14</v>
      </c>
      <c r="L145" s="3" t="s">
        <v>12</v>
      </c>
    </row>
    <row r="146" spans="1:12" x14ac:dyDescent="0.3">
      <c r="A146" s="17">
        <v>145</v>
      </c>
      <c r="B146" s="80">
        <v>73.64</v>
      </c>
      <c r="C146" s="80">
        <v>24.88</v>
      </c>
      <c r="D146" s="3">
        <v>1998</v>
      </c>
      <c r="E146" s="3">
        <v>12</v>
      </c>
      <c r="F146" s="3">
        <v>27</v>
      </c>
      <c r="G146" s="2">
        <v>4.0705999999999998</v>
      </c>
      <c r="H146" s="3" t="s">
        <v>26</v>
      </c>
      <c r="I146" s="14">
        <v>5</v>
      </c>
      <c r="J146" s="12">
        <v>1</v>
      </c>
      <c r="K146" s="12">
        <v>44</v>
      </c>
      <c r="L146" s="3" t="s">
        <v>27</v>
      </c>
    </row>
    <row r="147" spans="1:12" x14ac:dyDescent="0.3">
      <c r="A147" s="17">
        <v>146</v>
      </c>
      <c r="B147" s="80">
        <v>76.5</v>
      </c>
      <c r="C147" s="80">
        <v>18.3</v>
      </c>
      <c r="D147" s="3">
        <v>1999</v>
      </c>
      <c r="E147" s="3">
        <v>2</v>
      </c>
      <c r="F147" s="3">
        <v>20</v>
      </c>
      <c r="G147" s="2">
        <v>4.48644</v>
      </c>
      <c r="H147" s="3" t="s">
        <v>26</v>
      </c>
      <c r="I147" s="14">
        <v>10</v>
      </c>
      <c r="J147" s="12">
        <v>16</v>
      </c>
      <c r="K147" s="12">
        <v>50</v>
      </c>
      <c r="L147" s="3" t="s">
        <v>27</v>
      </c>
    </row>
    <row r="148" spans="1:12" x14ac:dyDescent="0.3">
      <c r="A148" s="17">
        <v>147</v>
      </c>
      <c r="B148" s="80">
        <v>78.55</v>
      </c>
      <c r="C148" s="80">
        <v>21.46</v>
      </c>
      <c r="D148" s="3">
        <v>1999</v>
      </c>
      <c r="E148" s="3">
        <v>2</v>
      </c>
      <c r="F148" s="3">
        <v>27</v>
      </c>
      <c r="G148" s="2">
        <v>4.4185999999999996</v>
      </c>
      <c r="H148" s="3" t="s">
        <v>26</v>
      </c>
      <c r="I148" s="14">
        <v>34</v>
      </c>
      <c r="J148" s="12">
        <v>3</v>
      </c>
      <c r="K148" s="12">
        <v>37</v>
      </c>
      <c r="L148" s="3" t="s">
        <v>27</v>
      </c>
    </row>
    <row r="149" spans="1:12" x14ac:dyDescent="0.3">
      <c r="A149" s="17">
        <v>148</v>
      </c>
      <c r="B149" s="80">
        <v>75.171000000000006</v>
      </c>
      <c r="C149" s="80">
        <v>21.434999999999999</v>
      </c>
      <c r="D149" s="3">
        <v>1999</v>
      </c>
      <c r="E149" s="3">
        <v>3</v>
      </c>
      <c r="F149" s="3">
        <v>3</v>
      </c>
      <c r="G149" s="2">
        <v>3.6688899999999998</v>
      </c>
      <c r="H149" s="3" t="s">
        <v>26</v>
      </c>
      <c r="I149" s="14">
        <v>20</v>
      </c>
      <c r="J149" s="12">
        <v>6</v>
      </c>
      <c r="K149" s="12">
        <v>43</v>
      </c>
      <c r="L149" s="3" t="s">
        <v>12</v>
      </c>
    </row>
    <row r="150" spans="1:12" x14ac:dyDescent="0.3">
      <c r="A150" s="17">
        <v>149</v>
      </c>
      <c r="B150" s="80">
        <v>75.17</v>
      </c>
      <c r="C150" s="80">
        <v>21.43</v>
      </c>
      <c r="D150" s="3">
        <v>1999</v>
      </c>
      <c r="E150" s="3">
        <v>3</v>
      </c>
      <c r="F150" s="3">
        <v>3</v>
      </c>
      <c r="G150" s="2">
        <v>3.6688899999999998</v>
      </c>
      <c r="H150" s="3" t="s">
        <v>26</v>
      </c>
      <c r="I150" s="14">
        <v>20</v>
      </c>
      <c r="J150" s="12">
        <v>12</v>
      </c>
      <c r="K150" s="12">
        <v>13</v>
      </c>
      <c r="L150" s="3" t="s">
        <v>27</v>
      </c>
    </row>
    <row r="151" spans="1:12" x14ac:dyDescent="0.3">
      <c r="A151" s="17">
        <v>150</v>
      </c>
      <c r="B151" s="80">
        <v>78.009</v>
      </c>
      <c r="C151" s="80">
        <v>23.539000000000001</v>
      </c>
      <c r="D151" s="3">
        <v>1999</v>
      </c>
      <c r="E151" s="3">
        <v>4</v>
      </c>
      <c r="F151" s="3">
        <v>3</v>
      </c>
      <c r="G151" s="2">
        <v>4.6213600000000001</v>
      </c>
      <c r="H151" s="3" t="s">
        <v>26</v>
      </c>
      <c r="I151" s="14">
        <v>30</v>
      </c>
      <c r="J151" s="12">
        <v>9</v>
      </c>
      <c r="K151" s="12">
        <v>38</v>
      </c>
      <c r="L151" s="3" t="s">
        <v>12</v>
      </c>
    </row>
    <row r="152" spans="1:12" x14ac:dyDescent="0.3">
      <c r="A152" s="17">
        <v>151</v>
      </c>
      <c r="B152" s="79">
        <v>78.010000000000005</v>
      </c>
      <c r="C152" s="79">
        <v>23.54</v>
      </c>
      <c r="D152" s="11">
        <v>1999</v>
      </c>
      <c r="E152" s="10">
        <v>4</v>
      </c>
      <c r="F152" s="10">
        <v>3</v>
      </c>
      <c r="G152" s="2">
        <v>4.0999999999999996</v>
      </c>
      <c r="H152" s="3" t="s">
        <v>26</v>
      </c>
      <c r="I152" s="7">
        <v>30</v>
      </c>
      <c r="J152" s="10">
        <v>9</v>
      </c>
      <c r="K152" s="10">
        <v>38</v>
      </c>
      <c r="L152" s="11">
        <v>2</v>
      </c>
    </row>
    <row r="153" spans="1:12" x14ac:dyDescent="0.3">
      <c r="A153" s="17">
        <v>152</v>
      </c>
      <c r="B153" s="80">
        <v>78.099999999999994</v>
      </c>
      <c r="C153" s="80">
        <v>23.54</v>
      </c>
      <c r="D153" s="3">
        <v>1999</v>
      </c>
      <c r="E153" s="3">
        <v>4</v>
      </c>
      <c r="F153" s="3">
        <v>3</v>
      </c>
      <c r="G153" s="2">
        <v>4.6213600000000001</v>
      </c>
      <c r="H153" s="3" t="s">
        <v>26</v>
      </c>
      <c r="I153" s="14">
        <v>30</v>
      </c>
      <c r="J153" s="12">
        <v>15</v>
      </c>
      <c r="K153" s="12">
        <v>8</v>
      </c>
      <c r="L153" s="3" t="s">
        <v>27</v>
      </c>
    </row>
    <row r="154" spans="1:12" x14ac:dyDescent="0.3">
      <c r="A154" s="17">
        <v>153</v>
      </c>
      <c r="B154" s="80">
        <v>77.186999999999998</v>
      </c>
      <c r="C154" s="80">
        <v>22.117000000000001</v>
      </c>
      <c r="D154" s="3">
        <v>1999</v>
      </c>
      <c r="E154" s="3">
        <v>5</v>
      </c>
      <c r="F154" s="3">
        <v>11</v>
      </c>
      <c r="G154" s="2">
        <v>3.3513999999999999</v>
      </c>
      <c r="H154" s="3" t="s">
        <v>26</v>
      </c>
      <c r="I154" s="14">
        <v>5</v>
      </c>
      <c r="J154" s="12">
        <v>1</v>
      </c>
      <c r="K154" s="12">
        <v>56</v>
      </c>
      <c r="L154" s="3" t="s">
        <v>12</v>
      </c>
    </row>
    <row r="155" spans="1:12" x14ac:dyDescent="0.3">
      <c r="A155" s="17">
        <v>154</v>
      </c>
      <c r="B155" s="80">
        <v>77.19</v>
      </c>
      <c r="C155" s="80">
        <v>22.12</v>
      </c>
      <c r="D155" s="3">
        <v>1999</v>
      </c>
      <c r="E155" s="3">
        <v>5</v>
      </c>
      <c r="F155" s="3">
        <v>11</v>
      </c>
      <c r="G155" s="2">
        <v>3.7921999999999998</v>
      </c>
      <c r="H155" s="3" t="s">
        <v>26</v>
      </c>
      <c r="I155" s="14">
        <v>5</v>
      </c>
      <c r="J155" s="12">
        <v>7</v>
      </c>
      <c r="K155" s="12">
        <v>26</v>
      </c>
      <c r="L155" s="3" t="s">
        <v>27</v>
      </c>
    </row>
    <row r="156" spans="1:12" x14ac:dyDescent="0.3">
      <c r="A156" s="17">
        <v>155</v>
      </c>
      <c r="B156" s="80">
        <v>76.445999999999998</v>
      </c>
      <c r="C156" s="80">
        <v>26.401</v>
      </c>
      <c r="D156" s="3">
        <v>1999</v>
      </c>
      <c r="E156" s="3">
        <v>7</v>
      </c>
      <c r="F156" s="3">
        <v>3</v>
      </c>
      <c r="G156" s="2">
        <v>3.3513999999999999</v>
      </c>
      <c r="H156" s="3" t="s">
        <v>26</v>
      </c>
      <c r="I156" s="14">
        <v>10</v>
      </c>
      <c r="J156" s="12">
        <v>15</v>
      </c>
      <c r="K156" s="12">
        <v>59</v>
      </c>
      <c r="L156" s="3" t="s">
        <v>12</v>
      </c>
    </row>
    <row r="157" spans="1:12" x14ac:dyDescent="0.3">
      <c r="A157" s="17">
        <v>156</v>
      </c>
      <c r="B157" s="80">
        <v>76.45</v>
      </c>
      <c r="C157" s="80">
        <v>26.4</v>
      </c>
      <c r="D157" s="3">
        <v>1999</v>
      </c>
      <c r="E157" s="3">
        <v>7</v>
      </c>
      <c r="F157" s="3">
        <v>3</v>
      </c>
      <c r="G157" s="2">
        <v>4.2097999999999995</v>
      </c>
      <c r="H157" s="3" t="s">
        <v>26</v>
      </c>
      <c r="I157" s="14">
        <v>10</v>
      </c>
      <c r="J157" s="12">
        <v>21</v>
      </c>
      <c r="K157" s="12">
        <v>29</v>
      </c>
      <c r="L157" s="3" t="s">
        <v>27</v>
      </c>
    </row>
    <row r="158" spans="1:12" x14ac:dyDescent="0.3">
      <c r="A158" s="17">
        <v>157</v>
      </c>
      <c r="B158" s="80">
        <v>74.16</v>
      </c>
      <c r="C158" s="80">
        <v>21.844000000000001</v>
      </c>
      <c r="D158" s="3">
        <v>1999</v>
      </c>
      <c r="E158" s="3">
        <v>7</v>
      </c>
      <c r="F158" s="3">
        <v>17</v>
      </c>
      <c r="G158" s="2">
        <v>3.7747199999999999</v>
      </c>
      <c r="H158" s="3" t="s">
        <v>26</v>
      </c>
      <c r="I158" s="14">
        <v>5</v>
      </c>
      <c r="J158" s="12">
        <v>21</v>
      </c>
      <c r="K158" s="12">
        <v>48</v>
      </c>
      <c r="L158" s="3" t="s">
        <v>12</v>
      </c>
    </row>
    <row r="159" spans="1:12" x14ac:dyDescent="0.3">
      <c r="A159" s="17">
        <v>158</v>
      </c>
      <c r="B159" s="80">
        <v>74.16</v>
      </c>
      <c r="C159" s="80">
        <v>21.84</v>
      </c>
      <c r="D159" s="3">
        <v>1999</v>
      </c>
      <c r="E159" s="3">
        <v>7</v>
      </c>
      <c r="F159" s="3">
        <v>18</v>
      </c>
      <c r="G159" s="2">
        <v>3.8618000000000001</v>
      </c>
      <c r="H159" s="3" t="s">
        <v>26</v>
      </c>
      <c r="I159" s="14">
        <v>5</v>
      </c>
      <c r="J159" s="12">
        <v>3</v>
      </c>
      <c r="K159" s="12">
        <v>18</v>
      </c>
      <c r="L159" s="3" t="s">
        <v>27</v>
      </c>
    </row>
    <row r="160" spans="1:12" x14ac:dyDescent="0.3">
      <c r="A160" s="17">
        <v>159</v>
      </c>
      <c r="B160" s="80">
        <v>71.932000000000002</v>
      </c>
      <c r="C160" s="80">
        <v>21.808</v>
      </c>
      <c r="D160" s="3">
        <v>1999</v>
      </c>
      <c r="E160" s="3">
        <v>9</v>
      </c>
      <c r="F160" s="3">
        <v>21</v>
      </c>
      <c r="G160" s="2">
        <v>3.6688899999999998</v>
      </c>
      <c r="H160" s="3" t="s">
        <v>26</v>
      </c>
      <c r="I160" s="14">
        <v>2</v>
      </c>
      <c r="J160" s="12">
        <v>6</v>
      </c>
      <c r="K160" s="12">
        <v>23</v>
      </c>
      <c r="L160" s="3" t="s">
        <v>12</v>
      </c>
    </row>
    <row r="161" spans="1:12" x14ac:dyDescent="0.3">
      <c r="A161" s="17">
        <v>160</v>
      </c>
      <c r="B161" s="80">
        <v>71.930000000000007</v>
      </c>
      <c r="C161" s="80">
        <v>21.81</v>
      </c>
      <c r="D161" s="3">
        <v>1999</v>
      </c>
      <c r="E161" s="3">
        <v>9</v>
      </c>
      <c r="F161" s="3">
        <v>21</v>
      </c>
      <c r="G161" s="2">
        <v>3.8618000000000001</v>
      </c>
      <c r="H161" s="3" t="s">
        <v>26</v>
      </c>
      <c r="I161" s="14">
        <v>2</v>
      </c>
      <c r="J161" s="12">
        <v>11</v>
      </c>
      <c r="K161" s="12">
        <v>53</v>
      </c>
      <c r="L161" s="3" t="s">
        <v>27</v>
      </c>
    </row>
    <row r="162" spans="1:12" x14ac:dyDescent="0.3">
      <c r="A162" s="17">
        <v>161</v>
      </c>
      <c r="B162" s="80">
        <v>77.457999999999998</v>
      </c>
      <c r="C162" s="80">
        <v>19.178000000000001</v>
      </c>
      <c r="D162" s="3">
        <v>1999</v>
      </c>
      <c r="E162" s="3">
        <v>10</v>
      </c>
      <c r="F162" s="3">
        <v>9</v>
      </c>
      <c r="G162" s="2">
        <v>3.6688899999999998</v>
      </c>
      <c r="H162" s="3" t="s">
        <v>26</v>
      </c>
      <c r="I162" s="14">
        <v>15</v>
      </c>
      <c r="J162" s="12">
        <v>5</v>
      </c>
      <c r="K162" s="12">
        <v>58</v>
      </c>
      <c r="L162" s="3" t="s">
        <v>12</v>
      </c>
    </row>
    <row r="163" spans="1:12" x14ac:dyDescent="0.3">
      <c r="A163" s="17">
        <v>162</v>
      </c>
      <c r="B163" s="80">
        <v>77.459999999999994</v>
      </c>
      <c r="C163" s="80">
        <v>19.18</v>
      </c>
      <c r="D163" s="3">
        <v>1999</v>
      </c>
      <c r="E163" s="3">
        <v>10</v>
      </c>
      <c r="F163" s="3">
        <v>9</v>
      </c>
      <c r="G163" s="2">
        <v>3.4441999999999999</v>
      </c>
      <c r="H163" s="3" t="s">
        <v>26</v>
      </c>
      <c r="I163" s="14">
        <v>15</v>
      </c>
      <c r="J163" s="12">
        <v>11</v>
      </c>
      <c r="K163" s="12">
        <v>28</v>
      </c>
      <c r="L163" s="3" t="s">
        <v>27</v>
      </c>
    </row>
    <row r="164" spans="1:12" x14ac:dyDescent="0.3">
      <c r="A164" s="17">
        <v>163</v>
      </c>
      <c r="B164" s="80">
        <v>77.739000000000004</v>
      </c>
      <c r="C164" s="80">
        <v>19.632000000000001</v>
      </c>
      <c r="D164" s="3">
        <v>2000</v>
      </c>
      <c r="E164" s="3">
        <v>3</v>
      </c>
      <c r="F164" s="3">
        <v>27</v>
      </c>
      <c r="G164" s="2">
        <v>3.5630600000000001</v>
      </c>
      <c r="H164" s="3" t="s">
        <v>26</v>
      </c>
      <c r="I164" s="14">
        <v>15</v>
      </c>
      <c r="J164" s="12">
        <v>9</v>
      </c>
      <c r="K164" s="12">
        <v>59</v>
      </c>
      <c r="L164" s="3" t="s">
        <v>12</v>
      </c>
    </row>
    <row r="165" spans="1:12" x14ac:dyDescent="0.3">
      <c r="A165" s="17">
        <v>164</v>
      </c>
      <c r="B165" s="80">
        <v>77.739999999999995</v>
      </c>
      <c r="C165" s="80">
        <v>19.63</v>
      </c>
      <c r="D165" s="3">
        <v>2000</v>
      </c>
      <c r="E165" s="3">
        <v>3</v>
      </c>
      <c r="F165" s="3">
        <v>27</v>
      </c>
      <c r="G165" s="2">
        <v>3.5630600000000001</v>
      </c>
      <c r="H165" s="3" t="s">
        <v>26</v>
      </c>
      <c r="I165" s="14">
        <v>15</v>
      </c>
      <c r="J165" s="12">
        <v>15</v>
      </c>
      <c r="K165" s="12">
        <v>29</v>
      </c>
      <c r="L165" s="3" t="s">
        <v>27</v>
      </c>
    </row>
    <row r="166" spans="1:12" x14ac:dyDescent="0.3">
      <c r="A166" s="17">
        <v>165</v>
      </c>
      <c r="B166" s="80">
        <v>74.507999999999996</v>
      </c>
      <c r="C166" s="80">
        <v>21.864000000000001</v>
      </c>
      <c r="D166" s="3">
        <v>2000</v>
      </c>
      <c r="E166" s="3">
        <v>4</v>
      </c>
      <c r="F166" s="3">
        <v>14</v>
      </c>
      <c r="G166" s="2">
        <v>3.7747199999999999</v>
      </c>
      <c r="H166" s="3" t="s">
        <v>26</v>
      </c>
      <c r="I166" s="14">
        <v>10</v>
      </c>
      <c r="J166" s="12">
        <v>21</v>
      </c>
      <c r="K166" s="12">
        <v>41</v>
      </c>
      <c r="L166" s="3" t="s">
        <v>12</v>
      </c>
    </row>
    <row r="167" spans="1:12" x14ac:dyDescent="0.3">
      <c r="A167" s="17">
        <v>166</v>
      </c>
      <c r="B167" s="80">
        <v>74.510000000000005</v>
      </c>
      <c r="C167" s="80">
        <v>21.86</v>
      </c>
      <c r="D167" s="3">
        <v>2000</v>
      </c>
      <c r="E167" s="3">
        <v>4</v>
      </c>
      <c r="F167" s="3">
        <v>15</v>
      </c>
      <c r="G167" s="2">
        <v>3.7747199999999999</v>
      </c>
      <c r="H167" s="3" t="s">
        <v>26</v>
      </c>
      <c r="I167" s="14">
        <v>10</v>
      </c>
      <c r="J167" s="12">
        <v>3</v>
      </c>
      <c r="K167" s="12">
        <v>11</v>
      </c>
      <c r="L167" s="3" t="s">
        <v>27</v>
      </c>
    </row>
    <row r="168" spans="1:12" x14ac:dyDescent="0.3">
      <c r="A168" s="17">
        <v>167</v>
      </c>
      <c r="B168" s="80">
        <v>79.004000000000005</v>
      </c>
      <c r="C168" s="80">
        <v>22.536000000000001</v>
      </c>
      <c r="D168" s="3">
        <v>2000</v>
      </c>
      <c r="E168" s="3">
        <v>5</v>
      </c>
      <c r="F168" s="3">
        <v>2</v>
      </c>
      <c r="G168" s="2">
        <v>3.9314</v>
      </c>
      <c r="H168" s="3" t="s">
        <v>26</v>
      </c>
      <c r="I168" s="14">
        <v>15</v>
      </c>
      <c r="J168" s="12">
        <v>9</v>
      </c>
      <c r="K168" s="12">
        <v>25</v>
      </c>
      <c r="L168" s="3" t="s">
        <v>12</v>
      </c>
    </row>
    <row r="169" spans="1:12" x14ac:dyDescent="0.3">
      <c r="A169" s="17">
        <v>168</v>
      </c>
      <c r="B169" s="80">
        <v>79</v>
      </c>
      <c r="C169" s="80">
        <v>22.54</v>
      </c>
      <c r="D169" s="3">
        <v>2000</v>
      </c>
      <c r="E169" s="3">
        <v>5</v>
      </c>
      <c r="F169" s="3">
        <v>2</v>
      </c>
      <c r="G169" s="2">
        <v>3.9314</v>
      </c>
      <c r="H169" s="3" t="s">
        <v>26</v>
      </c>
      <c r="I169" s="14">
        <v>15</v>
      </c>
      <c r="J169" s="12">
        <v>14</v>
      </c>
      <c r="K169" s="12">
        <v>55</v>
      </c>
      <c r="L169" s="3" t="s">
        <v>27</v>
      </c>
    </row>
    <row r="170" spans="1:12" x14ac:dyDescent="0.3">
      <c r="A170" s="17">
        <v>169</v>
      </c>
      <c r="B170" s="79">
        <v>76.62</v>
      </c>
      <c r="C170" s="79">
        <v>18.170000000000002</v>
      </c>
      <c r="D170" s="11">
        <v>2000</v>
      </c>
      <c r="E170" s="10">
        <v>6</v>
      </c>
      <c r="F170" s="11">
        <v>19</v>
      </c>
      <c r="G170" s="2">
        <v>4.7</v>
      </c>
      <c r="H170" s="3" t="s">
        <v>26</v>
      </c>
      <c r="I170" s="7">
        <v>0</v>
      </c>
      <c r="J170" s="10">
        <v>8</v>
      </c>
      <c r="K170" s="10">
        <v>22</v>
      </c>
      <c r="L170" s="11">
        <v>1</v>
      </c>
    </row>
    <row r="171" spans="1:12" x14ac:dyDescent="0.3">
      <c r="A171" s="17">
        <v>170</v>
      </c>
      <c r="B171" s="80">
        <v>79.423699999999997</v>
      </c>
      <c r="C171" s="80">
        <v>19.757000000000001</v>
      </c>
      <c r="D171" s="3">
        <v>2000</v>
      </c>
      <c r="E171" s="3">
        <v>6</v>
      </c>
      <c r="F171" s="3">
        <v>22</v>
      </c>
      <c r="G171" s="2">
        <v>4.6970000000000001</v>
      </c>
      <c r="H171" s="3" t="s">
        <v>26</v>
      </c>
      <c r="I171" s="14">
        <v>35</v>
      </c>
      <c r="J171" s="12">
        <v>10</v>
      </c>
      <c r="K171" s="12">
        <v>10</v>
      </c>
      <c r="L171" s="3" t="s">
        <v>12</v>
      </c>
    </row>
    <row r="172" spans="1:12" x14ac:dyDescent="0.3">
      <c r="A172" s="17">
        <v>171</v>
      </c>
      <c r="B172" s="79">
        <v>78.81</v>
      </c>
      <c r="C172" s="79">
        <v>19.84</v>
      </c>
      <c r="D172" s="11">
        <v>2000</v>
      </c>
      <c r="E172" s="10">
        <v>6</v>
      </c>
      <c r="F172" s="11">
        <v>22</v>
      </c>
      <c r="G172" s="2">
        <v>4.0999999999999996</v>
      </c>
      <c r="H172" s="3" t="s">
        <v>26</v>
      </c>
      <c r="I172" s="7">
        <v>5</v>
      </c>
      <c r="J172" s="10">
        <v>10</v>
      </c>
      <c r="K172" s="10">
        <v>10</v>
      </c>
      <c r="L172" s="11">
        <v>2</v>
      </c>
    </row>
    <row r="173" spans="1:12" x14ac:dyDescent="0.3">
      <c r="A173" s="17">
        <v>172</v>
      </c>
      <c r="B173" s="80">
        <v>78.81</v>
      </c>
      <c r="C173" s="80">
        <v>19.84</v>
      </c>
      <c r="D173" s="3">
        <v>2000</v>
      </c>
      <c r="E173" s="3">
        <v>6</v>
      </c>
      <c r="F173" s="3">
        <v>22</v>
      </c>
      <c r="G173" s="2">
        <v>4.6970000000000001</v>
      </c>
      <c r="H173" s="3" t="s">
        <v>26</v>
      </c>
      <c r="I173" s="14">
        <v>5</v>
      </c>
      <c r="J173" s="12">
        <v>15</v>
      </c>
      <c r="K173" s="12">
        <v>40</v>
      </c>
      <c r="L173" s="3" t="s">
        <v>27</v>
      </c>
    </row>
    <row r="174" spans="1:12" x14ac:dyDescent="0.3">
      <c r="A174" s="17">
        <v>173</v>
      </c>
      <c r="B174" s="80">
        <v>78.867000000000004</v>
      </c>
      <c r="C174" s="80">
        <v>21.95</v>
      </c>
      <c r="D174" s="3">
        <v>2000</v>
      </c>
      <c r="E174" s="3">
        <v>6</v>
      </c>
      <c r="F174" s="3">
        <v>30</v>
      </c>
      <c r="G174" s="2">
        <v>3.98638</v>
      </c>
      <c r="H174" s="3" t="s">
        <v>26</v>
      </c>
      <c r="I174" s="14">
        <v>15</v>
      </c>
      <c r="J174" s="12">
        <v>13</v>
      </c>
      <c r="K174" s="12">
        <v>57</v>
      </c>
      <c r="L174" s="3" t="s">
        <v>12</v>
      </c>
    </row>
    <row r="175" spans="1:12" x14ac:dyDescent="0.3">
      <c r="A175" s="17">
        <v>174</v>
      </c>
      <c r="B175" s="80">
        <v>78.87</v>
      </c>
      <c r="C175" s="80">
        <v>21.95</v>
      </c>
      <c r="D175" s="3">
        <v>2000</v>
      </c>
      <c r="E175" s="3">
        <v>6</v>
      </c>
      <c r="F175" s="3">
        <v>30</v>
      </c>
      <c r="G175" s="2">
        <v>4.0705999999999998</v>
      </c>
      <c r="H175" s="3" t="s">
        <v>26</v>
      </c>
      <c r="I175" s="14">
        <v>15</v>
      </c>
      <c r="J175" s="12">
        <v>19</v>
      </c>
      <c r="K175" s="12">
        <v>27</v>
      </c>
      <c r="L175" s="3" t="s">
        <v>27</v>
      </c>
    </row>
    <row r="176" spans="1:12" x14ac:dyDescent="0.3">
      <c r="A176" s="17">
        <v>175</v>
      </c>
      <c r="B176" s="80">
        <v>75.33</v>
      </c>
      <c r="C176" s="80">
        <v>21.743099999999998</v>
      </c>
      <c r="D176" s="3">
        <v>2000</v>
      </c>
      <c r="E176" s="3">
        <v>7</v>
      </c>
      <c r="F176" s="3">
        <v>10</v>
      </c>
      <c r="G176" s="2">
        <v>3.8805499999999999</v>
      </c>
      <c r="H176" s="3" t="s">
        <v>26</v>
      </c>
      <c r="I176" s="14">
        <v>35</v>
      </c>
      <c r="J176" s="12">
        <v>12</v>
      </c>
      <c r="K176" s="12">
        <v>6</v>
      </c>
      <c r="L176" s="3" t="s">
        <v>12</v>
      </c>
    </row>
    <row r="177" spans="1:12" x14ac:dyDescent="0.3">
      <c r="A177" s="17">
        <v>176</v>
      </c>
      <c r="B177" s="80">
        <v>75.510000000000005</v>
      </c>
      <c r="C177" s="80">
        <v>21.51</v>
      </c>
      <c r="D177" s="3">
        <v>2000</v>
      </c>
      <c r="E177" s="3">
        <v>7</v>
      </c>
      <c r="F177" s="3">
        <v>10</v>
      </c>
      <c r="G177" s="2">
        <v>4.0705999999999998</v>
      </c>
      <c r="H177" s="3" t="s">
        <v>26</v>
      </c>
      <c r="I177" s="14">
        <v>20</v>
      </c>
      <c r="J177" s="12">
        <v>17</v>
      </c>
      <c r="K177" s="12">
        <v>36</v>
      </c>
      <c r="L177" s="3" t="s">
        <v>27</v>
      </c>
    </row>
    <row r="178" spans="1:12" x14ac:dyDescent="0.3">
      <c r="A178" s="17">
        <v>177</v>
      </c>
      <c r="B178" s="80">
        <v>75.171000000000006</v>
      </c>
      <c r="C178" s="80">
        <v>21.715</v>
      </c>
      <c r="D178" s="3">
        <v>2000</v>
      </c>
      <c r="E178" s="3">
        <v>7</v>
      </c>
      <c r="F178" s="3">
        <v>24</v>
      </c>
      <c r="G178" s="2">
        <v>3.6688899999999998</v>
      </c>
      <c r="H178" s="3" t="s">
        <v>26</v>
      </c>
      <c r="I178" s="14">
        <v>15</v>
      </c>
      <c r="J178" s="12">
        <v>9</v>
      </c>
      <c r="K178" s="12">
        <v>19</v>
      </c>
      <c r="L178" s="3" t="s">
        <v>12</v>
      </c>
    </row>
    <row r="179" spans="1:12" x14ac:dyDescent="0.3">
      <c r="A179" s="17">
        <v>178</v>
      </c>
      <c r="B179" s="80">
        <v>75.17</v>
      </c>
      <c r="C179" s="80">
        <v>21.72</v>
      </c>
      <c r="D179" s="3">
        <v>2000</v>
      </c>
      <c r="E179" s="3">
        <v>7</v>
      </c>
      <c r="F179" s="3">
        <v>24</v>
      </c>
      <c r="G179" s="2">
        <v>3.8618000000000001</v>
      </c>
      <c r="H179" s="3" t="s">
        <v>26</v>
      </c>
      <c r="I179" s="14">
        <v>15</v>
      </c>
      <c r="J179" s="12">
        <v>14</v>
      </c>
      <c r="K179" s="12">
        <v>49</v>
      </c>
      <c r="L179" s="3" t="s">
        <v>27</v>
      </c>
    </row>
    <row r="180" spans="1:12" x14ac:dyDescent="0.3">
      <c r="A180" s="17">
        <v>179</v>
      </c>
      <c r="B180" s="80">
        <v>72.254000000000005</v>
      </c>
      <c r="C180" s="80">
        <v>21.763999999999999</v>
      </c>
      <c r="D180" s="3">
        <v>2000</v>
      </c>
      <c r="E180" s="3">
        <v>8</v>
      </c>
      <c r="F180" s="3">
        <v>10</v>
      </c>
      <c r="G180" s="2">
        <v>3.98638</v>
      </c>
      <c r="H180" s="3" t="s">
        <v>26</v>
      </c>
      <c r="I180" s="14">
        <v>5</v>
      </c>
      <c r="J180" s="12">
        <v>13</v>
      </c>
      <c r="K180" s="12">
        <v>30</v>
      </c>
      <c r="L180" s="3" t="s">
        <v>12</v>
      </c>
    </row>
    <row r="181" spans="1:12" x14ac:dyDescent="0.3">
      <c r="A181" s="17">
        <v>180</v>
      </c>
      <c r="B181" s="80">
        <v>72.25</v>
      </c>
      <c r="C181" s="80">
        <v>21.76</v>
      </c>
      <c r="D181" s="3">
        <v>2000</v>
      </c>
      <c r="E181" s="3">
        <v>8</v>
      </c>
      <c r="F181" s="3">
        <v>10</v>
      </c>
      <c r="G181" s="2">
        <v>3.7921999999999998</v>
      </c>
      <c r="H181" s="3" t="s">
        <v>26</v>
      </c>
      <c r="I181" s="14">
        <v>5</v>
      </c>
      <c r="J181" s="12">
        <v>19</v>
      </c>
      <c r="K181" s="12">
        <v>0</v>
      </c>
      <c r="L181" s="3" t="s">
        <v>27</v>
      </c>
    </row>
    <row r="182" spans="1:12" x14ac:dyDescent="0.3">
      <c r="A182" s="17">
        <v>181</v>
      </c>
      <c r="B182" s="80">
        <v>72.191000000000003</v>
      </c>
      <c r="C182" s="80">
        <v>21.808</v>
      </c>
      <c r="D182" s="3">
        <v>2000</v>
      </c>
      <c r="E182" s="3">
        <v>8</v>
      </c>
      <c r="F182" s="3">
        <v>13</v>
      </c>
      <c r="G182" s="2">
        <v>3.9314</v>
      </c>
      <c r="H182" s="3" t="s">
        <v>26</v>
      </c>
      <c r="I182" s="14">
        <v>27.8</v>
      </c>
      <c r="J182" s="12">
        <v>4</v>
      </c>
      <c r="K182" s="12">
        <v>24</v>
      </c>
      <c r="L182" s="3" t="s">
        <v>12</v>
      </c>
    </row>
    <row r="183" spans="1:12" x14ac:dyDescent="0.3">
      <c r="A183" s="17">
        <v>182</v>
      </c>
      <c r="B183" s="80">
        <v>72.19</v>
      </c>
      <c r="C183" s="80">
        <v>21.81</v>
      </c>
      <c r="D183" s="3">
        <v>2000</v>
      </c>
      <c r="E183" s="3">
        <v>8</v>
      </c>
      <c r="F183" s="3">
        <v>13</v>
      </c>
      <c r="G183" s="2">
        <v>3.9314</v>
      </c>
      <c r="H183" s="3" t="s">
        <v>26</v>
      </c>
      <c r="I183" s="14">
        <v>27</v>
      </c>
      <c r="J183" s="12">
        <v>9</v>
      </c>
      <c r="K183" s="12">
        <v>54</v>
      </c>
      <c r="L183" s="3" t="s">
        <v>27</v>
      </c>
    </row>
    <row r="184" spans="1:12" x14ac:dyDescent="0.3">
      <c r="A184" s="17">
        <v>183</v>
      </c>
      <c r="B184" s="80">
        <v>72.3352</v>
      </c>
      <c r="C184" s="80">
        <v>21.802199999999999</v>
      </c>
      <c r="D184" s="3">
        <v>2000</v>
      </c>
      <c r="E184" s="3">
        <v>9</v>
      </c>
      <c r="F184" s="3">
        <v>12</v>
      </c>
      <c r="G184" s="2">
        <v>4.4083100000000002</v>
      </c>
      <c r="H184" s="3" t="s">
        <v>26</v>
      </c>
      <c r="I184" s="14">
        <v>35</v>
      </c>
      <c r="J184" s="12">
        <v>0</v>
      </c>
      <c r="K184" s="12">
        <v>53</v>
      </c>
      <c r="L184" s="3" t="s">
        <v>10</v>
      </c>
    </row>
    <row r="185" spans="1:12" x14ac:dyDescent="0.3">
      <c r="A185" s="17">
        <v>184</v>
      </c>
      <c r="B185" s="79">
        <v>72.42</v>
      </c>
      <c r="C185" s="79">
        <v>21.81</v>
      </c>
      <c r="D185" s="11">
        <v>2000</v>
      </c>
      <c r="E185" s="10">
        <v>9</v>
      </c>
      <c r="F185" s="11">
        <v>12</v>
      </c>
      <c r="G185" s="2">
        <v>4.3</v>
      </c>
      <c r="H185" s="3" t="s">
        <v>26</v>
      </c>
      <c r="I185" s="7">
        <v>0</v>
      </c>
      <c r="J185" s="10">
        <v>0</v>
      </c>
      <c r="K185" s="10">
        <v>53</v>
      </c>
      <c r="L185" s="11">
        <v>1</v>
      </c>
    </row>
    <row r="186" spans="1:12" x14ac:dyDescent="0.3">
      <c r="A186" s="17">
        <v>185</v>
      </c>
      <c r="B186" s="80">
        <v>79.085999999999999</v>
      </c>
      <c r="C186" s="80">
        <v>22.356999999999999</v>
      </c>
      <c r="D186" s="3">
        <v>2000</v>
      </c>
      <c r="E186" s="3">
        <v>9</v>
      </c>
      <c r="F186" s="3">
        <v>12</v>
      </c>
      <c r="G186" s="2">
        <v>4.5155299999999992</v>
      </c>
      <c r="H186" s="3" t="s">
        <v>26</v>
      </c>
      <c r="I186" s="14">
        <v>8.9</v>
      </c>
      <c r="J186" s="12">
        <v>2</v>
      </c>
      <c r="K186" s="12">
        <v>46</v>
      </c>
      <c r="L186" s="3" t="s">
        <v>12</v>
      </c>
    </row>
    <row r="187" spans="1:12" x14ac:dyDescent="0.3">
      <c r="A187" s="17">
        <v>186</v>
      </c>
      <c r="B187" s="80">
        <v>72.12</v>
      </c>
      <c r="C187" s="80">
        <v>21.68</v>
      </c>
      <c r="D187" s="3">
        <v>2000</v>
      </c>
      <c r="E187" s="3">
        <v>9</v>
      </c>
      <c r="F187" s="3">
        <v>12</v>
      </c>
      <c r="G187" s="2">
        <v>4.4185999999999996</v>
      </c>
      <c r="H187" s="3" t="s">
        <v>26</v>
      </c>
      <c r="I187" s="14">
        <v>10</v>
      </c>
      <c r="J187" s="12">
        <v>6</v>
      </c>
      <c r="K187" s="12">
        <v>23</v>
      </c>
      <c r="L187" s="3" t="s">
        <v>27</v>
      </c>
    </row>
    <row r="188" spans="1:12" x14ac:dyDescent="0.3">
      <c r="A188" s="17">
        <v>187</v>
      </c>
      <c r="B188" s="80">
        <v>72.147999999999996</v>
      </c>
      <c r="C188" s="80">
        <v>21.696999999999999</v>
      </c>
      <c r="D188" s="3">
        <v>2000</v>
      </c>
      <c r="E188" s="3">
        <v>9</v>
      </c>
      <c r="F188" s="3">
        <v>13</v>
      </c>
      <c r="G188" s="2">
        <v>4.0009999999999994</v>
      </c>
      <c r="H188" s="3" t="s">
        <v>26</v>
      </c>
      <c r="I188" s="14">
        <v>5</v>
      </c>
      <c r="J188" s="12">
        <v>12</v>
      </c>
      <c r="K188" s="12">
        <v>40</v>
      </c>
      <c r="L188" s="3" t="s">
        <v>12</v>
      </c>
    </row>
    <row r="189" spans="1:12" x14ac:dyDescent="0.3">
      <c r="A189" s="17">
        <v>188</v>
      </c>
      <c r="B189" s="80">
        <v>72.138999999999996</v>
      </c>
      <c r="C189" s="80">
        <v>21.696999999999999</v>
      </c>
      <c r="D189" s="3">
        <v>2000</v>
      </c>
      <c r="E189" s="3">
        <v>9</v>
      </c>
      <c r="F189" s="3">
        <v>13</v>
      </c>
      <c r="G189" s="2">
        <v>3.9314</v>
      </c>
      <c r="H189" s="3" t="s">
        <v>26</v>
      </c>
      <c r="I189" s="14">
        <v>5</v>
      </c>
      <c r="J189" s="12">
        <v>13</v>
      </c>
      <c r="K189" s="12">
        <v>5</v>
      </c>
      <c r="L189" s="3" t="s">
        <v>12</v>
      </c>
    </row>
    <row r="190" spans="1:12" x14ac:dyDescent="0.3">
      <c r="A190" s="17">
        <v>189</v>
      </c>
      <c r="B190" s="80">
        <v>72.150000000000006</v>
      </c>
      <c r="C190" s="80">
        <v>21.7</v>
      </c>
      <c r="D190" s="3">
        <v>2000</v>
      </c>
      <c r="E190" s="3">
        <v>9</v>
      </c>
      <c r="F190" s="3">
        <v>13</v>
      </c>
      <c r="G190" s="2">
        <v>4.0009999999999994</v>
      </c>
      <c r="H190" s="3" t="s">
        <v>26</v>
      </c>
      <c r="I190" s="14">
        <v>5</v>
      </c>
      <c r="J190" s="12">
        <v>18</v>
      </c>
      <c r="K190" s="12">
        <v>10</v>
      </c>
      <c r="L190" s="3" t="s">
        <v>27</v>
      </c>
    </row>
    <row r="191" spans="1:12" x14ac:dyDescent="0.3">
      <c r="A191" s="17">
        <v>190</v>
      </c>
      <c r="B191" s="80">
        <v>72.14</v>
      </c>
      <c r="C191" s="80">
        <v>21.7</v>
      </c>
      <c r="D191" s="3">
        <v>2000</v>
      </c>
      <c r="E191" s="3">
        <v>9</v>
      </c>
      <c r="F191" s="3">
        <v>13</v>
      </c>
      <c r="G191" s="2">
        <v>3.9314</v>
      </c>
      <c r="H191" s="3" t="s">
        <v>26</v>
      </c>
      <c r="I191" s="14">
        <v>5</v>
      </c>
      <c r="J191" s="12">
        <v>18</v>
      </c>
      <c r="K191" s="12">
        <v>35</v>
      </c>
      <c r="L191" s="3" t="s">
        <v>27</v>
      </c>
    </row>
    <row r="192" spans="1:12" x14ac:dyDescent="0.3">
      <c r="A192" s="17">
        <v>191</v>
      </c>
      <c r="B192" s="80">
        <v>72.135000000000005</v>
      </c>
      <c r="C192" s="80">
        <v>21.731000000000002</v>
      </c>
      <c r="D192" s="3">
        <v>2000</v>
      </c>
      <c r="E192" s="3">
        <v>9</v>
      </c>
      <c r="F192" s="3">
        <v>14</v>
      </c>
      <c r="G192" s="2">
        <v>3.9314</v>
      </c>
      <c r="H192" s="3" t="s">
        <v>26</v>
      </c>
      <c r="I192" s="14">
        <v>1.4</v>
      </c>
      <c r="J192" s="12">
        <v>16</v>
      </c>
      <c r="K192" s="12">
        <v>35</v>
      </c>
      <c r="L192" s="3" t="s">
        <v>12</v>
      </c>
    </row>
    <row r="193" spans="1:12" x14ac:dyDescent="0.3">
      <c r="A193" s="17">
        <v>192</v>
      </c>
      <c r="B193" s="80">
        <v>72.14</v>
      </c>
      <c r="C193" s="80">
        <v>21.73</v>
      </c>
      <c r="D193" s="3">
        <v>2000</v>
      </c>
      <c r="E193" s="3">
        <v>9</v>
      </c>
      <c r="F193" s="3">
        <v>14</v>
      </c>
      <c r="G193" s="2">
        <v>3.9314</v>
      </c>
      <c r="H193" s="3" t="s">
        <v>26</v>
      </c>
      <c r="I193" s="14">
        <v>1</v>
      </c>
      <c r="J193" s="12">
        <v>22</v>
      </c>
      <c r="K193" s="12">
        <v>5</v>
      </c>
      <c r="L193" s="3" t="s">
        <v>27</v>
      </c>
    </row>
    <row r="194" spans="1:12" x14ac:dyDescent="0.3">
      <c r="A194" s="17">
        <v>193</v>
      </c>
      <c r="B194" s="80">
        <v>79.018000000000001</v>
      </c>
      <c r="C194" s="80">
        <v>25.693999999999999</v>
      </c>
      <c r="D194" s="3">
        <v>2000</v>
      </c>
      <c r="E194" s="3">
        <v>10</v>
      </c>
      <c r="F194" s="3">
        <v>7</v>
      </c>
      <c r="G194" s="2">
        <v>4.1402000000000001</v>
      </c>
      <c r="H194" s="3" t="s">
        <v>26</v>
      </c>
      <c r="I194" s="14">
        <v>33</v>
      </c>
      <c r="J194" s="12">
        <v>15</v>
      </c>
      <c r="K194" s="12">
        <v>32</v>
      </c>
      <c r="L194" s="3" t="s">
        <v>12</v>
      </c>
    </row>
    <row r="195" spans="1:12" x14ac:dyDescent="0.3">
      <c r="A195" s="17">
        <v>194</v>
      </c>
      <c r="B195" s="80">
        <v>79.2</v>
      </c>
      <c r="C195" s="80">
        <v>25.69</v>
      </c>
      <c r="D195" s="3">
        <v>2000</v>
      </c>
      <c r="E195" s="3">
        <v>10</v>
      </c>
      <c r="F195" s="3">
        <v>7</v>
      </c>
      <c r="G195" s="2">
        <v>4.1402000000000001</v>
      </c>
      <c r="H195" s="3" t="s">
        <v>26</v>
      </c>
      <c r="I195" s="14">
        <v>33</v>
      </c>
      <c r="J195" s="12">
        <v>21</v>
      </c>
      <c r="K195" s="12">
        <v>2</v>
      </c>
      <c r="L195" s="3" t="s">
        <v>27</v>
      </c>
    </row>
    <row r="196" spans="1:12" x14ac:dyDescent="0.3">
      <c r="A196" s="17">
        <v>195</v>
      </c>
      <c r="B196" s="80">
        <v>76.343000000000004</v>
      </c>
      <c r="C196" s="80">
        <v>19.292999999999999</v>
      </c>
      <c r="D196" s="3">
        <v>2000</v>
      </c>
      <c r="E196" s="3">
        <v>10</v>
      </c>
      <c r="F196" s="3">
        <v>9</v>
      </c>
      <c r="G196" s="2">
        <v>3.45723</v>
      </c>
      <c r="H196" s="3" t="s">
        <v>26</v>
      </c>
      <c r="I196" s="14">
        <v>15</v>
      </c>
      <c r="J196" s="12">
        <v>2</v>
      </c>
      <c r="K196" s="12">
        <v>47</v>
      </c>
      <c r="L196" s="3" t="s">
        <v>12</v>
      </c>
    </row>
    <row r="197" spans="1:12" x14ac:dyDescent="0.3">
      <c r="A197" s="17">
        <v>196</v>
      </c>
      <c r="B197" s="80">
        <v>76.34</v>
      </c>
      <c r="C197" s="80">
        <v>19.29</v>
      </c>
      <c r="D197" s="3">
        <v>2000</v>
      </c>
      <c r="E197" s="3">
        <v>10</v>
      </c>
      <c r="F197" s="3">
        <v>9</v>
      </c>
      <c r="G197" s="2">
        <v>3.45723</v>
      </c>
      <c r="H197" s="3" t="s">
        <v>26</v>
      </c>
      <c r="I197" s="14">
        <v>15</v>
      </c>
      <c r="J197" s="12">
        <v>8</v>
      </c>
      <c r="K197" s="12">
        <v>17</v>
      </c>
      <c r="L197" s="3" t="s">
        <v>27</v>
      </c>
    </row>
    <row r="198" spans="1:12" x14ac:dyDescent="0.3">
      <c r="A198" s="17">
        <v>197</v>
      </c>
      <c r="B198" s="80">
        <v>80.286600000000007</v>
      </c>
      <c r="C198" s="80">
        <v>23.259399999999999</v>
      </c>
      <c r="D198" s="3">
        <v>2000</v>
      </c>
      <c r="E198" s="3">
        <v>10</v>
      </c>
      <c r="F198" s="3">
        <v>16</v>
      </c>
      <c r="G198" s="2">
        <v>5.0333500000000004</v>
      </c>
      <c r="H198" s="3" t="s">
        <v>26</v>
      </c>
      <c r="I198" s="14">
        <v>25.9</v>
      </c>
      <c r="J198" s="12">
        <v>22</v>
      </c>
      <c r="K198" s="12">
        <v>33</v>
      </c>
      <c r="L198" s="3" t="s">
        <v>10</v>
      </c>
    </row>
    <row r="199" spans="1:12" x14ac:dyDescent="0.3">
      <c r="A199" s="17">
        <v>198</v>
      </c>
      <c r="B199" s="80">
        <v>80.3</v>
      </c>
      <c r="C199" s="80">
        <v>23.28</v>
      </c>
      <c r="D199" s="3">
        <v>2000</v>
      </c>
      <c r="E199" s="3">
        <v>10</v>
      </c>
      <c r="F199" s="3">
        <v>16</v>
      </c>
      <c r="G199" s="2">
        <v>5.1896100000000001</v>
      </c>
      <c r="H199" s="3" t="s">
        <v>26</v>
      </c>
      <c r="I199" s="14">
        <v>33</v>
      </c>
      <c r="J199" s="12">
        <v>22</v>
      </c>
      <c r="K199" s="12">
        <v>33</v>
      </c>
      <c r="L199" s="3" t="s">
        <v>25</v>
      </c>
    </row>
    <row r="200" spans="1:12" x14ac:dyDescent="0.3">
      <c r="A200" s="17">
        <v>199</v>
      </c>
      <c r="B200" s="80">
        <v>80.33</v>
      </c>
      <c r="C200" s="80">
        <v>23.22</v>
      </c>
      <c r="D200" s="3">
        <v>2000</v>
      </c>
      <c r="E200" s="3">
        <v>10</v>
      </c>
      <c r="F200" s="3">
        <v>17</v>
      </c>
      <c r="G200" s="2">
        <v>5.3929999999999998</v>
      </c>
      <c r="H200" s="3" t="s">
        <v>26</v>
      </c>
      <c r="I200" s="14">
        <v>33</v>
      </c>
      <c r="J200" s="12">
        <v>4</v>
      </c>
      <c r="K200" s="12">
        <v>3</v>
      </c>
      <c r="L200" s="3" t="s">
        <v>27</v>
      </c>
    </row>
    <row r="201" spans="1:12" x14ac:dyDescent="0.3">
      <c r="A201" s="17">
        <v>200</v>
      </c>
      <c r="B201" s="80">
        <v>79.507999999999996</v>
      </c>
      <c r="C201" s="80">
        <v>22.465</v>
      </c>
      <c r="D201" s="3">
        <v>2001</v>
      </c>
      <c r="E201" s="3">
        <v>1</v>
      </c>
      <c r="F201" s="3">
        <v>3</v>
      </c>
      <c r="G201" s="2">
        <v>3.8618000000000001</v>
      </c>
      <c r="H201" s="3" t="s">
        <v>26</v>
      </c>
      <c r="I201" s="14">
        <v>33</v>
      </c>
      <c r="J201" s="12">
        <v>16</v>
      </c>
      <c r="K201" s="12">
        <v>45</v>
      </c>
      <c r="L201" s="3" t="s">
        <v>12</v>
      </c>
    </row>
    <row r="202" spans="1:12" x14ac:dyDescent="0.3">
      <c r="A202" s="17">
        <v>201</v>
      </c>
      <c r="B202" s="80">
        <v>79.510000000000005</v>
      </c>
      <c r="C202" s="80">
        <v>22.47</v>
      </c>
      <c r="D202" s="3">
        <v>2001</v>
      </c>
      <c r="E202" s="3">
        <v>1</v>
      </c>
      <c r="F202" s="3">
        <v>3</v>
      </c>
      <c r="G202" s="2">
        <v>3.8618000000000001</v>
      </c>
      <c r="H202" s="3" t="s">
        <v>26</v>
      </c>
      <c r="I202" s="14">
        <v>33</v>
      </c>
      <c r="J202" s="12">
        <v>22</v>
      </c>
      <c r="K202" s="12">
        <v>15</v>
      </c>
      <c r="L202" s="3" t="s">
        <v>27</v>
      </c>
    </row>
    <row r="203" spans="1:12" x14ac:dyDescent="0.3">
      <c r="A203" s="17">
        <v>202</v>
      </c>
      <c r="B203" s="79">
        <v>80.22</v>
      </c>
      <c r="C203" s="79">
        <v>26.71</v>
      </c>
      <c r="D203" s="11">
        <v>2001</v>
      </c>
      <c r="E203" s="10">
        <v>1</v>
      </c>
      <c r="F203" s="10">
        <v>8</v>
      </c>
      <c r="G203" s="2">
        <v>3.9</v>
      </c>
      <c r="H203" s="3" t="s">
        <v>26</v>
      </c>
      <c r="I203" s="7">
        <v>33</v>
      </c>
      <c r="J203" s="10">
        <v>15</v>
      </c>
      <c r="K203" s="10">
        <v>44</v>
      </c>
      <c r="L203" s="11">
        <v>2</v>
      </c>
    </row>
    <row r="204" spans="1:12" x14ac:dyDescent="0.3">
      <c r="A204" s="17">
        <v>203</v>
      </c>
      <c r="B204" s="80">
        <v>75.399000000000001</v>
      </c>
      <c r="C204" s="80">
        <v>22.731000000000002</v>
      </c>
      <c r="D204" s="3">
        <v>2001</v>
      </c>
      <c r="E204" s="3">
        <v>1</v>
      </c>
      <c r="F204" s="3">
        <v>12</v>
      </c>
      <c r="G204" s="2">
        <v>3.7747199999999999</v>
      </c>
      <c r="H204" s="3" t="s">
        <v>26</v>
      </c>
      <c r="I204" s="14">
        <v>2.9</v>
      </c>
      <c r="J204" s="12">
        <v>23</v>
      </c>
      <c r="K204" s="12">
        <v>36</v>
      </c>
      <c r="L204" s="3" t="s">
        <v>12</v>
      </c>
    </row>
    <row r="205" spans="1:12" x14ac:dyDescent="0.3">
      <c r="A205" s="17">
        <v>204</v>
      </c>
      <c r="B205" s="80">
        <v>75.400000000000006</v>
      </c>
      <c r="C205" s="80">
        <v>22.73</v>
      </c>
      <c r="D205" s="3">
        <v>2001</v>
      </c>
      <c r="E205" s="3">
        <v>1</v>
      </c>
      <c r="F205" s="3">
        <v>13</v>
      </c>
      <c r="G205" s="2">
        <v>4.0705999999999998</v>
      </c>
      <c r="H205" s="3" t="s">
        <v>26</v>
      </c>
      <c r="I205" s="14">
        <v>2</v>
      </c>
      <c r="J205" s="12">
        <v>5</v>
      </c>
      <c r="K205" s="12">
        <v>6</v>
      </c>
      <c r="L205" s="3" t="s">
        <v>27</v>
      </c>
    </row>
    <row r="206" spans="1:12" x14ac:dyDescent="0.3">
      <c r="A206" s="17">
        <v>205</v>
      </c>
      <c r="B206" s="80">
        <v>79.772000000000006</v>
      </c>
      <c r="C206" s="80">
        <v>23.161000000000001</v>
      </c>
      <c r="D206" s="3">
        <v>2001</v>
      </c>
      <c r="E206" s="3">
        <v>1</v>
      </c>
      <c r="F206" s="3">
        <v>23</v>
      </c>
      <c r="G206" s="2">
        <v>3.4</v>
      </c>
      <c r="H206" s="3" t="s">
        <v>26</v>
      </c>
      <c r="I206" s="14">
        <v>13.1</v>
      </c>
      <c r="J206" s="12">
        <v>17</v>
      </c>
      <c r="K206" s="12">
        <v>52</v>
      </c>
      <c r="L206" s="3" t="s">
        <v>12</v>
      </c>
    </row>
    <row r="207" spans="1:12" x14ac:dyDescent="0.3">
      <c r="A207" s="17">
        <v>206</v>
      </c>
      <c r="B207" s="80">
        <v>79.77</v>
      </c>
      <c r="C207" s="80">
        <v>23.16</v>
      </c>
      <c r="D207" s="3">
        <v>2001</v>
      </c>
      <c r="E207" s="3">
        <v>1</v>
      </c>
      <c r="F207" s="3">
        <v>23</v>
      </c>
      <c r="G207" s="2">
        <v>3.4</v>
      </c>
      <c r="H207" s="3" t="s">
        <v>26</v>
      </c>
      <c r="I207" s="14">
        <v>13</v>
      </c>
      <c r="J207" s="12">
        <v>23</v>
      </c>
      <c r="K207" s="12">
        <v>22</v>
      </c>
      <c r="L207" s="3" t="s">
        <v>27</v>
      </c>
    </row>
    <row r="208" spans="1:12" x14ac:dyDescent="0.3">
      <c r="A208" s="17">
        <v>207</v>
      </c>
      <c r="B208" s="80">
        <v>71.165000000000006</v>
      </c>
      <c r="C208" s="80">
        <v>23.222999999999999</v>
      </c>
      <c r="D208" s="3">
        <v>2001</v>
      </c>
      <c r="E208" s="3">
        <v>1</v>
      </c>
      <c r="F208" s="3">
        <v>26</v>
      </c>
      <c r="G208" s="2">
        <v>5.1896100000000001</v>
      </c>
      <c r="H208" s="3" t="s">
        <v>26</v>
      </c>
      <c r="I208" s="14">
        <v>10</v>
      </c>
      <c r="J208" s="12">
        <v>8</v>
      </c>
      <c r="K208" s="12">
        <v>42</v>
      </c>
      <c r="L208" s="3" t="s">
        <v>25</v>
      </c>
    </row>
    <row r="209" spans="1:12" x14ac:dyDescent="0.3">
      <c r="A209" s="17">
        <v>208</v>
      </c>
      <c r="B209" s="80">
        <v>71.058000000000007</v>
      </c>
      <c r="C209" s="80">
        <v>23.527000000000001</v>
      </c>
      <c r="D209" s="3">
        <v>2001</v>
      </c>
      <c r="E209" s="3">
        <v>1</v>
      </c>
      <c r="F209" s="3">
        <v>26</v>
      </c>
      <c r="G209" s="2">
        <v>4.0705999999999998</v>
      </c>
      <c r="H209" s="3" t="s">
        <v>26</v>
      </c>
      <c r="I209" s="14">
        <v>33</v>
      </c>
      <c r="J209" s="12">
        <v>12</v>
      </c>
      <c r="K209" s="12">
        <v>23</v>
      </c>
      <c r="L209" s="3" t="s">
        <v>12</v>
      </c>
    </row>
    <row r="210" spans="1:12" x14ac:dyDescent="0.3">
      <c r="A210" s="17">
        <v>209</v>
      </c>
      <c r="B210" s="80">
        <v>71.599999999999994</v>
      </c>
      <c r="C210" s="80">
        <v>23.53</v>
      </c>
      <c r="D210" s="3">
        <v>2001</v>
      </c>
      <c r="E210" s="3">
        <v>1</v>
      </c>
      <c r="F210" s="3">
        <v>26</v>
      </c>
      <c r="G210" s="2">
        <v>4.0705999999999998</v>
      </c>
      <c r="H210" s="3" t="s">
        <v>26</v>
      </c>
      <c r="I210" s="14">
        <v>33</v>
      </c>
      <c r="J210" s="12">
        <v>17</v>
      </c>
      <c r="K210" s="12">
        <v>53</v>
      </c>
      <c r="L210" s="3" t="s">
        <v>27</v>
      </c>
    </row>
    <row r="211" spans="1:12" x14ac:dyDescent="0.3">
      <c r="A211" s="17">
        <v>210</v>
      </c>
      <c r="B211" s="80">
        <v>71.251000000000005</v>
      </c>
      <c r="C211" s="80">
        <v>23.329000000000001</v>
      </c>
      <c r="D211" s="3">
        <v>2001</v>
      </c>
      <c r="E211" s="3">
        <v>1</v>
      </c>
      <c r="F211" s="3">
        <v>26</v>
      </c>
      <c r="G211" s="2">
        <v>4.3490000000000002</v>
      </c>
      <c r="H211" s="3" t="s">
        <v>26</v>
      </c>
      <c r="I211" s="14">
        <v>5</v>
      </c>
      <c r="J211" s="12">
        <v>18</v>
      </c>
      <c r="K211" s="12">
        <v>44</v>
      </c>
      <c r="L211" s="3" t="s">
        <v>12</v>
      </c>
    </row>
    <row r="212" spans="1:12" x14ac:dyDescent="0.3">
      <c r="A212" s="17">
        <v>211</v>
      </c>
      <c r="B212" s="80">
        <v>71.041700000000006</v>
      </c>
      <c r="C212" s="80">
        <v>23.5319</v>
      </c>
      <c r="D212" s="3">
        <v>2001</v>
      </c>
      <c r="E212" s="3">
        <v>1</v>
      </c>
      <c r="F212" s="3">
        <v>26</v>
      </c>
      <c r="G212" s="2">
        <v>4.4882</v>
      </c>
      <c r="H212" s="3" t="s">
        <v>26</v>
      </c>
      <c r="I212" s="14">
        <v>35</v>
      </c>
      <c r="J212" s="12">
        <v>18</v>
      </c>
      <c r="K212" s="12">
        <v>51</v>
      </c>
      <c r="L212" s="3" t="s">
        <v>12</v>
      </c>
    </row>
    <row r="213" spans="1:12" x14ac:dyDescent="0.3">
      <c r="A213" s="17">
        <v>212</v>
      </c>
      <c r="B213" s="80">
        <v>71.003900000000002</v>
      </c>
      <c r="C213" s="80">
        <v>23.488900000000001</v>
      </c>
      <c r="D213" s="3">
        <v>2001</v>
      </c>
      <c r="E213" s="3">
        <v>1</v>
      </c>
      <c r="F213" s="3">
        <v>26</v>
      </c>
      <c r="G213" s="2">
        <v>4.4882</v>
      </c>
      <c r="H213" s="3" t="s">
        <v>26</v>
      </c>
      <c r="I213" s="14">
        <v>35</v>
      </c>
      <c r="J213" s="12">
        <v>23</v>
      </c>
      <c r="K213" s="12">
        <v>14</v>
      </c>
      <c r="L213" s="3" t="s">
        <v>12</v>
      </c>
    </row>
    <row r="214" spans="1:12" x14ac:dyDescent="0.3">
      <c r="A214" s="17">
        <v>213</v>
      </c>
      <c r="B214" s="80">
        <v>71.25</v>
      </c>
      <c r="C214" s="80">
        <v>23.33</v>
      </c>
      <c r="D214" s="3">
        <v>2001</v>
      </c>
      <c r="E214" s="3">
        <v>1</v>
      </c>
      <c r="F214" s="3">
        <v>27</v>
      </c>
      <c r="G214" s="2">
        <v>4.3490000000000002</v>
      </c>
      <c r="H214" s="3" t="s">
        <v>26</v>
      </c>
      <c r="I214" s="14">
        <v>5</v>
      </c>
      <c r="J214" s="12">
        <v>0</v>
      </c>
      <c r="K214" s="12">
        <v>14</v>
      </c>
      <c r="L214" s="3" t="s">
        <v>27</v>
      </c>
    </row>
    <row r="215" spans="1:12" x14ac:dyDescent="0.3">
      <c r="A215" s="17">
        <v>214</v>
      </c>
      <c r="B215" s="80">
        <v>71.099999999999994</v>
      </c>
      <c r="C215" s="80">
        <v>23.37</v>
      </c>
      <c r="D215" s="3">
        <v>2001</v>
      </c>
      <c r="E215" s="3">
        <v>1</v>
      </c>
      <c r="F215" s="3">
        <v>27</v>
      </c>
      <c r="G215" s="2">
        <v>4.4882</v>
      </c>
      <c r="H215" s="3" t="s">
        <v>26</v>
      </c>
      <c r="I215" s="14">
        <v>5</v>
      </c>
      <c r="J215" s="12">
        <v>4</v>
      </c>
      <c r="K215" s="12">
        <v>44</v>
      </c>
      <c r="L215" s="3" t="s">
        <v>27</v>
      </c>
    </row>
    <row r="216" spans="1:12" x14ac:dyDescent="0.3">
      <c r="A216" s="17">
        <v>215</v>
      </c>
      <c r="B216" s="80">
        <v>71.322299999999998</v>
      </c>
      <c r="C216" s="80">
        <v>23.609400000000001</v>
      </c>
      <c r="D216" s="3">
        <v>2001</v>
      </c>
      <c r="E216" s="3">
        <v>1</v>
      </c>
      <c r="F216" s="3">
        <v>28</v>
      </c>
      <c r="G216" s="2">
        <v>4.48644</v>
      </c>
      <c r="H216" s="3" t="s">
        <v>26</v>
      </c>
      <c r="I216" s="14">
        <v>35</v>
      </c>
      <c r="J216" s="12">
        <v>19</v>
      </c>
      <c r="K216" s="12">
        <v>43</v>
      </c>
      <c r="L216" s="3" t="s">
        <v>10</v>
      </c>
    </row>
    <row r="217" spans="1:12" x14ac:dyDescent="0.3">
      <c r="A217" s="17">
        <v>216</v>
      </c>
      <c r="B217" s="79">
        <v>71.38</v>
      </c>
      <c r="C217" s="79">
        <v>23.66</v>
      </c>
      <c r="D217" s="11">
        <v>2001</v>
      </c>
      <c r="E217" s="10">
        <v>1</v>
      </c>
      <c r="F217" s="11">
        <v>28</v>
      </c>
      <c r="G217" s="2">
        <v>4.2</v>
      </c>
      <c r="H217" s="3" t="s">
        <v>26</v>
      </c>
      <c r="I217" s="7">
        <v>0</v>
      </c>
      <c r="J217" s="10">
        <v>19</v>
      </c>
      <c r="K217" s="10">
        <v>43</v>
      </c>
      <c r="L217" s="11">
        <v>1</v>
      </c>
    </row>
    <row r="218" spans="1:12" x14ac:dyDescent="0.3">
      <c r="A218" s="17">
        <v>217</v>
      </c>
      <c r="B218" s="80">
        <v>72.306600000000003</v>
      </c>
      <c r="C218" s="80">
        <v>22.553000000000001</v>
      </c>
      <c r="D218" s="3">
        <v>2001</v>
      </c>
      <c r="E218" s="3">
        <v>1</v>
      </c>
      <c r="F218" s="3">
        <v>30</v>
      </c>
      <c r="G218" s="2">
        <v>4.2520500000000006</v>
      </c>
      <c r="H218" s="3" t="s">
        <v>26</v>
      </c>
      <c r="I218" s="14">
        <v>10</v>
      </c>
      <c r="J218" s="12">
        <v>21</v>
      </c>
      <c r="K218" s="12">
        <v>29</v>
      </c>
      <c r="L218" s="3" t="s">
        <v>10</v>
      </c>
    </row>
    <row r="219" spans="1:12" x14ac:dyDescent="0.3">
      <c r="A219" s="17">
        <v>218</v>
      </c>
      <c r="B219" s="80">
        <v>80.307000000000002</v>
      </c>
      <c r="C219" s="80">
        <v>22.675999999999998</v>
      </c>
      <c r="D219" s="3">
        <v>2001</v>
      </c>
      <c r="E219" s="3">
        <v>2</v>
      </c>
      <c r="F219" s="3">
        <v>21</v>
      </c>
      <c r="G219" s="2">
        <v>3.9314</v>
      </c>
      <c r="H219" s="3" t="s">
        <v>26</v>
      </c>
      <c r="I219" s="14">
        <v>33</v>
      </c>
      <c r="J219" s="12">
        <v>18</v>
      </c>
      <c r="K219" s="12">
        <v>22</v>
      </c>
      <c r="L219" s="3" t="s">
        <v>12</v>
      </c>
    </row>
    <row r="220" spans="1:12" x14ac:dyDescent="0.3">
      <c r="A220" s="17">
        <v>219</v>
      </c>
      <c r="B220" s="80">
        <v>80.31</v>
      </c>
      <c r="C220" s="80">
        <v>22.68</v>
      </c>
      <c r="D220" s="3">
        <v>2001</v>
      </c>
      <c r="E220" s="3">
        <v>2</v>
      </c>
      <c r="F220" s="3">
        <v>21</v>
      </c>
      <c r="G220" s="2">
        <v>3.9314</v>
      </c>
      <c r="H220" s="3" t="s">
        <v>26</v>
      </c>
      <c r="I220" s="14">
        <v>33</v>
      </c>
      <c r="J220" s="12">
        <v>23</v>
      </c>
      <c r="K220" s="12">
        <v>52</v>
      </c>
      <c r="L220" s="3" t="s">
        <v>27</v>
      </c>
    </row>
    <row r="221" spans="1:12" x14ac:dyDescent="0.3">
      <c r="A221" s="17">
        <v>220</v>
      </c>
      <c r="B221" s="80">
        <v>71.58</v>
      </c>
      <c r="C221" s="80">
        <v>21.4</v>
      </c>
      <c r="D221" s="3">
        <v>2001</v>
      </c>
      <c r="E221" s="3">
        <v>2</v>
      </c>
      <c r="F221" s="3">
        <v>27</v>
      </c>
      <c r="G221" s="2">
        <v>4.0922100000000006</v>
      </c>
      <c r="H221" s="3" t="s">
        <v>26</v>
      </c>
      <c r="I221" s="14">
        <v>7</v>
      </c>
      <c r="J221" s="12">
        <v>7</v>
      </c>
      <c r="K221" s="12">
        <v>56</v>
      </c>
      <c r="L221" s="3" t="s">
        <v>27</v>
      </c>
    </row>
    <row r="222" spans="1:12" x14ac:dyDescent="0.3">
      <c r="A222" s="17">
        <v>221</v>
      </c>
      <c r="B222" s="80">
        <v>71.808000000000007</v>
      </c>
      <c r="C222" s="80">
        <v>24.175999999999998</v>
      </c>
      <c r="D222" s="3">
        <v>2001</v>
      </c>
      <c r="E222" s="3">
        <v>3</v>
      </c>
      <c r="F222" s="3">
        <v>15</v>
      </c>
      <c r="G222" s="2">
        <v>3.9314</v>
      </c>
      <c r="H222" s="3" t="s">
        <v>26</v>
      </c>
      <c r="I222" s="14">
        <v>15</v>
      </c>
      <c r="J222" s="12">
        <v>3</v>
      </c>
      <c r="K222" s="12">
        <v>3</v>
      </c>
      <c r="L222" s="3" t="s">
        <v>12</v>
      </c>
    </row>
    <row r="223" spans="1:12" x14ac:dyDescent="0.3">
      <c r="A223" s="17">
        <v>222</v>
      </c>
      <c r="B223" s="80">
        <v>71.81</v>
      </c>
      <c r="C223" s="80">
        <v>24.18</v>
      </c>
      <c r="D223" s="3">
        <v>2001</v>
      </c>
      <c r="E223" s="3">
        <v>3</v>
      </c>
      <c r="F223" s="3">
        <v>15</v>
      </c>
      <c r="G223" s="2">
        <v>3.9314</v>
      </c>
      <c r="H223" s="3" t="s">
        <v>26</v>
      </c>
      <c r="I223" s="14">
        <v>15</v>
      </c>
      <c r="J223" s="12">
        <v>8</v>
      </c>
      <c r="K223" s="12">
        <v>33</v>
      </c>
      <c r="L223" s="3" t="s">
        <v>27</v>
      </c>
    </row>
    <row r="224" spans="1:12" x14ac:dyDescent="0.3">
      <c r="A224" s="17">
        <v>223</v>
      </c>
      <c r="B224" s="80">
        <v>71.400000000000006</v>
      </c>
      <c r="C224" s="80">
        <v>23.74</v>
      </c>
      <c r="D224" s="3">
        <v>2001</v>
      </c>
      <c r="E224" s="3">
        <v>3</v>
      </c>
      <c r="F224" s="3">
        <v>30</v>
      </c>
      <c r="G224" s="2">
        <v>3.9314</v>
      </c>
      <c r="H224" s="3" t="s">
        <v>26</v>
      </c>
      <c r="I224" s="14">
        <v>15</v>
      </c>
      <c r="J224" s="12">
        <v>19</v>
      </c>
      <c r="K224" s="12">
        <v>17</v>
      </c>
      <c r="L224" s="3" t="s">
        <v>27</v>
      </c>
    </row>
    <row r="225" spans="1:12" x14ac:dyDescent="0.3">
      <c r="A225" s="17">
        <v>224</v>
      </c>
      <c r="B225" s="80">
        <v>76.37</v>
      </c>
      <c r="C225" s="80">
        <v>18.7</v>
      </c>
      <c r="D225" s="3">
        <v>2001</v>
      </c>
      <c r="E225" s="3">
        <v>5</v>
      </c>
      <c r="F225" s="3">
        <v>15</v>
      </c>
      <c r="G225" s="2">
        <v>4.0009999999999994</v>
      </c>
      <c r="H225" s="3" t="s">
        <v>26</v>
      </c>
      <c r="I225" s="14">
        <v>9</v>
      </c>
      <c r="J225" s="12">
        <v>22</v>
      </c>
      <c r="K225" s="12">
        <v>35</v>
      </c>
      <c r="L225" s="3" t="s">
        <v>27</v>
      </c>
    </row>
    <row r="226" spans="1:12" x14ac:dyDescent="0.3">
      <c r="A226" s="17">
        <v>225</v>
      </c>
      <c r="B226" s="80">
        <v>70.97</v>
      </c>
      <c r="C226" s="80">
        <v>22.885000000000002</v>
      </c>
      <c r="D226" s="3">
        <v>2001</v>
      </c>
      <c r="E226" s="3">
        <v>8</v>
      </c>
      <c r="F226" s="3">
        <v>7</v>
      </c>
      <c r="G226" s="2">
        <v>4.0009999999999994</v>
      </c>
      <c r="H226" s="3" t="s">
        <v>26</v>
      </c>
      <c r="I226" s="14">
        <v>4.8</v>
      </c>
      <c r="J226" s="12">
        <v>11</v>
      </c>
      <c r="K226" s="12">
        <v>14</v>
      </c>
      <c r="L226" s="3" t="s">
        <v>12</v>
      </c>
    </row>
    <row r="227" spans="1:12" x14ac:dyDescent="0.3">
      <c r="A227" s="17">
        <v>226</v>
      </c>
      <c r="B227" s="80">
        <v>70.97</v>
      </c>
      <c r="C227" s="80">
        <v>22.89</v>
      </c>
      <c r="D227" s="3">
        <v>2001</v>
      </c>
      <c r="E227" s="3">
        <v>8</v>
      </c>
      <c r="F227" s="3">
        <v>7</v>
      </c>
      <c r="G227" s="2">
        <v>4.0009999999999994</v>
      </c>
      <c r="H227" s="3" t="s">
        <v>26</v>
      </c>
      <c r="I227" s="14">
        <v>4</v>
      </c>
      <c r="J227" s="12">
        <v>16</v>
      </c>
      <c r="K227" s="12">
        <v>44</v>
      </c>
      <c r="L227" s="3" t="s">
        <v>27</v>
      </c>
    </row>
    <row r="228" spans="1:12" x14ac:dyDescent="0.3">
      <c r="A228" s="17">
        <v>227</v>
      </c>
      <c r="B228" s="80">
        <v>76.725999999999999</v>
      </c>
      <c r="C228" s="80">
        <v>19.065999999999999</v>
      </c>
      <c r="D228" s="3">
        <v>2001</v>
      </c>
      <c r="E228" s="3">
        <v>11</v>
      </c>
      <c r="F228" s="3">
        <v>5</v>
      </c>
      <c r="G228" s="2">
        <v>3.93953</v>
      </c>
      <c r="H228" s="3" t="s">
        <v>26</v>
      </c>
      <c r="I228" s="14">
        <v>15</v>
      </c>
      <c r="J228" s="12">
        <v>22</v>
      </c>
      <c r="K228" s="12">
        <v>31</v>
      </c>
      <c r="L228" s="3" t="s">
        <v>12</v>
      </c>
    </row>
    <row r="229" spans="1:12" x14ac:dyDescent="0.3">
      <c r="A229" s="17">
        <v>228</v>
      </c>
      <c r="B229" s="80">
        <v>76.73</v>
      </c>
      <c r="C229" s="80">
        <v>19.7</v>
      </c>
      <c r="D229" s="3">
        <v>2001</v>
      </c>
      <c r="E229" s="3">
        <v>11</v>
      </c>
      <c r="F229" s="3">
        <v>6</v>
      </c>
      <c r="G229" s="2">
        <v>3.93953</v>
      </c>
      <c r="H229" s="3" t="s">
        <v>26</v>
      </c>
      <c r="I229" s="14">
        <v>15</v>
      </c>
      <c r="J229" s="12">
        <v>4</v>
      </c>
      <c r="K229" s="12">
        <v>1</v>
      </c>
      <c r="L229" s="3" t="s">
        <v>27</v>
      </c>
    </row>
    <row r="230" spans="1:12" x14ac:dyDescent="0.3">
      <c r="A230" s="17">
        <v>229</v>
      </c>
      <c r="B230" s="80">
        <v>77.167000000000002</v>
      </c>
      <c r="C230" s="80">
        <v>19.388000000000002</v>
      </c>
      <c r="D230" s="3">
        <v>2001</v>
      </c>
      <c r="E230" s="3">
        <v>11</v>
      </c>
      <c r="F230" s="3">
        <v>8</v>
      </c>
      <c r="G230" s="2">
        <v>3.9314</v>
      </c>
      <c r="H230" s="3" t="s">
        <v>26</v>
      </c>
      <c r="I230" s="14">
        <v>15</v>
      </c>
      <c r="J230" s="12">
        <v>6</v>
      </c>
      <c r="K230" s="12">
        <v>36</v>
      </c>
      <c r="L230" s="3" t="s">
        <v>12</v>
      </c>
    </row>
    <row r="231" spans="1:12" x14ac:dyDescent="0.3">
      <c r="A231" s="17">
        <v>230</v>
      </c>
      <c r="B231" s="80">
        <v>77.17</v>
      </c>
      <c r="C231" s="80">
        <v>19.39</v>
      </c>
      <c r="D231" s="3">
        <v>2001</v>
      </c>
      <c r="E231" s="3">
        <v>11</v>
      </c>
      <c r="F231" s="3">
        <v>8</v>
      </c>
      <c r="G231" s="2">
        <v>3.9314</v>
      </c>
      <c r="H231" s="3" t="s">
        <v>26</v>
      </c>
      <c r="I231" s="14">
        <v>15</v>
      </c>
      <c r="J231" s="12">
        <v>12</v>
      </c>
      <c r="K231" s="12">
        <v>6</v>
      </c>
      <c r="L231" s="3" t="s">
        <v>27</v>
      </c>
    </row>
    <row r="232" spans="1:12" x14ac:dyDescent="0.3">
      <c r="A232" s="17">
        <v>231</v>
      </c>
      <c r="B232" s="80">
        <v>72.876800000000003</v>
      </c>
      <c r="C232" s="80">
        <v>19.942499999999999</v>
      </c>
      <c r="D232" s="3">
        <v>2001</v>
      </c>
      <c r="E232" s="3">
        <v>12</v>
      </c>
      <c r="F232" s="3">
        <v>22</v>
      </c>
      <c r="G232" s="2">
        <v>3.45723</v>
      </c>
      <c r="H232" s="3" t="s">
        <v>26</v>
      </c>
      <c r="I232" s="14">
        <v>10</v>
      </c>
      <c r="J232" s="12">
        <v>12</v>
      </c>
      <c r="K232" s="12">
        <v>55</v>
      </c>
      <c r="L232" s="3" t="s">
        <v>12</v>
      </c>
    </row>
    <row r="233" spans="1:12" x14ac:dyDescent="0.3">
      <c r="A233" s="17">
        <v>232</v>
      </c>
      <c r="B233" s="80">
        <v>72.760000000000005</v>
      </c>
      <c r="C233" s="80">
        <v>19.73</v>
      </c>
      <c r="D233" s="3">
        <v>2001</v>
      </c>
      <c r="E233" s="3">
        <v>12</v>
      </c>
      <c r="F233" s="3">
        <v>22</v>
      </c>
      <c r="G233" s="2">
        <v>4.0705999999999998</v>
      </c>
      <c r="H233" s="3" t="s">
        <v>26</v>
      </c>
      <c r="I233" s="14">
        <v>10</v>
      </c>
      <c r="J233" s="12">
        <v>18</v>
      </c>
      <c r="K233" s="12">
        <v>25</v>
      </c>
      <c r="L233" s="3" t="s">
        <v>27</v>
      </c>
    </row>
    <row r="234" spans="1:12" x14ac:dyDescent="0.3">
      <c r="A234" s="17">
        <v>233</v>
      </c>
      <c r="B234" s="80">
        <v>73.568600000000004</v>
      </c>
      <c r="C234" s="80">
        <v>24.917999999999999</v>
      </c>
      <c r="D234" s="3">
        <v>2002</v>
      </c>
      <c r="E234" s="3">
        <v>1</v>
      </c>
      <c r="F234" s="3">
        <v>22</v>
      </c>
      <c r="G234" s="2">
        <v>4.5155299999999992</v>
      </c>
      <c r="H234" s="3" t="s">
        <v>26</v>
      </c>
      <c r="I234" s="14">
        <v>10</v>
      </c>
      <c r="J234" s="12">
        <v>11</v>
      </c>
      <c r="K234" s="12">
        <v>29</v>
      </c>
      <c r="L234" s="3" t="s">
        <v>12</v>
      </c>
    </row>
    <row r="235" spans="1:12" x14ac:dyDescent="0.3">
      <c r="A235" s="17">
        <v>234</v>
      </c>
      <c r="B235" s="80">
        <v>73.52</v>
      </c>
      <c r="C235" s="80">
        <v>24.99</v>
      </c>
      <c r="D235" s="3">
        <v>2002</v>
      </c>
      <c r="E235" s="3">
        <v>1</v>
      </c>
      <c r="F235" s="3">
        <v>22</v>
      </c>
      <c r="G235" s="2">
        <v>4.0009999999999994</v>
      </c>
      <c r="H235" s="3" t="s">
        <v>26</v>
      </c>
      <c r="I235" s="14">
        <v>5</v>
      </c>
      <c r="J235" s="12">
        <v>16</v>
      </c>
      <c r="K235" s="12">
        <v>59</v>
      </c>
      <c r="L235" s="3" t="s">
        <v>27</v>
      </c>
    </row>
    <row r="236" spans="1:12" x14ac:dyDescent="0.3">
      <c r="A236" s="17">
        <v>235</v>
      </c>
      <c r="B236" s="80">
        <v>73.087999999999994</v>
      </c>
      <c r="C236" s="80">
        <v>22.937000000000001</v>
      </c>
      <c r="D236" s="3">
        <v>2002</v>
      </c>
      <c r="E236" s="3">
        <v>1</v>
      </c>
      <c r="F236" s="3">
        <v>23</v>
      </c>
      <c r="G236" s="2">
        <v>3.8618000000000001</v>
      </c>
      <c r="H236" s="3" t="s">
        <v>26</v>
      </c>
      <c r="I236" s="14">
        <v>19.8</v>
      </c>
      <c r="J236" s="12">
        <v>10</v>
      </c>
      <c r="K236" s="12">
        <v>11</v>
      </c>
      <c r="L236" s="3" t="s">
        <v>12</v>
      </c>
    </row>
    <row r="237" spans="1:12" x14ac:dyDescent="0.3">
      <c r="A237" s="17">
        <v>236</v>
      </c>
      <c r="B237" s="80">
        <v>73.900000000000006</v>
      </c>
      <c r="C237" s="80">
        <v>22.94</v>
      </c>
      <c r="D237" s="3">
        <v>2002</v>
      </c>
      <c r="E237" s="3">
        <v>1</v>
      </c>
      <c r="F237" s="3">
        <v>23</v>
      </c>
      <c r="G237" s="2">
        <v>3.8618000000000001</v>
      </c>
      <c r="H237" s="3" t="s">
        <v>26</v>
      </c>
      <c r="I237" s="14">
        <v>19</v>
      </c>
      <c r="J237" s="12">
        <v>15</v>
      </c>
      <c r="K237" s="12">
        <v>41</v>
      </c>
      <c r="L237" s="3" t="s">
        <v>27</v>
      </c>
    </row>
    <row r="238" spans="1:12" x14ac:dyDescent="0.3">
      <c r="A238" s="17">
        <v>237</v>
      </c>
      <c r="B238" s="80">
        <v>71.31</v>
      </c>
      <c r="C238" s="80">
        <v>23.413</v>
      </c>
      <c r="D238" s="3">
        <v>2002</v>
      </c>
      <c r="E238" s="3">
        <v>1</v>
      </c>
      <c r="F238" s="3">
        <v>29</v>
      </c>
      <c r="G238" s="2">
        <v>4.0009999999999994</v>
      </c>
      <c r="H238" s="3" t="s">
        <v>26</v>
      </c>
      <c r="I238" s="14">
        <v>10</v>
      </c>
      <c r="J238" s="12">
        <v>17</v>
      </c>
      <c r="K238" s="12">
        <v>42</v>
      </c>
      <c r="L238" s="3" t="s">
        <v>12</v>
      </c>
    </row>
    <row r="239" spans="1:12" x14ac:dyDescent="0.3">
      <c r="A239" s="17">
        <v>238</v>
      </c>
      <c r="B239" s="80">
        <v>71.31</v>
      </c>
      <c r="C239" s="80">
        <v>23.41</v>
      </c>
      <c r="D239" s="3">
        <v>2002</v>
      </c>
      <c r="E239" s="3">
        <v>1</v>
      </c>
      <c r="F239" s="3">
        <v>29</v>
      </c>
      <c r="G239" s="2">
        <v>4.0009999999999994</v>
      </c>
      <c r="H239" s="3" t="s">
        <v>26</v>
      </c>
      <c r="I239" s="14">
        <v>10</v>
      </c>
      <c r="J239" s="12">
        <v>23</v>
      </c>
      <c r="K239" s="12">
        <v>12</v>
      </c>
      <c r="L239" s="3" t="s">
        <v>27</v>
      </c>
    </row>
    <row r="240" spans="1:12" x14ac:dyDescent="0.3">
      <c r="A240" s="17">
        <v>239</v>
      </c>
      <c r="B240" s="80">
        <v>74.784000000000006</v>
      </c>
      <c r="C240" s="80">
        <v>20.626999999999999</v>
      </c>
      <c r="D240" s="3">
        <v>2002</v>
      </c>
      <c r="E240" s="3">
        <v>2</v>
      </c>
      <c r="F240" s="3">
        <v>6</v>
      </c>
      <c r="G240" s="2">
        <v>3.3513999999999999</v>
      </c>
      <c r="H240" s="3" t="s">
        <v>26</v>
      </c>
      <c r="I240" s="14">
        <v>5</v>
      </c>
      <c r="J240" s="12">
        <v>4</v>
      </c>
      <c r="K240" s="12">
        <v>15</v>
      </c>
      <c r="L240" s="3" t="s">
        <v>12</v>
      </c>
    </row>
    <row r="241" spans="1:12" x14ac:dyDescent="0.3">
      <c r="A241" s="17">
        <v>240</v>
      </c>
      <c r="B241" s="80">
        <v>74.78</v>
      </c>
      <c r="C241" s="80">
        <v>20.63</v>
      </c>
      <c r="D241" s="3">
        <v>2002</v>
      </c>
      <c r="E241" s="3">
        <v>2</v>
      </c>
      <c r="F241" s="3">
        <v>6</v>
      </c>
      <c r="G241" s="2">
        <v>3.8618000000000001</v>
      </c>
      <c r="H241" s="3" t="s">
        <v>26</v>
      </c>
      <c r="I241" s="14">
        <v>5</v>
      </c>
      <c r="J241" s="12">
        <v>9</v>
      </c>
      <c r="K241" s="12">
        <v>45</v>
      </c>
      <c r="L241" s="3" t="s">
        <v>27</v>
      </c>
    </row>
    <row r="242" spans="1:12" x14ac:dyDescent="0.3">
      <c r="A242" s="17">
        <v>241</v>
      </c>
      <c r="B242" s="80">
        <v>79.305999999999997</v>
      </c>
      <c r="C242" s="80">
        <v>22.308</v>
      </c>
      <c r="D242" s="3">
        <v>2002</v>
      </c>
      <c r="E242" s="3">
        <v>3</v>
      </c>
      <c r="F242" s="3">
        <v>6</v>
      </c>
      <c r="G242" s="2">
        <v>3.8618000000000001</v>
      </c>
      <c r="H242" s="3" t="s">
        <v>26</v>
      </c>
      <c r="I242" s="14">
        <v>37.9</v>
      </c>
      <c r="J242" s="12">
        <v>19</v>
      </c>
      <c r="K242" s="12">
        <v>24</v>
      </c>
      <c r="L242" s="3" t="s">
        <v>12</v>
      </c>
    </row>
    <row r="243" spans="1:12" x14ac:dyDescent="0.3">
      <c r="A243" s="17">
        <v>242</v>
      </c>
      <c r="B243" s="80">
        <v>79.31</v>
      </c>
      <c r="C243" s="80">
        <v>22.31</v>
      </c>
      <c r="D243" s="3">
        <v>2002</v>
      </c>
      <c r="E243" s="3">
        <v>3</v>
      </c>
      <c r="F243" s="3">
        <v>7</v>
      </c>
      <c r="G243" s="2">
        <v>3.8618000000000001</v>
      </c>
      <c r="H243" s="3" t="s">
        <v>26</v>
      </c>
      <c r="I243" s="14">
        <v>37</v>
      </c>
      <c r="J243" s="12">
        <v>0</v>
      </c>
      <c r="K243" s="12">
        <v>54</v>
      </c>
      <c r="L243" s="3" t="s">
        <v>27</v>
      </c>
    </row>
    <row r="244" spans="1:12" x14ac:dyDescent="0.3">
      <c r="A244" s="17">
        <v>243</v>
      </c>
      <c r="B244" s="80">
        <v>72.543400000000005</v>
      </c>
      <c r="C244" s="80">
        <v>25.2986</v>
      </c>
      <c r="D244" s="3">
        <v>2002</v>
      </c>
      <c r="E244" s="3">
        <v>3</v>
      </c>
      <c r="F244" s="3">
        <v>13</v>
      </c>
      <c r="G244" s="2">
        <v>4.3490000000000002</v>
      </c>
      <c r="H244" s="3" t="s">
        <v>26</v>
      </c>
      <c r="I244" s="14">
        <v>35</v>
      </c>
      <c r="J244" s="12">
        <v>19</v>
      </c>
      <c r="K244" s="12">
        <v>36</v>
      </c>
      <c r="L244" s="3" t="s">
        <v>12</v>
      </c>
    </row>
    <row r="245" spans="1:12" x14ac:dyDescent="0.3">
      <c r="A245" s="17">
        <v>244</v>
      </c>
      <c r="B245" s="80">
        <v>72.459999999999994</v>
      </c>
      <c r="C245" s="80">
        <v>25.19</v>
      </c>
      <c r="D245" s="3">
        <v>2002</v>
      </c>
      <c r="E245" s="3">
        <v>3</v>
      </c>
      <c r="F245" s="3">
        <v>14</v>
      </c>
      <c r="G245" s="2">
        <v>4.3490000000000002</v>
      </c>
      <c r="H245" s="3" t="s">
        <v>26</v>
      </c>
      <c r="I245" s="14">
        <v>15</v>
      </c>
      <c r="J245" s="12">
        <v>1</v>
      </c>
      <c r="K245" s="12">
        <v>6</v>
      </c>
      <c r="L245" s="3" t="s">
        <v>27</v>
      </c>
    </row>
    <row r="246" spans="1:12" x14ac:dyDescent="0.3">
      <c r="A246" s="17">
        <v>245</v>
      </c>
      <c r="B246" s="80">
        <v>79.48</v>
      </c>
      <c r="C246" s="80">
        <v>22.6</v>
      </c>
      <c r="D246" s="3">
        <v>2002</v>
      </c>
      <c r="E246" s="3">
        <v>4</v>
      </c>
      <c r="F246" s="3">
        <v>17</v>
      </c>
      <c r="G246" s="2">
        <v>4.0009999999999994</v>
      </c>
      <c r="H246" s="3" t="s">
        <v>26</v>
      </c>
      <c r="I246" s="14">
        <v>18.8</v>
      </c>
      <c r="J246" s="12">
        <v>3</v>
      </c>
      <c r="K246" s="12">
        <v>47</v>
      </c>
      <c r="L246" s="3" t="s">
        <v>12</v>
      </c>
    </row>
    <row r="247" spans="1:12" x14ac:dyDescent="0.3">
      <c r="A247" s="17">
        <v>246</v>
      </c>
      <c r="B247" s="80">
        <v>79.48</v>
      </c>
      <c r="C247" s="80">
        <v>22.6</v>
      </c>
      <c r="D247" s="3">
        <v>2002</v>
      </c>
      <c r="E247" s="3">
        <v>4</v>
      </c>
      <c r="F247" s="3">
        <v>17</v>
      </c>
      <c r="G247" s="2">
        <v>4.0009999999999994</v>
      </c>
      <c r="H247" s="3" t="s">
        <v>26</v>
      </c>
      <c r="I247" s="14">
        <v>18</v>
      </c>
      <c r="J247" s="12">
        <v>9</v>
      </c>
      <c r="K247" s="12">
        <v>17</v>
      </c>
      <c r="L247" s="3" t="s">
        <v>27</v>
      </c>
    </row>
    <row r="248" spans="1:12" x14ac:dyDescent="0.3">
      <c r="A248" s="17">
        <v>247</v>
      </c>
      <c r="B248" s="80">
        <v>72.89</v>
      </c>
      <c r="C248" s="80">
        <v>21.141999999999999</v>
      </c>
      <c r="D248" s="3">
        <v>2002</v>
      </c>
      <c r="E248" s="3">
        <v>5</v>
      </c>
      <c r="F248" s="3">
        <v>5</v>
      </c>
      <c r="G248" s="2">
        <v>3.45723</v>
      </c>
      <c r="H248" s="3" t="s">
        <v>26</v>
      </c>
      <c r="I248" s="14">
        <v>15</v>
      </c>
      <c r="J248" s="12">
        <v>10</v>
      </c>
      <c r="K248" s="12">
        <v>32</v>
      </c>
      <c r="L248" s="3" t="s">
        <v>12</v>
      </c>
    </row>
    <row r="249" spans="1:12" x14ac:dyDescent="0.3">
      <c r="A249" s="17">
        <v>248</v>
      </c>
      <c r="B249" s="80">
        <v>72.89</v>
      </c>
      <c r="C249" s="80">
        <v>21.14</v>
      </c>
      <c r="D249" s="3">
        <v>2002</v>
      </c>
      <c r="E249" s="3">
        <v>5</v>
      </c>
      <c r="F249" s="3">
        <v>5</v>
      </c>
      <c r="G249" s="2">
        <v>3.7225999999999999</v>
      </c>
      <c r="H249" s="3" t="s">
        <v>26</v>
      </c>
      <c r="I249" s="14">
        <v>15</v>
      </c>
      <c r="J249" s="12">
        <v>16</v>
      </c>
      <c r="K249" s="12">
        <v>2</v>
      </c>
      <c r="L249" s="3" t="s">
        <v>27</v>
      </c>
    </row>
    <row r="250" spans="1:12" x14ac:dyDescent="0.3">
      <c r="A250" s="17">
        <v>249</v>
      </c>
      <c r="B250" s="80">
        <v>75.057900000000004</v>
      </c>
      <c r="C250" s="80">
        <v>21.5425</v>
      </c>
      <c r="D250" s="3">
        <v>2002</v>
      </c>
      <c r="E250" s="3">
        <v>5</v>
      </c>
      <c r="F250" s="3">
        <v>19</v>
      </c>
      <c r="G250" s="2">
        <v>4.1739199999999999</v>
      </c>
      <c r="H250" s="3" t="s">
        <v>26</v>
      </c>
      <c r="I250" s="14">
        <v>10</v>
      </c>
      <c r="J250" s="12">
        <v>19</v>
      </c>
      <c r="K250" s="12">
        <v>25</v>
      </c>
      <c r="L250" s="3" t="s">
        <v>10</v>
      </c>
    </row>
    <row r="251" spans="1:12" x14ac:dyDescent="0.3">
      <c r="A251" s="17">
        <v>250</v>
      </c>
      <c r="B251" s="80">
        <v>75.209999999999994</v>
      </c>
      <c r="C251" s="80">
        <v>21.37</v>
      </c>
      <c r="D251" s="3">
        <v>2002</v>
      </c>
      <c r="E251" s="3">
        <v>5</v>
      </c>
      <c r="F251" s="3">
        <v>20</v>
      </c>
      <c r="G251" s="2">
        <v>4.3490000000000002</v>
      </c>
      <c r="H251" s="3" t="s">
        <v>26</v>
      </c>
      <c r="I251" s="14">
        <v>15</v>
      </c>
      <c r="J251" s="12">
        <v>0</v>
      </c>
      <c r="K251" s="12">
        <v>55</v>
      </c>
      <c r="L251" s="3" t="s">
        <v>27</v>
      </c>
    </row>
    <row r="252" spans="1:12" x14ac:dyDescent="0.3">
      <c r="A252" s="17">
        <v>251</v>
      </c>
      <c r="B252" s="80">
        <v>75.658000000000001</v>
      </c>
      <c r="C252" s="80">
        <v>21.370999999999999</v>
      </c>
      <c r="D252" s="3">
        <v>2002</v>
      </c>
      <c r="E252" s="3">
        <v>8</v>
      </c>
      <c r="F252" s="3">
        <v>31</v>
      </c>
      <c r="G252" s="2">
        <v>3.8618000000000001</v>
      </c>
      <c r="H252" s="3" t="s">
        <v>26</v>
      </c>
      <c r="I252" s="14">
        <v>10</v>
      </c>
      <c r="J252" s="12">
        <v>11</v>
      </c>
      <c r="K252" s="12">
        <v>42</v>
      </c>
      <c r="L252" s="3" t="s">
        <v>12</v>
      </c>
    </row>
    <row r="253" spans="1:12" x14ac:dyDescent="0.3">
      <c r="A253" s="17">
        <v>252</v>
      </c>
      <c r="B253" s="80">
        <v>75.66</v>
      </c>
      <c r="C253" s="80">
        <v>21.37</v>
      </c>
      <c r="D253" s="3">
        <v>2002</v>
      </c>
      <c r="E253" s="3">
        <v>8</v>
      </c>
      <c r="F253" s="3">
        <v>31</v>
      </c>
      <c r="G253" s="2">
        <v>3.8618000000000001</v>
      </c>
      <c r="H253" s="3" t="s">
        <v>26</v>
      </c>
      <c r="I253" s="14">
        <v>10</v>
      </c>
      <c r="J253" s="12">
        <v>17</v>
      </c>
      <c r="K253" s="12">
        <v>12</v>
      </c>
      <c r="L253" s="3" t="s">
        <v>27</v>
      </c>
    </row>
    <row r="254" spans="1:12" x14ac:dyDescent="0.3">
      <c r="A254" s="17">
        <v>253</v>
      </c>
      <c r="B254" s="80">
        <v>73.778700000000001</v>
      </c>
      <c r="C254" s="80">
        <v>24.5976</v>
      </c>
      <c r="D254" s="3">
        <v>2002</v>
      </c>
      <c r="E254" s="3">
        <v>9</v>
      </c>
      <c r="F254" s="3">
        <v>13</v>
      </c>
      <c r="G254" s="2">
        <v>4.1402000000000001</v>
      </c>
      <c r="H254" s="3" t="s">
        <v>26</v>
      </c>
      <c r="I254" s="14">
        <v>35</v>
      </c>
      <c r="J254" s="12">
        <v>13</v>
      </c>
      <c r="K254" s="12">
        <v>35</v>
      </c>
      <c r="L254" s="3" t="s">
        <v>12</v>
      </c>
    </row>
    <row r="255" spans="1:12" x14ac:dyDescent="0.3">
      <c r="A255" s="17">
        <v>254</v>
      </c>
      <c r="B255" s="80">
        <v>73.709999999999994</v>
      </c>
      <c r="C255" s="80">
        <v>24.68</v>
      </c>
      <c r="D255" s="3">
        <v>2002</v>
      </c>
      <c r="E255" s="3">
        <v>9</v>
      </c>
      <c r="F255" s="3">
        <v>13</v>
      </c>
      <c r="G255" s="2">
        <v>4.1402000000000001</v>
      </c>
      <c r="H255" s="3" t="s">
        <v>26</v>
      </c>
      <c r="I255" s="14">
        <v>10</v>
      </c>
      <c r="J255" s="12">
        <v>19</v>
      </c>
      <c r="K255" s="12">
        <v>5</v>
      </c>
      <c r="L255" s="3" t="s">
        <v>27</v>
      </c>
    </row>
    <row r="256" spans="1:12" x14ac:dyDescent="0.3">
      <c r="A256" s="17">
        <v>255</v>
      </c>
      <c r="B256" s="80">
        <v>80.397000000000006</v>
      </c>
      <c r="C256" s="80">
        <v>23.75</v>
      </c>
      <c r="D256" s="3">
        <v>2002</v>
      </c>
      <c r="E256" s="3">
        <v>9</v>
      </c>
      <c r="F256" s="3">
        <v>21</v>
      </c>
      <c r="G256" s="2">
        <v>4.0705999999999998</v>
      </c>
      <c r="H256" s="3" t="s">
        <v>26</v>
      </c>
      <c r="I256" s="14">
        <v>10</v>
      </c>
      <c r="J256" s="12">
        <v>10</v>
      </c>
      <c r="K256" s="12">
        <v>47</v>
      </c>
      <c r="L256" s="3" t="s">
        <v>12</v>
      </c>
    </row>
    <row r="257" spans="1:12" x14ac:dyDescent="0.3">
      <c r="A257" s="17">
        <v>256</v>
      </c>
      <c r="B257" s="80">
        <v>80.400000000000006</v>
      </c>
      <c r="C257" s="80">
        <v>23.75</v>
      </c>
      <c r="D257" s="3">
        <v>2002</v>
      </c>
      <c r="E257" s="3">
        <v>9</v>
      </c>
      <c r="F257" s="3">
        <v>21</v>
      </c>
      <c r="G257" s="2">
        <v>4.0705999999999998</v>
      </c>
      <c r="H257" s="3" t="s">
        <v>26</v>
      </c>
      <c r="I257" s="14">
        <v>10</v>
      </c>
      <c r="J257" s="12">
        <v>16</v>
      </c>
      <c r="K257" s="12">
        <v>17</v>
      </c>
      <c r="L257" s="3" t="s">
        <v>27</v>
      </c>
    </row>
    <row r="258" spans="1:12" x14ac:dyDescent="0.3">
      <c r="A258" s="17">
        <v>257</v>
      </c>
      <c r="B258" s="80">
        <v>78.278999999999996</v>
      </c>
      <c r="C258" s="80">
        <v>19.640999999999998</v>
      </c>
      <c r="D258" s="3">
        <v>2002</v>
      </c>
      <c r="E258" s="3">
        <v>9</v>
      </c>
      <c r="F258" s="3">
        <v>24</v>
      </c>
      <c r="G258" s="2">
        <v>3.8618000000000001</v>
      </c>
      <c r="H258" s="3" t="s">
        <v>26</v>
      </c>
      <c r="I258" s="14">
        <v>10</v>
      </c>
      <c r="J258" s="12">
        <v>17</v>
      </c>
      <c r="K258" s="12">
        <v>19</v>
      </c>
      <c r="L258" s="3" t="s">
        <v>12</v>
      </c>
    </row>
    <row r="259" spans="1:12" x14ac:dyDescent="0.3">
      <c r="A259" s="17">
        <v>258</v>
      </c>
      <c r="B259" s="80">
        <v>78.28</v>
      </c>
      <c r="C259" s="80">
        <v>19.64</v>
      </c>
      <c r="D259" s="3">
        <v>2002</v>
      </c>
      <c r="E259" s="3">
        <v>9</v>
      </c>
      <c r="F259" s="3">
        <v>24</v>
      </c>
      <c r="G259" s="2">
        <v>3.8618000000000001</v>
      </c>
      <c r="H259" s="3" t="s">
        <v>26</v>
      </c>
      <c r="I259" s="14">
        <v>10</v>
      </c>
      <c r="J259" s="12">
        <v>22</v>
      </c>
      <c r="K259" s="12">
        <v>49</v>
      </c>
      <c r="L259" s="3" t="s">
        <v>27</v>
      </c>
    </row>
    <row r="260" spans="1:12" x14ac:dyDescent="0.3">
      <c r="A260" s="17">
        <v>259</v>
      </c>
      <c r="B260" s="80">
        <v>76.355000000000004</v>
      </c>
      <c r="C260" s="80">
        <v>21.279</v>
      </c>
      <c r="D260" s="3">
        <v>2002</v>
      </c>
      <c r="E260" s="3">
        <v>11</v>
      </c>
      <c r="F260" s="3">
        <v>2</v>
      </c>
      <c r="G260" s="2">
        <v>3.6688899999999998</v>
      </c>
      <c r="H260" s="3" t="s">
        <v>26</v>
      </c>
      <c r="I260" s="14">
        <v>10</v>
      </c>
      <c r="J260" s="12">
        <v>21</v>
      </c>
      <c r="K260" s="12">
        <v>57</v>
      </c>
      <c r="L260" s="3" t="s">
        <v>12</v>
      </c>
    </row>
    <row r="261" spans="1:12" x14ac:dyDescent="0.3">
      <c r="A261" s="17">
        <v>260</v>
      </c>
      <c r="B261" s="80">
        <v>76.36</v>
      </c>
      <c r="C261" s="80">
        <v>21.28</v>
      </c>
      <c r="D261" s="3">
        <v>2002</v>
      </c>
      <c r="E261" s="3">
        <v>11</v>
      </c>
      <c r="F261" s="3">
        <v>3</v>
      </c>
      <c r="G261" s="2">
        <v>3.7921999999999998</v>
      </c>
      <c r="H261" s="3" t="s">
        <v>26</v>
      </c>
      <c r="I261" s="14">
        <v>10</v>
      </c>
      <c r="J261" s="12">
        <v>3</v>
      </c>
      <c r="K261" s="12">
        <v>27</v>
      </c>
      <c r="L261" s="3" t="s">
        <v>27</v>
      </c>
    </row>
    <row r="262" spans="1:12" x14ac:dyDescent="0.3">
      <c r="A262" s="17">
        <v>261</v>
      </c>
      <c r="B262" s="80">
        <v>73.623999999999995</v>
      </c>
      <c r="C262" s="80">
        <v>20.704999999999998</v>
      </c>
      <c r="D262" s="3">
        <v>2002</v>
      </c>
      <c r="E262" s="3">
        <v>12</v>
      </c>
      <c r="F262" s="3">
        <v>1</v>
      </c>
      <c r="G262" s="2">
        <v>3.45723</v>
      </c>
      <c r="H262" s="3" t="s">
        <v>26</v>
      </c>
      <c r="I262" s="14">
        <v>1.6</v>
      </c>
      <c r="J262" s="12">
        <v>7</v>
      </c>
      <c r="K262" s="12">
        <v>33</v>
      </c>
      <c r="L262" s="3" t="s">
        <v>12</v>
      </c>
    </row>
    <row r="263" spans="1:12" x14ac:dyDescent="0.3">
      <c r="A263" s="17">
        <v>262</v>
      </c>
      <c r="B263" s="80">
        <v>73.62</v>
      </c>
      <c r="C263" s="80">
        <v>20.71</v>
      </c>
      <c r="D263" s="3">
        <v>2002</v>
      </c>
      <c r="E263" s="3">
        <v>12</v>
      </c>
      <c r="F263" s="3">
        <v>1</v>
      </c>
      <c r="G263" s="2">
        <v>3.8618000000000001</v>
      </c>
      <c r="H263" s="3" t="s">
        <v>26</v>
      </c>
      <c r="I263" s="14">
        <v>1</v>
      </c>
      <c r="J263" s="12">
        <v>13</v>
      </c>
      <c r="K263" s="12">
        <v>3</v>
      </c>
      <c r="L263" s="3" t="s">
        <v>27</v>
      </c>
    </row>
    <row r="264" spans="1:12" x14ac:dyDescent="0.3">
      <c r="A264" s="17">
        <v>263</v>
      </c>
      <c r="B264" s="80">
        <v>77.414000000000001</v>
      </c>
      <c r="C264" s="80">
        <v>20.613</v>
      </c>
      <c r="D264" s="3">
        <v>2003</v>
      </c>
      <c r="E264" s="3">
        <v>1</v>
      </c>
      <c r="F264" s="3">
        <v>19</v>
      </c>
      <c r="G264" s="2">
        <v>3.45723</v>
      </c>
      <c r="H264" s="3" t="s">
        <v>26</v>
      </c>
      <c r="I264" s="14">
        <v>7.7</v>
      </c>
      <c r="J264" s="12">
        <v>9</v>
      </c>
      <c r="K264" s="12">
        <v>48</v>
      </c>
      <c r="L264" s="3" t="s">
        <v>12</v>
      </c>
    </row>
    <row r="265" spans="1:12" x14ac:dyDescent="0.3">
      <c r="A265" s="17">
        <v>264</v>
      </c>
      <c r="B265" s="80">
        <v>77.41</v>
      </c>
      <c r="C265" s="80">
        <v>20.61</v>
      </c>
      <c r="D265" s="3">
        <v>2003</v>
      </c>
      <c r="E265" s="3">
        <v>1</v>
      </c>
      <c r="F265" s="3">
        <v>19</v>
      </c>
      <c r="G265" s="2">
        <v>3.45723</v>
      </c>
      <c r="H265" s="3" t="s">
        <v>26</v>
      </c>
      <c r="I265" s="14">
        <v>7</v>
      </c>
      <c r="J265" s="12">
        <v>15</v>
      </c>
      <c r="K265" s="12">
        <v>18</v>
      </c>
      <c r="L265" s="3" t="s">
        <v>27</v>
      </c>
    </row>
    <row r="266" spans="1:12" x14ac:dyDescent="0.3">
      <c r="A266" s="17">
        <v>265</v>
      </c>
      <c r="B266" s="80">
        <v>72.503</v>
      </c>
      <c r="C266" s="80">
        <v>20.138999999999999</v>
      </c>
      <c r="D266" s="3">
        <v>2003</v>
      </c>
      <c r="E266" s="3">
        <v>2</v>
      </c>
      <c r="F266" s="3">
        <v>12</v>
      </c>
      <c r="G266" s="2">
        <v>3.45723</v>
      </c>
      <c r="H266" s="3" t="s">
        <v>26</v>
      </c>
      <c r="I266" s="14">
        <v>13.9</v>
      </c>
      <c r="J266" s="12">
        <v>20</v>
      </c>
      <c r="K266" s="12">
        <v>30</v>
      </c>
      <c r="L266" s="3" t="s">
        <v>12</v>
      </c>
    </row>
    <row r="267" spans="1:12" x14ac:dyDescent="0.3">
      <c r="A267" s="17">
        <v>266</v>
      </c>
      <c r="B267" s="80">
        <v>72.5</v>
      </c>
      <c r="C267" s="80">
        <v>20.14</v>
      </c>
      <c r="D267" s="3">
        <v>2003</v>
      </c>
      <c r="E267" s="3">
        <v>2</v>
      </c>
      <c r="F267" s="3">
        <v>13</v>
      </c>
      <c r="G267" s="2">
        <v>3.45723</v>
      </c>
      <c r="H267" s="3" t="s">
        <v>26</v>
      </c>
      <c r="I267" s="14">
        <v>13</v>
      </c>
      <c r="J267" s="12">
        <v>2</v>
      </c>
      <c r="K267" s="12">
        <v>0</v>
      </c>
      <c r="L267" s="3" t="s">
        <v>27</v>
      </c>
    </row>
    <row r="268" spans="1:12" x14ac:dyDescent="0.3">
      <c r="A268" s="17">
        <v>267</v>
      </c>
      <c r="B268" s="80">
        <v>77.264499999999998</v>
      </c>
      <c r="C268" s="80">
        <v>21.372299999999999</v>
      </c>
      <c r="D268" s="3">
        <v>2003</v>
      </c>
      <c r="E268" s="3">
        <v>3</v>
      </c>
      <c r="F268" s="3">
        <v>10</v>
      </c>
      <c r="G268" s="2">
        <v>4.6426999999999996</v>
      </c>
      <c r="H268" s="3" t="s">
        <v>26</v>
      </c>
      <c r="I268" s="14">
        <v>23.9</v>
      </c>
      <c r="J268" s="12">
        <v>22</v>
      </c>
      <c r="K268" s="12">
        <v>45</v>
      </c>
      <c r="L268" s="3" t="s">
        <v>10</v>
      </c>
    </row>
    <row r="269" spans="1:12" x14ac:dyDescent="0.3">
      <c r="A269" s="17">
        <v>268</v>
      </c>
      <c r="B269" s="79">
        <v>77.209999999999994</v>
      </c>
      <c r="C269" s="79">
        <v>21.4</v>
      </c>
      <c r="D269" s="11">
        <v>2003</v>
      </c>
      <c r="E269" s="10">
        <v>3</v>
      </c>
      <c r="F269" s="11">
        <v>10</v>
      </c>
      <c r="G269" s="2">
        <v>4.3</v>
      </c>
      <c r="H269" s="3" t="s">
        <v>26</v>
      </c>
      <c r="I269" s="7">
        <v>22.7</v>
      </c>
      <c r="J269" s="10">
        <v>22</v>
      </c>
      <c r="K269" s="10">
        <v>45</v>
      </c>
      <c r="L269" s="11">
        <v>1</v>
      </c>
    </row>
    <row r="270" spans="1:12" x14ac:dyDescent="0.3">
      <c r="A270" s="17">
        <v>269</v>
      </c>
      <c r="B270" s="80">
        <v>77.19</v>
      </c>
      <c r="C270" s="80">
        <v>21.27</v>
      </c>
      <c r="D270" s="3">
        <v>2003</v>
      </c>
      <c r="E270" s="3">
        <v>3</v>
      </c>
      <c r="F270" s="3">
        <v>11</v>
      </c>
      <c r="G270" s="2">
        <v>4.4185999999999996</v>
      </c>
      <c r="H270" s="3" t="s">
        <v>26</v>
      </c>
      <c r="I270" s="14">
        <v>9</v>
      </c>
      <c r="J270" s="12">
        <v>4</v>
      </c>
      <c r="K270" s="12">
        <v>15</v>
      </c>
      <c r="L270" s="3" t="s">
        <v>27</v>
      </c>
    </row>
    <row r="271" spans="1:12" x14ac:dyDescent="0.3">
      <c r="A271" s="17">
        <v>270</v>
      </c>
      <c r="B271" s="80">
        <v>74.344999999999999</v>
      </c>
      <c r="C271" s="80">
        <v>21.830500000000001</v>
      </c>
      <c r="D271" s="3">
        <v>2003</v>
      </c>
      <c r="E271" s="3">
        <v>7</v>
      </c>
      <c r="F271" s="3">
        <v>27</v>
      </c>
      <c r="G271" s="2">
        <v>4.5645699999999998</v>
      </c>
      <c r="H271" s="3" t="s">
        <v>26</v>
      </c>
      <c r="I271" s="14">
        <v>19.5</v>
      </c>
      <c r="J271" s="12">
        <v>4</v>
      </c>
      <c r="K271" s="12">
        <v>35</v>
      </c>
      <c r="L271" s="3" t="s">
        <v>10</v>
      </c>
    </row>
    <row r="272" spans="1:12" x14ac:dyDescent="0.3">
      <c r="A272" s="17">
        <v>271</v>
      </c>
      <c r="B272" s="79">
        <v>74.34</v>
      </c>
      <c r="C272" s="79">
        <v>21.88</v>
      </c>
      <c r="D272" s="11">
        <v>2003</v>
      </c>
      <c r="E272" s="10">
        <v>7</v>
      </c>
      <c r="F272" s="11">
        <v>27</v>
      </c>
      <c r="G272" s="2">
        <v>4.2</v>
      </c>
      <c r="H272" s="3" t="s">
        <v>26</v>
      </c>
      <c r="I272" s="7">
        <v>0</v>
      </c>
      <c r="J272" s="10">
        <v>4</v>
      </c>
      <c r="K272" s="10">
        <v>35</v>
      </c>
      <c r="L272" s="11">
        <v>1</v>
      </c>
    </row>
    <row r="273" spans="1:12" x14ac:dyDescent="0.3">
      <c r="A273" s="17">
        <v>272</v>
      </c>
      <c r="B273" s="80">
        <v>74.180000000000007</v>
      </c>
      <c r="C273" s="80">
        <v>21.71</v>
      </c>
      <c r="D273" s="3">
        <v>2003</v>
      </c>
      <c r="E273" s="3">
        <v>7</v>
      </c>
      <c r="F273" s="3">
        <v>27</v>
      </c>
      <c r="G273" s="2">
        <v>4.4185999999999996</v>
      </c>
      <c r="H273" s="3" t="s">
        <v>26</v>
      </c>
      <c r="I273" s="14">
        <v>12</v>
      </c>
      <c r="J273" s="12">
        <v>10</v>
      </c>
      <c r="K273" s="12">
        <v>5</v>
      </c>
      <c r="L273" s="3" t="s">
        <v>27</v>
      </c>
    </row>
    <row r="274" spans="1:12" x14ac:dyDescent="0.3">
      <c r="A274" s="17">
        <v>273</v>
      </c>
      <c r="B274" s="80">
        <v>76.038600000000002</v>
      </c>
      <c r="C274" s="80">
        <v>21.5685</v>
      </c>
      <c r="D274" s="3">
        <v>2003</v>
      </c>
      <c r="E274" s="3">
        <v>11</v>
      </c>
      <c r="F274" s="3">
        <v>22</v>
      </c>
      <c r="G274" s="2">
        <v>4.3301800000000004</v>
      </c>
      <c r="H274" s="3" t="s">
        <v>26</v>
      </c>
      <c r="I274" s="14">
        <v>35</v>
      </c>
      <c r="J274" s="12">
        <v>0</v>
      </c>
      <c r="K274" s="12">
        <v>18</v>
      </c>
      <c r="L274" s="3" t="s">
        <v>10</v>
      </c>
    </row>
    <row r="275" spans="1:12" x14ac:dyDescent="0.3">
      <c r="A275" s="17">
        <v>274</v>
      </c>
      <c r="B275" s="79">
        <v>75.97</v>
      </c>
      <c r="C275" s="79">
        <v>21.55</v>
      </c>
      <c r="D275" s="11">
        <v>2003</v>
      </c>
      <c r="E275" s="11">
        <v>11</v>
      </c>
      <c r="F275" s="11">
        <v>22</v>
      </c>
      <c r="G275" s="2">
        <v>4</v>
      </c>
      <c r="H275" s="3" t="s">
        <v>26</v>
      </c>
      <c r="I275" s="7">
        <v>10.5</v>
      </c>
      <c r="J275" s="10">
        <v>0</v>
      </c>
      <c r="K275" s="10">
        <v>18</v>
      </c>
      <c r="L275" s="11">
        <v>1</v>
      </c>
    </row>
    <row r="276" spans="1:12" x14ac:dyDescent="0.3">
      <c r="A276" s="17">
        <v>275</v>
      </c>
      <c r="B276" s="80">
        <v>76.099999999999994</v>
      </c>
      <c r="C276" s="80">
        <v>21.47</v>
      </c>
      <c r="D276" s="3">
        <v>2003</v>
      </c>
      <c r="E276" s="3">
        <v>11</v>
      </c>
      <c r="F276" s="3">
        <v>22</v>
      </c>
      <c r="G276" s="2">
        <v>4.2097999999999995</v>
      </c>
      <c r="H276" s="3" t="s">
        <v>26</v>
      </c>
      <c r="I276" s="14">
        <v>3</v>
      </c>
      <c r="J276" s="12">
        <v>5</v>
      </c>
      <c r="K276" s="12">
        <v>48</v>
      </c>
      <c r="L276" s="3" t="s">
        <v>27</v>
      </c>
    </row>
    <row r="277" spans="1:12" x14ac:dyDescent="0.3">
      <c r="A277" s="17">
        <v>276</v>
      </c>
      <c r="B277" s="80">
        <v>80.238</v>
      </c>
      <c r="C277" s="80">
        <v>21.242999999999999</v>
      </c>
      <c r="D277" s="3">
        <v>2003</v>
      </c>
      <c r="E277" s="3">
        <v>11</v>
      </c>
      <c r="F277" s="3">
        <v>29</v>
      </c>
      <c r="G277" s="2">
        <v>3.9314</v>
      </c>
      <c r="H277" s="3" t="s">
        <v>26</v>
      </c>
      <c r="I277" s="14">
        <v>13.3</v>
      </c>
      <c r="J277" s="12">
        <v>7</v>
      </c>
      <c r="K277" s="12">
        <v>5</v>
      </c>
      <c r="L277" s="3" t="s">
        <v>12</v>
      </c>
    </row>
    <row r="278" spans="1:12" x14ac:dyDescent="0.3">
      <c r="A278" s="17">
        <v>277</v>
      </c>
      <c r="B278" s="80">
        <v>80.239999999999995</v>
      </c>
      <c r="C278" s="80">
        <v>21.24</v>
      </c>
      <c r="D278" s="3">
        <v>2003</v>
      </c>
      <c r="E278" s="3">
        <v>11</v>
      </c>
      <c r="F278" s="3">
        <v>29</v>
      </c>
      <c r="G278" s="2">
        <v>3.9314</v>
      </c>
      <c r="H278" s="3" t="s">
        <v>26</v>
      </c>
      <c r="I278" s="14">
        <v>13</v>
      </c>
      <c r="J278" s="12">
        <v>12</v>
      </c>
      <c r="K278" s="12">
        <v>35</v>
      </c>
      <c r="L278" s="3" t="s">
        <v>27</v>
      </c>
    </row>
    <row r="279" spans="1:12" x14ac:dyDescent="0.3">
      <c r="A279" s="17">
        <v>278</v>
      </c>
      <c r="B279" s="80">
        <v>74.546999999999997</v>
      </c>
      <c r="C279" s="80">
        <v>22.102</v>
      </c>
      <c r="D279" s="3">
        <v>2003</v>
      </c>
      <c r="E279" s="3">
        <v>12</v>
      </c>
      <c r="F279" s="3">
        <v>23</v>
      </c>
      <c r="G279" s="2">
        <v>4.0922100000000006</v>
      </c>
      <c r="H279" s="3" t="s">
        <v>26</v>
      </c>
      <c r="I279" s="14">
        <v>5</v>
      </c>
      <c r="J279" s="12">
        <v>19</v>
      </c>
      <c r="K279" s="12">
        <v>9</v>
      </c>
      <c r="L279" s="3" t="s">
        <v>12</v>
      </c>
    </row>
    <row r="280" spans="1:12" x14ac:dyDescent="0.3">
      <c r="A280" s="17">
        <v>279</v>
      </c>
      <c r="B280" s="80">
        <v>74.55</v>
      </c>
      <c r="C280" s="80">
        <v>22.1</v>
      </c>
      <c r="D280" s="3">
        <v>2003</v>
      </c>
      <c r="E280" s="3">
        <v>12</v>
      </c>
      <c r="F280" s="3">
        <v>24</v>
      </c>
      <c r="G280" s="2">
        <v>4.1402000000000001</v>
      </c>
      <c r="H280" s="3" t="s">
        <v>26</v>
      </c>
      <c r="I280" s="14">
        <v>5</v>
      </c>
      <c r="J280" s="12">
        <v>0</v>
      </c>
      <c r="K280" s="12">
        <v>39</v>
      </c>
      <c r="L280" s="3" t="s">
        <v>27</v>
      </c>
    </row>
    <row r="281" spans="1:12" x14ac:dyDescent="0.3">
      <c r="A281" s="17">
        <v>280</v>
      </c>
      <c r="B281" s="80">
        <v>74.066000000000003</v>
      </c>
      <c r="C281" s="80">
        <v>22.152999999999999</v>
      </c>
      <c r="D281" s="3">
        <v>2003</v>
      </c>
      <c r="E281" s="3">
        <v>12</v>
      </c>
      <c r="F281" s="3">
        <v>24</v>
      </c>
      <c r="G281" s="2">
        <v>3.45723</v>
      </c>
      <c r="H281" s="3" t="s">
        <v>26</v>
      </c>
      <c r="I281" s="14">
        <v>40.6</v>
      </c>
      <c r="J281" s="12">
        <v>15</v>
      </c>
      <c r="K281" s="12">
        <v>47</v>
      </c>
      <c r="L281" s="3" t="s">
        <v>12</v>
      </c>
    </row>
    <row r="282" spans="1:12" x14ac:dyDescent="0.3">
      <c r="A282" s="17">
        <v>281</v>
      </c>
      <c r="B282" s="80">
        <v>74.7</v>
      </c>
      <c r="C282" s="80">
        <v>22.15</v>
      </c>
      <c r="D282" s="3">
        <v>2003</v>
      </c>
      <c r="E282" s="3">
        <v>12</v>
      </c>
      <c r="F282" s="3">
        <v>24</v>
      </c>
      <c r="G282" s="2">
        <v>3.653</v>
      </c>
      <c r="H282" s="3" t="s">
        <v>26</v>
      </c>
      <c r="I282" s="14">
        <v>40</v>
      </c>
      <c r="J282" s="12">
        <v>21</v>
      </c>
      <c r="K282" s="12">
        <v>17</v>
      </c>
      <c r="L282" s="3" t="s">
        <v>27</v>
      </c>
    </row>
    <row r="283" spans="1:12" x14ac:dyDescent="0.3">
      <c r="A283" s="17">
        <v>282</v>
      </c>
      <c r="B283" s="80">
        <v>76.891000000000005</v>
      </c>
      <c r="C283" s="80">
        <v>20.670999999999999</v>
      </c>
      <c r="D283" s="3">
        <v>2003</v>
      </c>
      <c r="E283" s="3">
        <v>12</v>
      </c>
      <c r="F283" s="3">
        <v>26</v>
      </c>
      <c r="G283" s="2">
        <v>3.5630600000000001</v>
      </c>
      <c r="H283" s="3" t="s">
        <v>26</v>
      </c>
      <c r="I283" s="14">
        <v>13.2</v>
      </c>
      <c r="J283" s="12">
        <v>18</v>
      </c>
      <c r="K283" s="12">
        <v>37</v>
      </c>
      <c r="L283" s="3" t="s">
        <v>12</v>
      </c>
    </row>
    <row r="284" spans="1:12" x14ac:dyDescent="0.3">
      <c r="A284" s="17">
        <v>283</v>
      </c>
      <c r="B284" s="80">
        <v>76.89</v>
      </c>
      <c r="C284" s="80">
        <v>20.67</v>
      </c>
      <c r="D284" s="3">
        <v>2003</v>
      </c>
      <c r="E284" s="3">
        <v>12</v>
      </c>
      <c r="F284" s="3">
        <v>27</v>
      </c>
      <c r="G284" s="2">
        <v>3.9314</v>
      </c>
      <c r="H284" s="3" t="s">
        <v>26</v>
      </c>
      <c r="I284" s="14">
        <v>13</v>
      </c>
      <c r="J284" s="12">
        <v>0</v>
      </c>
      <c r="K284" s="12">
        <v>7</v>
      </c>
      <c r="L284" s="3" t="s">
        <v>27</v>
      </c>
    </row>
    <row r="285" spans="1:12" x14ac:dyDescent="0.3">
      <c r="A285" s="17">
        <v>284</v>
      </c>
      <c r="B285" s="80">
        <v>72.732299999999995</v>
      </c>
      <c r="C285" s="80">
        <v>25.276800000000001</v>
      </c>
      <c r="D285" s="3">
        <v>2004</v>
      </c>
      <c r="E285" s="3">
        <v>2</v>
      </c>
      <c r="F285" s="3">
        <v>19</v>
      </c>
      <c r="G285" s="2">
        <v>4.6273999999999997</v>
      </c>
      <c r="H285" s="3" t="s">
        <v>26</v>
      </c>
      <c r="I285" s="14">
        <v>35</v>
      </c>
      <c r="J285" s="12">
        <v>2</v>
      </c>
      <c r="K285" s="12">
        <v>40</v>
      </c>
      <c r="L285" s="3" t="s">
        <v>12</v>
      </c>
    </row>
    <row r="286" spans="1:12" x14ac:dyDescent="0.3">
      <c r="A286" s="17">
        <v>285</v>
      </c>
      <c r="B286" s="79">
        <v>72.66</v>
      </c>
      <c r="C286" s="79">
        <v>25.3</v>
      </c>
      <c r="D286" s="11">
        <v>2004</v>
      </c>
      <c r="E286" s="10">
        <v>2</v>
      </c>
      <c r="F286" s="11">
        <v>19</v>
      </c>
      <c r="G286" s="2">
        <v>4</v>
      </c>
      <c r="H286" s="3" t="s">
        <v>26</v>
      </c>
      <c r="I286" s="7">
        <v>7</v>
      </c>
      <c r="J286" s="10">
        <v>2</v>
      </c>
      <c r="K286" s="10">
        <v>40</v>
      </c>
      <c r="L286" s="11">
        <v>2</v>
      </c>
    </row>
    <row r="287" spans="1:12" x14ac:dyDescent="0.3">
      <c r="A287" s="17">
        <v>286</v>
      </c>
      <c r="B287" s="80">
        <v>72.66</v>
      </c>
      <c r="C287" s="80">
        <v>25.3</v>
      </c>
      <c r="D287" s="3">
        <v>2004</v>
      </c>
      <c r="E287" s="3">
        <v>2</v>
      </c>
      <c r="F287" s="3">
        <v>19</v>
      </c>
      <c r="G287" s="2">
        <v>4.6273999999999997</v>
      </c>
      <c r="H287" s="3" t="s">
        <v>26</v>
      </c>
      <c r="I287" s="14">
        <v>7</v>
      </c>
      <c r="J287" s="12">
        <v>8</v>
      </c>
      <c r="K287" s="12">
        <v>10</v>
      </c>
      <c r="L287" s="3" t="s">
        <v>27</v>
      </c>
    </row>
    <row r="288" spans="1:12" x14ac:dyDescent="0.3">
      <c r="A288" s="17">
        <v>287</v>
      </c>
      <c r="B288" s="80">
        <v>75.799000000000007</v>
      </c>
      <c r="C288" s="80">
        <v>21.687000000000001</v>
      </c>
      <c r="D288" s="3">
        <v>2004</v>
      </c>
      <c r="E288" s="3">
        <v>3</v>
      </c>
      <c r="F288" s="3">
        <v>1</v>
      </c>
      <c r="G288" s="2">
        <v>3.3513999999999999</v>
      </c>
      <c r="H288" s="3" t="s">
        <v>26</v>
      </c>
      <c r="I288" s="14">
        <v>10</v>
      </c>
      <c r="J288" s="12">
        <v>6</v>
      </c>
      <c r="K288" s="12">
        <v>38</v>
      </c>
      <c r="L288" s="3" t="s">
        <v>12</v>
      </c>
    </row>
    <row r="289" spans="1:12" x14ac:dyDescent="0.3">
      <c r="A289" s="17">
        <v>288</v>
      </c>
      <c r="B289" s="80">
        <v>75.8</v>
      </c>
      <c r="C289" s="80">
        <v>21.69</v>
      </c>
      <c r="D289" s="3">
        <v>2004</v>
      </c>
      <c r="E289" s="3">
        <v>3</v>
      </c>
      <c r="F289" s="3">
        <v>1</v>
      </c>
      <c r="G289" s="2">
        <v>3.8618000000000001</v>
      </c>
      <c r="H289" s="3" t="s">
        <v>26</v>
      </c>
      <c r="I289" s="14">
        <v>10</v>
      </c>
      <c r="J289" s="12">
        <v>12</v>
      </c>
      <c r="K289" s="12">
        <v>8</v>
      </c>
      <c r="L289" s="3" t="s">
        <v>27</v>
      </c>
    </row>
    <row r="290" spans="1:12" x14ac:dyDescent="0.3">
      <c r="A290" s="17">
        <v>289</v>
      </c>
      <c r="B290" s="80">
        <v>78.975999999999999</v>
      </c>
      <c r="C290" s="80">
        <v>21.204000000000001</v>
      </c>
      <c r="D290" s="3">
        <v>2004</v>
      </c>
      <c r="E290" s="3">
        <v>5</v>
      </c>
      <c r="F290" s="3">
        <v>12</v>
      </c>
      <c r="G290" s="2">
        <v>3.8618000000000001</v>
      </c>
      <c r="H290" s="3" t="s">
        <v>26</v>
      </c>
      <c r="I290" s="14">
        <v>4</v>
      </c>
      <c r="J290" s="12">
        <v>0</v>
      </c>
      <c r="K290" s="12">
        <v>29</v>
      </c>
      <c r="L290" s="3" t="s">
        <v>12</v>
      </c>
    </row>
    <row r="291" spans="1:12" x14ac:dyDescent="0.3">
      <c r="A291" s="17">
        <v>290</v>
      </c>
      <c r="B291" s="80">
        <v>78.98</v>
      </c>
      <c r="C291" s="80">
        <v>21.2</v>
      </c>
      <c r="D291" s="3">
        <v>2004</v>
      </c>
      <c r="E291" s="3">
        <v>5</v>
      </c>
      <c r="F291" s="3">
        <v>12</v>
      </c>
      <c r="G291" s="2">
        <v>3.8618000000000001</v>
      </c>
      <c r="H291" s="3" t="s">
        <v>26</v>
      </c>
      <c r="I291" s="14">
        <v>4</v>
      </c>
      <c r="J291" s="12">
        <v>5</v>
      </c>
      <c r="K291" s="12">
        <v>59</v>
      </c>
      <c r="L291" s="3" t="s">
        <v>27</v>
      </c>
    </row>
    <row r="292" spans="1:12" x14ac:dyDescent="0.3">
      <c r="A292" s="17">
        <v>291</v>
      </c>
      <c r="B292" s="80">
        <v>73.651899999999998</v>
      </c>
      <c r="C292" s="80">
        <v>24.8142</v>
      </c>
      <c r="D292" s="3">
        <v>2004</v>
      </c>
      <c r="E292" s="3">
        <v>6</v>
      </c>
      <c r="F292" s="3">
        <v>17</v>
      </c>
      <c r="G292" s="2">
        <v>4.3301800000000004</v>
      </c>
      <c r="H292" s="3" t="s">
        <v>26</v>
      </c>
      <c r="I292" s="14">
        <v>35</v>
      </c>
      <c r="J292" s="12">
        <v>8</v>
      </c>
      <c r="K292" s="12">
        <v>41</v>
      </c>
      <c r="L292" s="3" t="s">
        <v>10</v>
      </c>
    </row>
    <row r="293" spans="1:12" x14ac:dyDescent="0.3">
      <c r="A293" s="17">
        <v>292</v>
      </c>
      <c r="B293" s="79">
        <v>73.53</v>
      </c>
      <c r="C293" s="79">
        <v>24.75</v>
      </c>
      <c r="D293" s="11">
        <v>2004</v>
      </c>
      <c r="E293" s="10">
        <v>6</v>
      </c>
      <c r="F293" s="11">
        <v>17</v>
      </c>
      <c r="G293" s="2">
        <v>4.0999999999999996</v>
      </c>
      <c r="H293" s="3" t="s">
        <v>26</v>
      </c>
      <c r="I293" s="7">
        <v>0</v>
      </c>
      <c r="J293" s="10">
        <v>8</v>
      </c>
      <c r="K293" s="10">
        <v>41</v>
      </c>
      <c r="L293" s="11">
        <v>1</v>
      </c>
    </row>
    <row r="294" spans="1:12" x14ac:dyDescent="0.3">
      <c r="A294" s="17">
        <v>293</v>
      </c>
      <c r="B294" s="80">
        <v>73.61</v>
      </c>
      <c r="C294" s="80">
        <v>24.94</v>
      </c>
      <c r="D294" s="3">
        <v>2004</v>
      </c>
      <c r="E294" s="3">
        <v>6</v>
      </c>
      <c r="F294" s="3">
        <v>17</v>
      </c>
      <c r="G294" s="2">
        <v>4.4882</v>
      </c>
      <c r="H294" s="3" t="s">
        <v>26</v>
      </c>
      <c r="I294" s="14">
        <v>6</v>
      </c>
      <c r="J294" s="12">
        <v>14</v>
      </c>
      <c r="K294" s="12">
        <v>11</v>
      </c>
      <c r="L294" s="3" t="s">
        <v>27</v>
      </c>
    </row>
    <row r="295" spans="1:12" x14ac:dyDescent="0.3">
      <c r="A295" s="17">
        <v>294</v>
      </c>
      <c r="B295" s="80">
        <v>71.569999999999993</v>
      </c>
      <c r="C295" s="80">
        <v>23.905000000000001</v>
      </c>
      <c r="D295" s="3">
        <v>2004</v>
      </c>
      <c r="E295" s="3">
        <v>7</v>
      </c>
      <c r="F295" s="3">
        <v>17</v>
      </c>
      <c r="G295" s="2">
        <v>4.48644</v>
      </c>
      <c r="H295" s="3" t="s">
        <v>26</v>
      </c>
      <c r="I295" s="14">
        <v>10</v>
      </c>
      <c r="J295" s="12">
        <v>18</v>
      </c>
      <c r="K295" s="12">
        <v>21</v>
      </c>
      <c r="L295" s="3" t="s">
        <v>25</v>
      </c>
    </row>
    <row r="296" spans="1:12" x14ac:dyDescent="0.3">
      <c r="A296" s="17">
        <v>295</v>
      </c>
      <c r="B296" s="80">
        <v>75.323999999999998</v>
      </c>
      <c r="C296" s="80">
        <v>21.858000000000001</v>
      </c>
      <c r="D296" s="3">
        <v>2004</v>
      </c>
      <c r="E296" s="3">
        <v>10</v>
      </c>
      <c r="F296" s="3">
        <v>28</v>
      </c>
      <c r="G296" s="2">
        <v>3.5630600000000001</v>
      </c>
      <c r="H296" s="3" t="s">
        <v>26</v>
      </c>
      <c r="I296" s="14">
        <v>13.4</v>
      </c>
      <c r="J296" s="12">
        <v>23</v>
      </c>
      <c r="K296" s="12">
        <v>41</v>
      </c>
      <c r="L296" s="3" t="s">
        <v>12</v>
      </c>
    </row>
    <row r="297" spans="1:12" x14ac:dyDescent="0.3">
      <c r="A297" s="17">
        <v>296</v>
      </c>
      <c r="B297" s="80">
        <v>77.929000000000002</v>
      </c>
      <c r="C297" s="80">
        <v>20.137</v>
      </c>
      <c r="D297" s="3">
        <v>2004</v>
      </c>
      <c r="E297" s="3">
        <v>12</v>
      </c>
      <c r="F297" s="3">
        <v>2</v>
      </c>
      <c r="G297" s="2">
        <v>3.45723</v>
      </c>
      <c r="H297" s="3" t="s">
        <v>26</v>
      </c>
      <c r="I297" s="14">
        <v>19.899999999999999</v>
      </c>
      <c r="J297" s="12">
        <v>9</v>
      </c>
      <c r="K297" s="12">
        <v>48</v>
      </c>
      <c r="L297" s="3" t="s">
        <v>12</v>
      </c>
    </row>
    <row r="298" spans="1:12" x14ac:dyDescent="0.3">
      <c r="A298" s="17">
        <v>297</v>
      </c>
      <c r="B298" s="80">
        <v>77.930000000000007</v>
      </c>
      <c r="C298" s="80">
        <v>20.14</v>
      </c>
      <c r="D298" s="3">
        <v>2004</v>
      </c>
      <c r="E298" s="3">
        <v>12</v>
      </c>
      <c r="F298" s="3">
        <v>2</v>
      </c>
      <c r="G298" s="2">
        <v>3.9314</v>
      </c>
      <c r="H298" s="3" t="s">
        <v>26</v>
      </c>
      <c r="I298" s="14">
        <v>19</v>
      </c>
      <c r="J298" s="12">
        <v>15</v>
      </c>
      <c r="K298" s="12">
        <v>18</v>
      </c>
      <c r="L298" s="3" t="s">
        <v>27</v>
      </c>
    </row>
    <row r="299" spans="1:12" x14ac:dyDescent="0.3">
      <c r="A299" s="17">
        <v>298</v>
      </c>
      <c r="B299" s="80">
        <v>71.652000000000001</v>
      </c>
      <c r="C299" s="80">
        <v>22.806999999999999</v>
      </c>
      <c r="D299" s="3">
        <v>2005</v>
      </c>
      <c r="E299" s="3">
        <v>1</v>
      </c>
      <c r="F299" s="3">
        <v>3</v>
      </c>
      <c r="G299" s="2">
        <v>3.3513999999999999</v>
      </c>
      <c r="H299" s="3" t="s">
        <v>26</v>
      </c>
      <c r="I299" s="14">
        <v>20.3</v>
      </c>
      <c r="J299" s="12">
        <v>0</v>
      </c>
      <c r="K299" s="12">
        <v>36</v>
      </c>
      <c r="L299" s="3" t="s">
        <v>12</v>
      </c>
    </row>
    <row r="300" spans="1:12" x14ac:dyDescent="0.3">
      <c r="A300" s="17">
        <v>299</v>
      </c>
      <c r="B300" s="80">
        <v>71.650000000000006</v>
      </c>
      <c r="C300" s="80">
        <v>22.81</v>
      </c>
      <c r="D300" s="3">
        <v>2005</v>
      </c>
      <c r="E300" s="3">
        <v>1</v>
      </c>
      <c r="F300" s="3">
        <v>3</v>
      </c>
      <c r="G300" s="2">
        <v>3.9314</v>
      </c>
      <c r="H300" s="3" t="s">
        <v>26</v>
      </c>
      <c r="I300" s="14">
        <v>20</v>
      </c>
      <c r="J300" s="12">
        <v>6</v>
      </c>
      <c r="K300" s="12">
        <v>6</v>
      </c>
      <c r="L300" s="3" t="s">
        <v>27</v>
      </c>
    </row>
    <row r="301" spans="1:12" x14ac:dyDescent="0.3">
      <c r="A301" s="17">
        <v>300</v>
      </c>
      <c r="B301" s="80">
        <v>72.257000000000005</v>
      </c>
      <c r="C301" s="80">
        <v>23.388000000000002</v>
      </c>
      <c r="D301" s="3">
        <v>2005</v>
      </c>
      <c r="E301" s="3">
        <v>1</v>
      </c>
      <c r="F301" s="3">
        <v>6</v>
      </c>
      <c r="G301" s="2">
        <v>3.7747199999999999</v>
      </c>
      <c r="H301" s="3" t="s">
        <v>26</v>
      </c>
      <c r="I301" s="14">
        <v>3.1</v>
      </c>
      <c r="J301" s="12">
        <v>11</v>
      </c>
      <c r="K301" s="12">
        <v>27</v>
      </c>
      <c r="L301" s="3" t="s">
        <v>12</v>
      </c>
    </row>
    <row r="302" spans="1:12" x14ac:dyDescent="0.3">
      <c r="A302" s="17">
        <v>301</v>
      </c>
      <c r="B302" s="80">
        <v>72.260000000000005</v>
      </c>
      <c r="C302" s="80">
        <v>23.39</v>
      </c>
      <c r="D302" s="3">
        <v>2005</v>
      </c>
      <c r="E302" s="3">
        <v>1</v>
      </c>
      <c r="F302" s="3">
        <v>6</v>
      </c>
      <c r="G302" s="2">
        <v>3.7921999999999998</v>
      </c>
      <c r="H302" s="3" t="s">
        <v>26</v>
      </c>
      <c r="I302" s="14">
        <v>3</v>
      </c>
      <c r="J302" s="12">
        <v>16</v>
      </c>
      <c r="K302" s="12">
        <v>57</v>
      </c>
      <c r="L302" s="3" t="s">
        <v>27</v>
      </c>
    </row>
    <row r="303" spans="1:12" x14ac:dyDescent="0.3">
      <c r="A303" s="17">
        <v>302</v>
      </c>
      <c r="B303" s="79">
        <v>79.38</v>
      </c>
      <c r="C303" s="79">
        <v>26.36</v>
      </c>
      <c r="D303" s="11">
        <v>2005</v>
      </c>
      <c r="E303" s="10">
        <v>1</v>
      </c>
      <c r="F303" s="11">
        <v>14</v>
      </c>
      <c r="G303" s="2">
        <v>4.2</v>
      </c>
      <c r="H303" s="3" t="s">
        <v>26</v>
      </c>
      <c r="I303" s="7">
        <v>33</v>
      </c>
      <c r="J303" s="10">
        <v>5</v>
      </c>
      <c r="K303" s="10">
        <v>16</v>
      </c>
      <c r="L303" s="11">
        <v>2</v>
      </c>
    </row>
    <row r="304" spans="1:12" x14ac:dyDescent="0.3">
      <c r="A304" s="17">
        <v>303</v>
      </c>
      <c r="B304" s="80">
        <v>78.7</v>
      </c>
      <c r="C304" s="80">
        <v>22.46</v>
      </c>
      <c r="D304" s="3">
        <v>2005</v>
      </c>
      <c r="E304" s="3">
        <v>3</v>
      </c>
      <c r="F304" s="3">
        <v>25</v>
      </c>
      <c r="G304" s="2">
        <v>4.4185999999999996</v>
      </c>
      <c r="H304" s="3" t="s">
        <v>26</v>
      </c>
      <c r="I304" s="14">
        <v>10</v>
      </c>
      <c r="J304" s="12">
        <v>19</v>
      </c>
      <c r="K304" s="12">
        <v>33</v>
      </c>
      <c r="L304" s="3" t="s">
        <v>27</v>
      </c>
    </row>
    <row r="305" spans="1:12" x14ac:dyDescent="0.3">
      <c r="A305" s="17">
        <v>304</v>
      </c>
      <c r="B305" s="80">
        <v>76.278000000000006</v>
      </c>
      <c r="C305" s="80">
        <v>21.457000000000001</v>
      </c>
      <c r="D305" s="3">
        <v>2005</v>
      </c>
      <c r="E305" s="3">
        <v>4</v>
      </c>
      <c r="F305" s="3">
        <v>1</v>
      </c>
      <c r="G305" s="2">
        <v>4.0009999999999994</v>
      </c>
      <c r="H305" s="3" t="s">
        <v>26</v>
      </c>
      <c r="I305" s="14">
        <v>17.100000000000001</v>
      </c>
      <c r="J305" s="12">
        <v>16</v>
      </c>
      <c r="K305" s="12">
        <v>40</v>
      </c>
      <c r="L305" s="3" t="s">
        <v>12</v>
      </c>
    </row>
    <row r="306" spans="1:12" x14ac:dyDescent="0.3">
      <c r="A306" s="17">
        <v>305</v>
      </c>
      <c r="B306" s="80">
        <v>76.28</v>
      </c>
      <c r="C306" s="80">
        <v>21.46</v>
      </c>
      <c r="D306" s="3">
        <v>2005</v>
      </c>
      <c r="E306" s="3">
        <v>4</v>
      </c>
      <c r="F306" s="3">
        <v>1</v>
      </c>
      <c r="G306" s="2">
        <v>4.0009999999999994</v>
      </c>
      <c r="H306" s="3" t="s">
        <v>26</v>
      </c>
      <c r="I306" s="14">
        <v>17</v>
      </c>
      <c r="J306" s="12">
        <v>22</v>
      </c>
      <c r="K306" s="12">
        <v>10</v>
      </c>
      <c r="L306" s="3" t="s">
        <v>27</v>
      </c>
    </row>
    <row r="307" spans="1:12" x14ac:dyDescent="0.3">
      <c r="A307" s="17">
        <v>306</v>
      </c>
      <c r="B307" s="80">
        <v>76.62</v>
      </c>
      <c r="C307" s="80">
        <v>18.600000000000001</v>
      </c>
      <c r="D307" s="3">
        <v>2005</v>
      </c>
      <c r="E307" s="3">
        <v>4</v>
      </c>
      <c r="F307" s="3">
        <v>13</v>
      </c>
      <c r="G307" s="2">
        <v>4.2097999999999995</v>
      </c>
      <c r="H307" s="3" t="s">
        <v>26</v>
      </c>
      <c r="I307" s="14">
        <v>5</v>
      </c>
      <c r="J307" s="12">
        <v>11</v>
      </c>
      <c r="K307" s="12">
        <v>37</v>
      </c>
      <c r="L307" s="3" t="s">
        <v>27</v>
      </c>
    </row>
    <row r="308" spans="1:12" x14ac:dyDescent="0.3">
      <c r="A308" s="17">
        <v>307</v>
      </c>
      <c r="B308" s="80">
        <v>75.403000000000006</v>
      </c>
      <c r="C308" s="80">
        <v>27.148</v>
      </c>
      <c r="D308" s="3">
        <v>2005</v>
      </c>
      <c r="E308" s="3">
        <v>4</v>
      </c>
      <c r="F308" s="3">
        <v>24</v>
      </c>
      <c r="G308" s="2">
        <v>4.0705999999999998</v>
      </c>
      <c r="H308" s="3" t="s">
        <v>26</v>
      </c>
      <c r="I308" s="14">
        <v>3.8</v>
      </c>
      <c r="J308" s="12">
        <v>14</v>
      </c>
      <c r="K308" s="12">
        <v>12</v>
      </c>
      <c r="L308" s="3" t="s">
        <v>12</v>
      </c>
    </row>
    <row r="309" spans="1:12" x14ac:dyDescent="0.3">
      <c r="A309" s="17">
        <v>308</v>
      </c>
      <c r="B309" s="80">
        <v>73.742400000000004</v>
      </c>
      <c r="C309" s="80">
        <v>24.955300000000001</v>
      </c>
      <c r="D309" s="3">
        <v>2005</v>
      </c>
      <c r="E309" s="3">
        <v>6</v>
      </c>
      <c r="F309" s="3">
        <v>1</v>
      </c>
      <c r="G309" s="2">
        <v>3.98638</v>
      </c>
      <c r="H309" s="3" t="s">
        <v>26</v>
      </c>
      <c r="I309" s="14">
        <v>35</v>
      </c>
      <c r="J309" s="12">
        <v>11</v>
      </c>
      <c r="K309" s="12">
        <v>28</v>
      </c>
      <c r="L309" s="3" t="s">
        <v>12</v>
      </c>
    </row>
    <row r="310" spans="1:12" x14ac:dyDescent="0.3">
      <c r="A310" s="17">
        <v>309</v>
      </c>
      <c r="B310" s="80">
        <v>73.55</v>
      </c>
      <c r="C310" s="80">
        <v>25.3</v>
      </c>
      <c r="D310" s="3">
        <v>2005</v>
      </c>
      <c r="E310" s="3">
        <v>6</v>
      </c>
      <c r="F310" s="3">
        <v>1</v>
      </c>
      <c r="G310" s="2">
        <v>4.4185999999999996</v>
      </c>
      <c r="H310" s="3" t="s">
        <v>26</v>
      </c>
      <c r="I310" s="14">
        <v>10</v>
      </c>
      <c r="J310" s="12">
        <v>16</v>
      </c>
      <c r="K310" s="12">
        <v>58</v>
      </c>
      <c r="L310" s="3" t="s">
        <v>27</v>
      </c>
    </row>
    <row r="311" spans="1:12" x14ac:dyDescent="0.3">
      <c r="A311" s="17">
        <v>310</v>
      </c>
      <c r="B311" s="80">
        <v>73.200999999999993</v>
      </c>
      <c r="C311" s="80">
        <v>19.238</v>
      </c>
      <c r="D311" s="3">
        <v>2005</v>
      </c>
      <c r="E311" s="3">
        <v>6</v>
      </c>
      <c r="F311" s="3">
        <v>14</v>
      </c>
      <c r="G311" s="2">
        <v>3.7</v>
      </c>
      <c r="H311" s="3" t="s">
        <v>26</v>
      </c>
      <c r="I311" s="14">
        <v>2</v>
      </c>
      <c r="J311" s="12">
        <v>12</v>
      </c>
      <c r="K311" s="12">
        <v>16</v>
      </c>
      <c r="L311" s="3" t="s">
        <v>12</v>
      </c>
    </row>
    <row r="312" spans="1:12" x14ac:dyDescent="0.3">
      <c r="A312" s="17">
        <v>311</v>
      </c>
      <c r="B312" s="80">
        <v>73.2</v>
      </c>
      <c r="C312" s="80">
        <v>19.239999999999998</v>
      </c>
      <c r="D312" s="3">
        <v>2005</v>
      </c>
      <c r="E312" s="3">
        <v>6</v>
      </c>
      <c r="F312" s="3">
        <v>14</v>
      </c>
      <c r="G312" s="2">
        <v>3.7</v>
      </c>
      <c r="H312" s="3" t="s">
        <v>26</v>
      </c>
      <c r="I312" s="14">
        <v>2</v>
      </c>
      <c r="J312" s="12">
        <v>17</v>
      </c>
      <c r="K312" s="12">
        <v>46</v>
      </c>
      <c r="L312" s="3" t="s">
        <v>27</v>
      </c>
    </row>
    <row r="313" spans="1:12" x14ac:dyDescent="0.3">
      <c r="A313" s="17">
        <v>312</v>
      </c>
      <c r="B313" s="80">
        <v>73.204999999999998</v>
      </c>
      <c r="C313" s="80">
        <v>19.143999999999998</v>
      </c>
      <c r="D313" s="3">
        <v>2005</v>
      </c>
      <c r="E313" s="3">
        <v>6</v>
      </c>
      <c r="F313" s="3">
        <v>18</v>
      </c>
      <c r="G313" s="2">
        <v>3.9314</v>
      </c>
      <c r="H313" s="3" t="s">
        <v>26</v>
      </c>
      <c r="I313" s="14">
        <v>5</v>
      </c>
      <c r="J313" s="12">
        <v>3</v>
      </c>
      <c r="K313" s="12">
        <v>8</v>
      </c>
      <c r="L313" s="3" t="s">
        <v>12</v>
      </c>
    </row>
    <row r="314" spans="1:12" x14ac:dyDescent="0.3">
      <c r="A314" s="17">
        <v>313</v>
      </c>
      <c r="B314" s="80">
        <v>73.209999999999994</v>
      </c>
      <c r="C314" s="80">
        <v>19.14</v>
      </c>
      <c r="D314" s="3">
        <v>2005</v>
      </c>
      <c r="E314" s="3">
        <v>6</v>
      </c>
      <c r="F314" s="3">
        <v>18</v>
      </c>
      <c r="G314" s="2">
        <v>3.9314</v>
      </c>
      <c r="H314" s="3" t="s">
        <v>26</v>
      </c>
      <c r="I314" s="14">
        <v>5</v>
      </c>
      <c r="J314" s="12">
        <v>8</v>
      </c>
      <c r="K314" s="12">
        <v>38</v>
      </c>
      <c r="L314" s="3" t="s">
        <v>27</v>
      </c>
    </row>
    <row r="315" spans="1:12" x14ac:dyDescent="0.3">
      <c r="A315" s="17">
        <v>314</v>
      </c>
      <c r="B315" s="80">
        <v>73.41</v>
      </c>
      <c r="C315" s="80">
        <v>20.178999999999998</v>
      </c>
      <c r="D315" s="3">
        <v>2005</v>
      </c>
      <c r="E315" s="3">
        <v>11</v>
      </c>
      <c r="F315" s="3">
        <v>4</v>
      </c>
      <c r="G315" s="2">
        <v>3.9314</v>
      </c>
      <c r="H315" s="3" t="s">
        <v>26</v>
      </c>
      <c r="I315" s="14">
        <v>5</v>
      </c>
      <c r="J315" s="12">
        <v>11</v>
      </c>
      <c r="K315" s="12">
        <v>33</v>
      </c>
      <c r="L315" s="3" t="s">
        <v>12</v>
      </c>
    </row>
    <row r="316" spans="1:12" x14ac:dyDescent="0.3">
      <c r="A316" s="17">
        <v>315</v>
      </c>
      <c r="B316" s="80">
        <v>73.41</v>
      </c>
      <c r="C316" s="80">
        <v>20.18</v>
      </c>
      <c r="D316" s="3">
        <v>2005</v>
      </c>
      <c r="E316" s="3">
        <v>11</v>
      </c>
      <c r="F316" s="3">
        <v>4</v>
      </c>
      <c r="G316" s="2">
        <v>3.9314</v>
      </c>
      <c r="H316" s="3" t="s">
        <v>26</v>
      </c>
      <c r="I316" s="14">
        <v>5</v>
      </c>
      <c r="J316" s="12">
        <v>17</v>
      </c>
      <c r="K316" s="12">
        <v>3</v>
      </c>
      <c r="L316" s="3" t="s">
        <v>27</v>
      </c>
    </row>
    <row r="317" spans="1:12" x14ac:dyDescent="0.3">
      <c r="A317" s="17">
        <v>316</v>
      </c>
      <c r="B317" s="80">
        <v>73.676000000000002</v>
      </c>
      <c r="C317" s="80">
        <v>25.123999999999999</v>
      </c>
      <c r="D317" s="3">
        <v>2005</v>
      </c>
      <c r="E317" s="3">
        <v>11</v>
      </c>
      <c r="F317" s="3">
        <v>28</v>
      </c>
      <c r="G317" s="2">
        <v>3.8618000000000001</v>
      </c>
      <c r="H317" s="3" t="s">
        <v>26</v>
      </c>
      <c r="I317" s="14">
        <v>3.5</v>
      </c>
      <c r="J317" s="12">
        <v>20</v>
      </c>
      <c r="K317" s="12">
        <v>27</v>
      </c>
      <c r="L317" s="3" t="s">
        <v>12</v>
      </c>
    </row>
    <row r="318" spans="1:12" x14ac:dyDescent="0.3">
      <c r="A318" s="17">
        <v>317</v>
      </c>
      <c r="B318" s="80">
        <v>73.680000000000007</v>
      </c>
      <c r="C318" s="80">
        <v>25.12</v>
      </c>
      <c r="D318" s="3">
        <v>2005</v>
      </c>
      <c r="E318" s="3">
        <v>11</v>
      </c>
      <c r="F318" s="3">
        <v>29</v>
      </c>
      <c r="G318" s="2">
        <v>3.8618000000000001</v>
      </c>
      <c r="H318" s="3" t="s">
        <v>26</v>
      </c>
      <c r="I318" s="14">
        <v>3</v>
      </c>
      <c r="J318" s="12">
        <v>1</v>
      </c>
      <c r="K318" s="12">
        <v>57</v>
      </c>
      <c r="L318" s="3" t="s">
        <v>27</v>
      </c>
    </row>
    <row r="319" spans="1:12" x14ac:dyDescent="0.3">
      <c r="A319" s="17">
        <v>318</v>
      </c>
      <c r="B319" s="80">
        <v>76.39</v>
      </c>
      <c r="C319" s="80">
        <v>18.22</v>
      </c>
      <c r="D319" s="3">
        <v>2006</v>
      </c>
      <c r="E319" s="3">
        <v>1</v>
      </c>
      <c r="F319" s="3">
        <v>4</v>
      </c>
      <c r="G319" s="2">
        <v>4.2097999999999995</v>
      </c>
      <c r="H319" s="3" t="s">
        <v>26</v>
      </c>
      <c r="I319" s="14">
        <v>7</v>
      </c>
      <c r="J319" s="12">
        <v>16</v>
      </c>
      <c r="K319" s="12">
        <v>31</v>
      </c>
      <c r="L319" s="3" t="s">
        <v>27</v>
      </c>
    </row>
    <row r="320" spans="1:12" x14ac:dyDescent="0.3">
      <c r="A320" s="17">
        <v>319</v>
      </c>
      <c r="B320" s="80">
        <v>77.766000000000005</v>
      </c>
      <c r="C320" s="80">
        <v>22.43</v>
      </c>
      <c r="D320" s="3">
        <v>2006</v>
      </c>
      <c r="E320" s="3">
        <v>3</v>
      </c>
      <c r="F320" s="3">
        <v>7</v>
      </c>
      <c r="G320" s="2">
        <v>3.9314</v>
      </c>
      <c r="H320" s="3" t="s">
        <v>26</v>
      </c>
      <c r="I320" s="14">
        <v>15</v>
      </c>
      <c r="J320" s="12">
        <v>4</v>
      </c>
      <c r="K320" s="12">
        <v>39</v>
      </c>
      <c r="L320" s="3" t="s">
        <v>12</v>
      </c>
    </row>
    <row r="321" spans="1:12" x14ac:dyDescent="0.3">
      <c r="A321" s="17">
        <v>320</v>
      </c>
      <c r="B321" s="80">
        <v>77.77</v>
      </c>
      <c r="C321" s="80">
        <v>22.43</v>
      </c>
      <c r="D321" s="3">
        <v>2006</v>
      </c>
      <c r="E321" s="3">
        <v>3</v>
      </c>
      <c r="F321" s="3">
        <v>7</v>
      </c>
      <c r="G321" s="2">
        <v>3.9314</v>
      </c>
      <c r="H321" s="3" t="s">
        <v>26</v>
      </c>
      <c r="I321" s="14">
        <v>15</v>
      </c>
      <c r="J321" s="12">
        <v>10</v>
      </c>
      <c r="K321" s="12">
        <v>9</v>
      </c>
      <c r="L321" s="3" t="s">
        <v>27</v>
      </c>
    </row>
    <row r="322" spans="1:12" x14ac:dyDescent="0.3">
      <c r="A322" s="17">
        <v>321</v>
      </c>
      <c r="B322" s="80">
        <v>72.431399999999996</v>
      </c>
      <c r="C322" s="80">
        <v>24.194199999999999</v>
      </c>
      <c r="D322" s="3">
        <v>2006</v>
      </c>
      <c r="E322" s="3">
        <v>5</v>
      </c>
      <c r="F322" s="3">
        <v>7</v>
      </c>
      <c r="G322" s="2">
        <v>4.4185999999999996</v>
      </c>
      <c r="H322" s="3" t="s">
        <v>26</v>
      </c>
      <c r="I322" s="14">
        <v>35</v>
      </c>
      <c r="J322" s="12">
        <v>5</v>
      </c>
      <c r="K322" s="12">
        <v>24</v>
      </c>
      <c r="L322" s="3" t="s">
        <v>12</v>
      </c>
    </row>
    <row r="323" spans="1:12" x14ac:dyDescent="0.3">
      <c r="A323" s="17">
        <v>322</v>
      </c>
      <c r="B323" s="80">
        <v>72.27</v>
      </c>
      <c r="C323" s="80">
        <v>24.2</v>
      </c>
      <c r="D323" s="3">
        <v>2006</v>
      </c>
      <c r="E323" s="3">
        <v>5</v>
      </c>
      <c r="F323" s="3">
        <v>7</v>
      </c>
      <c r="G323" s="2">
        <v>4.4185999999999996</v>
      </c>
      <c r="H323" s="3" t="s">
        <v>26</v>
      </c>
      <c r="I323" s="14">
        <v>5</v>
      </c>
      <c r="J323" s="12">
        <v>10</v>
      </c>
      <c r="K323" s="12">
        <v>54</v>
      </c>
      <c r="L323" s="3" t="s">
        <v>27</v>
      </c>
    </row>
    <row r="324" spans="1:12" x14ac:dyDescent="0.3">
      <c r="A324" s="17">
        <v>323</v>
      </c>
      <c r="B324" s="80">
        <v>73.980599999999995</v>
      </c>
      <c r="C324" s="80">
        <v>26.745000000000001</v>
      </c>
      <c r="D324" s="3">
        <v>2006</v>
      </c>
      <c r="E324" s="3">
        <v>7</v>
      </c>
      <c r="F324" s="3">
        <v>19</v>
      </c>
      <c r="G324" s="2">
        <v>4.6426999999999996</v>
      </c>
      <c r="H324" s="3" t="s">
        <v>26</v>
      </c>
      <c r="I324" s="14">
        <v>0</v>
      </c>
      <c r="J324" s="12">
        <v>16</v>
      </c>
      <c r="K324" s="12">
        <v>41</v>
      </c>
      <c r="L324" s="3" t="s">
        <v>22</v>
      </c>
    </row>
    <row r="325" spans="1:12" x14ac:dyDescent="0.3">
      <c r="A325" s="17">
        <v>324</v>
      </c>
      <c r="B325" s="80">
        <v>79.394000000000005</v>
      </c>
      <c r="C325" s="80">
        <v>22.297000000000001</v>
      </c>
      <c r="D325" s="3">
        <v>2006</v>
      </c>
      <c r="E325" s="3">
        <v>8</v>
      </c>
      <c r="F325" s="3">
        <v>5</v>
      </c>
      <c r="G325" s="2">
        <v>4.1402000000000001</v>
      </c>
      <c r="H325" s="3" t="s">
        <v>26</v>
      </c>
      <c r="I325" s="14">
        <v>10</v>
      </c>
      <c r="J325" s="12">
        <v>2</v>
      </c>
      <c r="K325" s="12">
        <v>57</v>
      </c>
      <c r="L325" s="3" t="s">
        <v>12</v>
      </c>
    </row>
    <row r="326" spans="1:12" x14ac:dyDescent="0.3">
      <c r="A326" s="17">
        <v>325</v>
      </c>
      <c r="B326" s="80">
        <v>79.39</v>
      </c>
      <c r="C326" s="80">
        <v>22.3</v>
      </c>
      <c r="D326" s="3">
        <v>2006</v>
      </c>
      <c r="E326" s="3">
        <v>8</v>
      </c>
      <c r="F326" s="3">
        <v>5</v>
      </c>
      <c r="G326" s="2">
        <v>4.1402000000000001</v>
      </c>
      <c r="H326" s="3" t="s">
        <v>26</v>
      </c>
      <c r="I326" s="14">
        <v>10</v>
      </c>
      <c r="J326" s="12">
        <v>8</v>
      </c>
      <c r="K326" s="12">
        <v>27</v>
      </c>
      <c r="L326" s="3" t="s">
        <v>27</v>
      </c>
    </row>
    <row r="327" spans="1:12" x14ac:dyDescent="0.3">
      <c r="A327" s="17">
        <v>326</v>
      </c>
      <c r="B327" s="80">
        <v>75.962100000000007</v>
      </c>
      <c r="C327" s="80">
        <v>26.625399999999999</v>
      </c>
      <c r="D327" s="3">
        <v>2006</v>
      </c>
      <c r="E327" s="3">
        <v>12</v>
      </c>
      <c r="F327" s="3">
        <v>23</v>
      </c>
      <c r="G327" s="2">
        <v>4.7989600000000001</v>
      </c>
      <c r="H327" s="3" t="s">
        <v>26</v>
      </c>
      <c r="I327" s="14">
        <v>11.8</v>
      </c>
      <c r="J327" s="12">
        <v>22</v>
      </c>
      <c r="K327" s="12">
        <v>43</v>
      </c>
      <c r="L327" s="3" t="s">
        <v>16</v>
      </c>
    </row>
    <row r="328" spans="1:12" x14ac:dyDescent="0.3">
      <c r="A328" s="17">
        <v>327</v>
      </c>
      <c r="B328" s="79">
        <v>75.930000000000007</v>
      </c>
      <c r="C328" s="79">
        <v>26.63</v>
      </c>
      <c r="D328" s="11">
        <v>2006</v>
      </c>
      <c r="E328" s="11">
        <v>12</v>
      </c>
      <c r="F328" s="11">
        <v>23</v>
      </c>
      <c r="G328" s="2">
        <v>4.3</v>
      </c>
      <c r="H328" s="3" t="s">
        <v>26</v>
      </c>
      <c r="I328" s="7">
        <v>1.2</v>
      </c>
      <c r="J328" s="10">
        <v>22</v>
      </c>
      <c r="K328" s="10">
        <v>43</v>
      </c>
      <c r="L328" s="11">
        <v>1</v>
      </c>
    </row>
    <row r="329" spans="1:12" x14ac:dyDescent="0.3">
      <c r="A329" s="17">
        <v>328</v>
      </c>
      <c r="B329" s="80">
        <v>75.81</v>
      </c>
      <c r="C329" s="80">
        <v>26.64</v>
      </c>
      <c r="D329" s="3">
        <v>2006</v>
      </c>
      <c r="E329" s="3">
        <v>12</v>
      </c>
      <c r="F329" s="3">
        <v>24</v>
      </c>
      <c r="G329" s="2">
        <v>4.3490000000000002</v>
      </c>
      <c r="H329" s="3" t="s">
        <v>26</v>
      </c>
      <c r="I329" s="14">
        <v>15</v>
      </c>
      <c r="J329" s="12">
        <v>4</v>
      </c>
      <c r="K329" s="12">
        <v>13</v>
      </c>
      <c r="L329" s="3" t="s">
        <v>27</v>
      </c>
    </row>
    <row r="330" spans="1:12" x14ac:dyDescent="0.3">
      <c r="A330" s="17">
        <v>329</v>
      </c>
      <c r="B330" s="80">
        <v>76.153999999999996</v>
      </c>
      <c r="C330" s="80">
        <v>26.881</v>
      </c>
      <c r="D330" s="3">
        <v>2006</v>
      </c>
      <c r="E330" s="3">
        <v>12</v>
      </c>
      <c r="F330" s="3">
        <v>24</v>
      </c>
      <c r="G330" s="2">
        <v>4.7989600000000001</v>
      </c>
      <c r="H330" s="3" t="s">
        <v>26</v>
      </c>
      <c r="I330" s="14">
        <v>10</v>
      </c>
      <c r="J330" s="12">
        <v>22</v>
      </c>
      <c r="K330" s="12">
        <v>43</v>
      </c>
      <c r="L330" s="3" t="s">
        <v>25</v>
      </c>
    </row>
    <row r="331" spans="1:12" x14ac:dyDescent="0.3">
      <c r="A331" s="17">
        <v>330</v>
      </c>
      <c r="B331" s="79">
        <v>76.150000000000006</v>
      </c>
      <c r="C331" s="79">
        <v>26.88</v>
      </c>
      <c r="D331" s="11">
        <v>2006</v>
      </c>
      <c r="E331" s="11">
        <v>12</v>
      </c>
      <c r="F331" s="11">
        <v>24</v>
      </c>
      <c r="G331" s="2">
        <v>4.5999999999999996</v>
      </c>
      <c r="H331" s="3" t="s">
        <v>26</v>
      </c>
      <c r="I331" s="7">
        <v>10</v>
      </c>
      <c r="J331" s="10">
        <v>22</v>
      </c>
      <c r="K331" s="10">
        <v>43</v>
      </c>
      <c r="L331" s="11">
        <v>3</v>
      </c>
    </row>
    <row r="332" spans="1:12" x14ac:dyDescent="0.3">
      <c r="A332" s="17">
        <v>331</v>
      </c>
      <c r="B332" s="80">
        <v>78.659000000000006</v>
      </c>
      <c r="C332" s="80">
        <v>22.765000000000001</v>
      </c>
      <c r="D332" s="3">
        <v>2007</v>
      </c>
      <c r="E332" s="3">
        <v>6</v>
      </c>
      <c r="F332" s="3">
        <v>6</v>
      </c>
      <c r="G332" s="2">
        <v>4.0705999999999998</v>
      </c>
      <c r="H332" s="3" t="s">
        <v>26</v>
      </c>
      <c r="I332" s="14">
        <v>8.1999999999999993</v>
      </c>
      <c r="J332" s="12">
        <v>8</v>
      </c>
      <c r="K332" s="12">
        <v>15</v>
      </c>
      <c r="L332" s="3" t="s">
        <v>12</v>
      </c>
    </row>
    <row r="333" spans="1:12" x14ac:dyDescent="0.3">
      <c r="A333" s="17">
        <v>332</v>
      </c>
      <c r="B333" s="80">
        <v>78.66</v>
      </c>
      <c r="C333" s="80">
        <v>22.77</v>
      </c>
      <c r="D333" s="3">
        <v>2007</v>
      </c>
      <c r="E333" s="3">
        <v>6</v>
      </c>
      <c r="F333" s="3">
        <v>6</v>
      </c>
      <c r="G333" s="2">
        <v>4.0705999999999998</v>
      </c>
      <c r="H333" s="3" t="s">
        <v>26</v>
      </c>
      <c r="I333" s="14">
        <v>8</v>
      </c>
      <c r="J333" s="12">
        <v>13</v>
      </c>
      <c r="K333" s="12">
        <v>45</v>
      </c>
      <c r="L333" s="3" t="s">
        <v>27</v>
      </c>
    </row>
    <row r="334" spans="1:12" x14ac:dyDescent="0.3">
      <c r="A334" s="17">
        <v>333</v>
      </c>
      <c r="B334" s="80">
        <v>76.66</v>
      </c>
      <c r="C334" s="80">
        <v>18.7</v>
      </c>
      <c r="D334" s="3">
        <v>2007</v>
      </c>
      <c r="E334" s="3">
        <v>9</v>
      </c>
      <c r="F334" s="3">
        <v>6</v>
      </c>
      <c r="G334" s="2">
        <v>4.4185999999999996</v>
      </c>
      <c r="H334" s="3" t="s">
        <v>26</v>
      </c>
      <c r="I334" s="14">
        <v>10</v>
      </c>
      <c r="J334" s="12">
        <v>12</v>
      </c>
      <c r="K334" s="12">
        <v>39</v>
      </c>
      <c r="L334" s="3" t="s">
        <v>27</v>
      </c>
    </row>
    <row r="335" spans="1:12" x14ac:dyDescent="0.3">
      <c r="A335" s="17">
        <v>334</v>
      </c>
      <c r="B335" s="80">
        <v>78.665000000000006</v>
      </c>
      <c r="C335" s="80">
        <v>22.786999999999999</v>
      </c>
      <c r="D335" s="3">
        <v>2008</v>
      </c>
      <c r="E335" s="3">
        <v>1</v>
      </c>
      <c r="F335" s="3">
        <v>10</v>
      </c>
      <c r="G335" s="2">
        <v>4.0705999999999998</v>
      </c>
      <c r="H335" s="3" t="s">
        <v>26</v>
      </c>
      <c r="I335" s="14">
        <v>10</v>
      </c>
      <c r="J335" s="12">
        <v>23</v>
      </c>
      <c r="K335" s="12">
        <v>48</v>
      </c>
      <c r="L335" s="3" t="s">
        <v>12</v>
      </c>
    </row>
    <row r="336" spans="1:12" x14ac:dyDescent="0.3">
      <c r="A336" s="17">
        <v>335</v>
      </c>
      <c r="B336" s="80">
        <v>78.67</v>
      </c>
      <c r="C336" s="80">
        <v>22.79</v>
      </c>
      <c r="D336" s="3">
        <v>2008</v>
      </c>
      <c r="E336" s="3">
        <v>1</v>
      </c>
      <c r="F336" s="3">
        <v>11</v>
      </c>
      <c r="G336" s="2">
        <v>4.0705999999999998</v>
      </c>
      <c r="H336" s="3" t="s">
        <v>26</v>
      </c>
      <c r="I336" s="14">
        <v>10</v>
      </c>
      <c r="J336" s="12">
        <v>5</v>
      </c>
      <c r="K336" s="12">
        <v>18</v>
      </c>
      <c r="L336" s="3" t="s">
        <v>27</v>
      </c>
    </row>
    <row r="337" spans="1:12" x14ac:dyDescent="0.3">
      <c r="A337" s="17">
        <v>336</v>
      </c>
      <c r="B337" s="80">
        <v>72.932699999999997</v>
      </c>
      <c r="C337" s="80">
        <v>21.289400000000001</v>
      </c>
      <c r="D337" s="3">
        <v>2008</v>
      </c>
      <c r="E337" s="3">
        <v>5</v>
      </c>
      <c r="F337" s="3">
        <v>2</v>
      </c>
      <c r="G337" s="2">
        <v>4.2520500000000006</v>
      </c>
      <c r="H337" s="3" t="s">
        <v>26</v>
      </c>
      <c r="I337" s="14">
        <v>35</v>
      </c>
      <c r="J337" s="12">
        <v>21</v>
      </c>
      <c r="K337" s="12">
        <v>53</v>
      </c>
      <c r="L337" s="3" t="s">
        <v>10</v>
      </c>
    </row>
    <row r="338" spans="1:12" x14ac:dyDescent="0.3">
      <c r="A338" s="17">
        <v>337</v>
      </c>
      <c r="B338" s="80">
        <v>72.772999999999996</v>
      </c>
      <c r="C338" s="80">
        <v>21.231999999999999</v>
      </c>
      <c r="D338" s="3">
        <v>2008</v>
      </c>
      <c r="E338" s="3">
        <v>5</v>
      </c>
      <c r="F338" s="3">
        <v>2</v>
      </c>
      <c r="G338" s="2">
        <v>3.8618000000000001</v>
      </c>
      <c r="H338" s="3" t="s">
        <v>26</v>
      </c>
      <c r="I338" s="14">
        <v>10</v>
      </c>
      <c r="J338" s="12">
        <v>22</v>
      </c>
      <c r="K338" s="12">
        <v>31</v>
      </c>
      <c r="L338" s="3" t="s">
        <v>12</v>
      </c>
    </row>
    <row r="339" spans="1:12" x14ac:dyDescent="0.3">
      <c r="A339" s="17">
        <v>338</v>
      </c>
      <c r="B339" s="80">
        <v>72.849999999999994</v>
      </c>
      <c r="C339" s="80">
        <v>21.22</v>
      </c>
      <c r="D339" s="3">
        <v>2008</v>
      </c>
      <c r="E339" s="3">
        <v>5</v>
      </c>
      <c r="F339" s="3">
        <v>3</v>
      </c>
      <c r="G339" s="2">
        <v>3.9314</v>
      </c>
      <c r="H339" s="3" t="s">
        <v>26</v>
      </c>
      <c r="I339" s="14">
        <v>10</v>
      </c>
      <c r="J339" s="12">
        <v>3</v>
      </c>
      <c r="K339" s="12">
        <v>23</v>
      </c>
      <c r="L339" s="3" t="s">
        <v>27</v>
      </c>
    </row>
    <row r="340" spans="1:12" x14ac:dyDescent="0.3">
      <c r="A340" s="17">
        <v>339</v>
      </c>
      <c r="B340" s="80">
        <v>72.77</v>
      </c>
      <c r="C340" s="80">
        <v>21.23</v>
      </c>
      <c r="D340" s="3">
        <v>2008</v>
      </c>
      <c r="E340" s="3">
        <v>5</v>
      </c>
      <c r="F340" s="3">
        <v>3</v>
      </c>
      <c r="G340" s="2">
        <v>3.8618000000000001</v>
      </c>
      <c r="H340" s="3" t="s">
        <v>26</v>
      </c>
      <c r="I340" s="14">
        <v>10</v>
      </c>
      <c r="J340" s="12">
        <v>4</v>
      </c>
      <c r="K340" s="12">
        <v>1</v>
      </c>
      <c r="L340" s="3" t="s">
        <v>27</v>
      </c>
    </row>
    <row r="341" spans="1:12" x14ac:dyDescent="0.3">
      <c r="A341" s="17">
        <v>340</v>
      </c>
      <c r="B341" s="80">
        <v>72.843999999999994</v>
      </c>
      <c r="C341" s="80">
        <v>21.504000000000001</v>
      </c>
      <c r="D341" s="3">
        <v>2008</v>
      </c>
      <c r="E341" s="3">
        <v>5</v>
      </c>
      <c r="F341" s="3">
        <v>20</v>
      </c>
      <c r="G341" s="2">
        <v>3.9314</v>
      </c>
      <c r="H341" s="3" t="s">
        <v>26</v>
      </c>
      <c r="I341" s="14">
        <v>10</v>
      </c>
      <c r="J341" s="12">
        <v>8</v>
      </c>
      <c r="K341" s="12">
        <v>57</v>
      </c>
      <c r="L341" s="3" t="s">
        <v>12</v>
      </c>
    </row>
    <row r="342" spans="1:12" x14ac:dyDescent="0.3">
      <c r="A342" s="17">
        <v>341</v>
      </c>
      <c r="B342" s="80">
        <v>72.84</v>
      </c>
      <c r="C342" s="80">
        <v>21.5</v>
      </c>
      <c r="D342" s="3">
        <v>2008</v>
      </c>
      <c r="E342" s="3">
        <v>5</v>
      </c>
      <c r="F342" s="3">
        <v>20</v>
      </c>
      <c r="G342" s="2">
        <v>3.9314</v>
      </c>
      <c r="H342" s="3" t="s">
        <v>26</v>
      </c>
      <c r="I342" s="14">
        <v>10</v>
      </c>
      <c r="J342" s="12">
        <v>14</v>
      </c>
      <c r="K342" s="12">
        <v>27</v>
      </c>
      <c r="L342" s="3" t="s">
        <v>27</v>
      </c>
    </row>
    <row r="343" spans="1:12" x14ac:dyDescent="0.3">
      <c r="A343" s="17">
        <v>342</v>
      </c>
      <c r="B343" s="80">
        <v>73.7684</v>
      </c>
      <c r="C343" s="80">
        <v>24.974900000000002</v>
      </c>
      <c r="D343" s="3">
        <v>2008</v>
      </c>
      <c r="E343" s="3">
        <v>6</v>
      </c>
      <c r="F343" s="3">
        <v>27</v>
      </c>
      <c r="G343" s="2">
        <v>4.3490000000000002</v>
      </c>
      <c r="H343" s="3" t="s">
        <v>26</v>
      </c>
      <c r="I343" s="14">
        <v>35</v>
      </c>
      <c r="J343" s="12">
        <v>7</v>
      </c>
      <c r="K343" s="12">
        <v>53</v>
      </c>
      <c r="L343" s="3" t="s">
        <v>12</v>
      </c>
    </row>
    <row r="344" spans="1:12" x14ac:dyDescent="0.3">
      <c r="A344" s="17">
        <v>343</v>
      </c>
      <c r="B344" s="80">
        <v>73.63</v>
      </c>
      <c r="C344" s="80">
        <v>25.8</v>
      </c>
      <c r="D344" s="3">
        <v>2008</v>
      </c>
      <c r="E344" s="3">
        <v>6</v>
      </c>
      <c r="F344" s="3">
        <v>27</v>
      </c>
      <c r="G344" s="2">
        <v>4.3490000000000002</v>
      </c>
      <c r="H344" s="3" t="s">
        <v>26</v>
      </c>
      <c r="I344" s="14">
        <v>12</v>
      </c>
      <c r="J344" s="12">
        <v>13</v>
      </c>
      <c r="K344" s="12">
        <v>23</v>
      </c>
      <c r="L344" s="3" t="s">
        <v>27</v>
      </c>
    </row>
    <row r="345" spans="1:12" x14ac:dyDescent="0.3">
      <c r="A345" s="17">
        <v>344</v>
      </c>
      <c r="B345" s="80">
        <v>74.510900000000007</v>
      </c>
      <c r="C345" s="80">
        <v>25.786799999999999</v>
      </c>
      <c r="D345" s="3">
        <v>2008</v>
      </c>
      <c r="E345" s="3">
        <v>7</v>
      </c>
      <c r="F345" s="3">
        <v>5</v>
      </c>
      <c r="G345" s="2">
        <v>4.2793999999999999</v>
      </c>
      <c r="H345" s="3" t="s">
        <v>26</v>
      </c>
      <c r="I345" s="14">
        <v>35</v>
      </c>
      <c r="J345" s="12">
        <v>11</v>
      </c>
      <c r="K345" s="12">
        <v>59</v>
      </c>
      <c r="L345" s="3" t="s">
        <v>12</v>
      </c>
    </row>
    <row r="346" spans="1:12" x14ac:dyDescent="0.3">
      <c r="A346" s="17">
        <v>345</v>
      </c>
      <c r="B346" s="80">
        <v>74.23</v>
      </c>
      <c r="C346" s="80">
        <v>25.76</v>
      </c>
      <c r="D346" s="3">
        <v>2008</v>
      </c>
      <c r="E346" s="3">
        <v>7</v>
      </c>
      <c r="F346" s="3">
        <v>5</v>
      </c>
      <c r="G346" s="2">
        <v>4.2793999999999999</v>
      </c>
      <c r="H346" s="3" t="s">
        <v>26</v>
      </c>
      <c r="I346" s="14">
        <v>9</v>
      </c>
      <c r="J346" s="12">
        <v>17</v>
      </c>
      <c r="K346" s="12">
        <v>29</v>
      </c>
      <c r="L346" s="3" t="s">
        <v>27</v>
      </c>
    </row>
    <row r="347" spans="1:12" x14ac:dyDescent="0.3">
      <c r="A347" s="17">
        <v>346</v>
      </c>
      <c r="B347" s="79">
        <v>71.73</v>
      </c>
      <c r="C347" s="79">
        <v>26.43</v>
      </c>
      <c r="D347" s="11">
        <v>2008</v>
      </c>
      <c r="E347" s="11">
        <v>10</v>
      </c>
      <c r="F347" s="11">
        <v>29</v>
      </c>
      <c r="G347" s="2">
        <v>6.8</v>
      </c>
      <c r="H347" s="3" t="s">
        <v>26</v>
      </c>
      <c r="I347" s="7">
        <v>0</v>
      </c>
      <c r="J347" s="10">
        <v>11</v>
      </c>
      <c r="K347" s="10">
        <v>32</v>
      </c>
      <c r="L347" s="11">
        <v>1</v>
      </c>
    </row>
    <row r="348" spans="1:12" x14ac:dyDescent="0.3">
      <c r="A348" s="17">
        <v>347</v>
      </c>
      <c r="B348" s="80">
        <v>72</v>
      </c>
      <c r="C348" s="80">
        <v>23.004000000000001</v>
      </c>
      <c r="D348" s="3">
        <v>2008</v>
      </c>
      <c r="E348" s="3">
        <v>12</v>
      </c>
      <c r="F348" s="3">
        <v>27</v>
      </c>
      <c r="G348" s="2">
        <v>4.0009999999999994</v>
      </c>
      <c r="H348" s="3" t="s">
        <v>26</v>
      </c>
      <c r="I348" s="14">
        <v>10</v>
      </c>
      <c r="J348" s="12">
        <v>2</v>
      </c>
      <c r="K348" s="12">
        <v>12</v>
      </c>
      <c r="L348" s="3" t="s">
        <v>12</v>
      </c>
    </row>
    <row r="349" spans="1:12" x14ac:dyDescent="0.3">
      <c r="A349" s="17">
        <v>348</v>
      </c>
      <c r="B349" s="80">
        <v>72</v>
      </c>
      <c r="C349" s="80">
        <v>23</v>
      </c>
      <c r="D349" s="3">
        <v>2008</v>
      </c>
      <c r="E349" s="3">
        <v>12</v>
      </c>
      <c r="F349" s="3">
        <v>27</v>
      </c>
      <c r="G349" s="2">
        <v>4.0009999999999994</v>
      </c>
      <c r="H349" s="3" t="s">
        <v>26</v>
      </c>
      <c r="I349" s="14">
        <v>10</v>
      </c>
      <c r="J349" s="12">
        <v>7</v>
      </c>
      <c r="K349" s="12">
        <v>42</v>
      </c>
      <c r="L349" s="3" t="s">
        <v>27</v>
      </c>
    </row>
    <row r="350" spans="1:12" x14ac:dyDescent="0.3">
      <c r="A350" s="17">
        <v>349</v>
      </c>
      <c r="B350" s="80">
        <v>72.578999999999994</v>
      </c>
      <c r="C350" s="80">
        <v>25.846</v>
      </c>
      <c r="D350" s="3">
        <v>2008</v>
      </c>
      <c r="E350" s="3">
        <v>12</v>
      </c>
      <c r="F350" s="3">
        <v>28</v>
      </c>
      <c r="G350" s="2">
        <v>4.0009999999999994</v>
      </c>
      <c r="H350" s="3" t="s">
        <v>26</v>
      </c>
      <c r="I350" s="14">
        <v>10</v>
      </c>
      <c r="J350" s="12">
        <v>7</v>
      </c>
      <c r="K350" s="12">
        <v>39</v>
      </c>
      <c r="L350" s="3" t="s">
        <v>12</v>
      </c>
    </row>
    <row r="351" spans="1:12" x14ac:dyDescent="0.3">
      <c r="A351" s="17">
        <v>350</v>
      </c>
      <c r="B351" s="80">
        <v>72.58</v>
      </c>
      <c r="C351" s="80">
        <v>25.85</v>
      </c>
      <c r="D351" s="3">
        <v>2008</v>
      </c>
      <c r="E351" s="3">
        <v>12</v>
      </c>
      <c r="F351" s="3">
        <v>28</v>
      </c>
      <c r="G351" s="2">
        <v>4.0009999999999994</v>
      </c>
      <c r="H351" s="3" t="s">
        <v>26</v>
      </c>
      <c r="I351" s="14">
        <v>10</v>
      </c>
      <c r="J351" s="12">
        <v>13</v>
      </c>
      <c r="K351" s="12">
        <v>9</v>
      </c>
      <c r="L351" s="3" t="s">
        <v>27</v>
      </c>
    </row>
    <row r="352" spans="1:12" x14ac:dyDescent="0.3">
      <c r="A352" s="17">
        <v>351</v>
      </c>
      <c r="B352" s="80">
        <v>75.218800000000002</v>
      </c>
      <c r="C352" s="80">
        <v>21.634899999999998</v>
      </c>
      <c r="D352" s="3">
        <v>2009</v>
      </c>
      <c r="E352" s="3">
        <v>1</v>
      </c>
      <c r="F352" s="3">
        <v>4</v>
      </c>
      <c r="G352" s="2">
        <v>4.5645699999999998</v>
      </c>
      <c r="H352" s="3" t="s">
        <v>26</v>
      </c>
      <c r="I352" s="14">
        <v>35</v>
      </c>
      <c r="J352" s="12">
        <v>5</v>
      </c>
      <c r="K352" s="12">
        <v>20</v>
      </c>
      <c r="L352" s="3" t="s">
        <v>10</v>
      </c>
    </row>
    <row r="353" spans="1:12" x14ac:dyDescent="0.3">
      <c r="A353" s="17">
        <v>352</v>
      </c>
      <c r="B353" s="80">
        <v>75.331999999999994</v>
      </c>
      <c r="C353" s="80">
        <v>21.585000000000001</v>
      </c>
      <c r="D353" s="3">
        <v>2009</v>
      </c>
      <c r="E353" s="3">
        <v>1</v>
      </c>
      <c r="F353" s="3">
        <v>4</v>
      </c>
      <c r="G353" s="2">
        <v>4.7208299999999994</v>
      </c>
      <c r="H353" s="3" t="s">
        <v>26</v>
      </c>
      <c r="I353" s="14">
        <v>10</v>
      </c>
      <c r="J353" s="12">
        <v>5</v>
      </c>
      <c r="K353" s="12">
        <v>20</v>
      </c>
      <c r="L353" s="3" t="s">
        <v>25</v>
      </c>
    </row>
    <row r="354" spans="1:12" x14ac:dyDescent="0.3">
      <c r="A354" s="17">
        <v>353</v>
      </c>
      <c r="B354" s="80">
        <v>75.31</v>
      </c>
      <c r="C354" s="80">
        <v>21.57</v>
      </c>
      <c r="D354" s="3">
        <v>2009</v>
      </c>
      <c r="E354" s="3">
        <v>1</v>
      </c>
      <c r="F354" s="3">
        <v>4</v>
      </c>
      <c r="G354" s="2">
        <v>4.6970000000000001</v>
      </c>
      <c r="H354" s="3" t="s">
        <v>26</v>
      </c>
      <c r="I354" s="14">
        <v>10</v>
      </c>
      <c r="J354" s="12">
        <v>10</v>
      </c>
      <c r="K354" s="12">
        <v>50</v>
      </c>
      <c r="L354" s="3" t="s">
        <v>27</v>
      </c>
    </row>
    <row r="355" spans="1:12" x14ac:dyDescent="0.3">
      <c r="A355" s="17">
        <v>354</v>
      </c>
      <c r="B355" s="80">
        <v>79.694999999999993</v>
      </c>
      <c r="C355" s="80">
        <v>22.300999999999998</v>
      </c>
      <c r="D355" s="3">
        <v>2009</v>
      </c>
      <c r="E355" s="3">
        <v>8</v>
      </c>
      <c r="F355" s="3">
        <v>1</v>
      </c>
      <c r="G355" s="2">
        <v>4.2097999999999995</v>
      </c>
      <c r="H355" s="3" t="s">
        <v>26</v>
      </c>
      <c r="I355" s="14">
        <v>10</v>
      </c>
      <c r="J355" s="12">
        <v>18</v>
      </c>
      <c r="K355" s="12">
        <v>49</v>
      </c>
      <c r="L355" s="3" t="s">
        <v>12</v>
      </c>
    </row>
    <row r="356" spans="1:12" x14ac:dyDescent="0.3">
      <c r="A356" s="17">
        <v>355</v>
      </c>
      <c r="B356" s="80">
        <v>79.7</v>
      </c>
      <c r="C356" s="80">
        <v>22.3</v>
      </c>
      <c r="D356" s="3">
        <v>2009</v>
      </c>
      <c r="E356" s="3">
        <v>8</v>
      </c>
      <c r="F356" s="3">
        <v>2</v>
      </c>
      <c r="G356" s="2">
        <v>4.2097999999999995</v>
      </c>
      <c r="H356" s="3" t="s">
        <v>26</v>
      </c>
      <c r="I356" s="14">
        <v>10</v>
      </c>
      <c r="J356" s="12">
        <v>0</v>
      </c>
      <c r="K356" s="12">
        <v>19</v>
      </c>
      <c r="L356" s="3" t="s">
        <v>27</v>
      </c>
    </row>
    <row r="357" spans="1:12" x14ac:dyDescent="0.3">
      <c r="A357" s="17">
        <v>356</v>
      </c>
      <c r="B357" s="80">
        <v>76.924999999999997</v>
      </c>
      <c r="C357" s="80">
        <v>21.555</v>
      </c>
      <c r="D357" s="3">
        <v>2010</v>
      </c>
      <c r="E357" s="3">
        <v>1</v>
      </c>
      <c r="F357" s="3">
        <v>25</v>
      </c>
      <c r="G357" s="2">
        <v>4.0009999999999994</v>
      </c>
      <c r="H357" s="3" t="s">
        <v>26</v>
      </c>
      <c r="I357" s="14">
        <v>10</v>
      </c>
      <c r="J357" s="12">
        <v>17</v>
      </c>
      <c r="K357" s="12">
        <v>0</v>
      </c>
      <c r="L357" s="3" t="s">
        <v>12</v>
      </c>
    </row>
    <row r="358" spans="1:12" x14ac:dyDescent="0.3">
      <c r="A358" s="17">
        <v>357</v>
      </c>
      <c r="B358" s="80">
        <v>76.930000000000007</v>
      </c>
      <c r="C358" s="80">
        <v>21.56</v>
      </c>
      <c r="D358" s="3">
        <v>2010</v>
      </c>
      <c r="E358" s="3">
        <v>1</v>
      </c>
      <c r="F358" s="3">
        <v>25</v>
      </c>
      <c r="G358" s="2">
        <v>4.0009999999999994</v>
      </c>
      <c r="H358" s="3" t="s">
        <v>26</v>
      </c>
      <c r="I358" s="14">
        <v>10</v>
      </c>
      <c r="J358" s="12">
        <v>22</v>
      </c>
      <c r="K358" s="12">
        <v>30</v>
      </c>
      <c r="L358" s="3" t="s">
        <v>27</v>
      </c>
    </row>
    <row r="359" spans="1:12" x14ac:dyDescent="0.3">
      <c r="A359" s="17">
        <v>358</v>
      </c>
      <c r="B359" s="80">
        <v>74.308000000000007</v>
      </c>
      <c r="C359" s="80">
        <v>18.693999999999999</v>
      </c>
      <c r="D359" s="3">
        <v>2010</v>
      </c>
      <c r="E359" s="3">
        <v>4</v>
      </c>
      <c r="F359" s="3">
        <v>15</v>
      </c>
      <c r="G359" s="2">
        <v>4.0705999999999998</v>
      </c>
      <c r="H359" s="3" t="s">
        <v>26</v>
      </c>
      <c r="I359" s="14">
        <v>10</v>
      </c>
      <c r="J359" s="12">
        <v>20</v>
      </c>
      <c r="K359" s="12">
        <v>22</v>
      </c>
      <c r="L359" s="3" t="s">
        <v>12</v>
      </c>
    </row>
    <row r="360" spans="1:12" x14ac:dyDescent="0.3">
      <c r="A360" s="17">
        <v>359</v>
      </c>
      <c r="B360" s="80">
        <v>74.31</v>
      </c>
      <c r="C360" s="80">
        <v>18.690000000000001</v>
      </c>
      <c r="D360" s="3">
        <v>2010</v>
      </c>
      <c r="E360" s="3">
        <v>4</v>
      </c>
      <c r="F360" s="3">
        <v>16</v>
      </c>
      <c r="G360" s="2">
        <v>4.0705999999999998</v>
      </c>
      <c r="H360" s="3" t="s">
        <v>26</v>
      </c>
      <c r="I360" s="14">
        <v>10</v>
      </c>
      <c r="J360" s="12">
        <v>1</v>
      </c>
      <c r="K360" s="12">
        <v>52</v>
      </c>
      <c r="L360" s="3" t="s">
        <v>27</v>
      </c>
    </row>
    <row r="361" spans="1:12" x14ac:dyDescent="0.3">
      <c r="A361" s="17">
        <v>360</v>
      </c>
      <c r="B361" s="80">
        <v>74.303100000000001</v>
      </c>
      <c r="C361" s="80">
        <v>26.407299999999999</v>
      </c>
      <c r="D361" s="3">
        <v>2010</v>
      </c>
      <c r="E361" s="3">
        <v>8</v>
      </c>
      <c r="F361" s="3">
        <v>15</v>
      </c>
      <c r="G361" s="2">
        <v>4.5578000000000003</v>
      </c>
      <c r="H361" s="3" t="s">
        <v>26</v>
      </c>
      <c r="I361" s="14">
        <v>10</v>
      </c>
      <c r="J361" s="12">
        <v>6</v>
      </c>
      <c r="K361" s="12">
        <v>8</v>
      </c>
      <c r="L361" s="3" t="s">
        <v>12</v>
      </c>
    </row>
    <row r="362" spans="1:12" x14ac:dyDescent="0.3">
      <c r="A362" s="17">
        <v>361</v>
      </c>
      <c r="B362" s="80">
        <v>74.34</v>
      </c>
      <c r="C362" s="80">
        <v>26.43</v>
      </c>
      <c r="D362" s="3">
        <v>2010</v>
      </c>
      <c r="E362" s="3">
        <v>8</v>
      </c>
      <c r="F362" s="3">
        <v>15</v>
      </c>
      <c r="G362" s="2">
        <v>4.5578000000000003</v>
      </c>
      <c r="H362" s="3" t="s">
        <v>26</v>
      </c>
      <c r="I362" s="14">
        <v>10</v>
      </c>
      <c r="J362" s="12">
        <v>11</v>
      </c>
      <c r="K362" s="12">
        <v>38</v>
      </c>
      <c r="L362" s="3" t="s">
        <v>27</v>
      </c>
    </row>
    <row r="363" spans="1:12" x14ac:dyDescent="0.3">
      <c r="A363" s="17">
        <v>362</v>
      </c>
      <c r="B363" s="80">
        <v>72.130399999999995</v>
      </c>
      <c r="C363" s="80">
        <v>23.777999999999999</v>
      </c>
      <c r="D363" s="3">
        <v>2010</v>
      </c>
      <c r="E363" s="3">
        <v>9</v>
      </c>
      <c r="F363" s="3">
        <v>2</v>
      </c>
      <c r="G363" s="2">
        <v>4.6426999999999996</v>
      </c>
      <c r="H363" s="3" t="s">
        <v>26</v>
      </c>
      <c r="I363" s="14">
        <v>35</v>
      </c>
      <c r="J363" s="12">
        <v>3</v>
      </c>
      <c r="K363" s="12">
        <v>9</v>
      </c>
      <c r="L363" s="3" t="s">
        <v>10</v>
      </c>
    </row>
    <row r="364" spans="1:12" x14ac:dyDescent="0.3">
      <c r="A364" s="17">
        <v>363</v>
      </c>
      <c r="B364" s="80">
        <v>71.897999999999996</v>
      </c>
      <c r="C364" s="80">
        <v>23.625</v>
      </c>
      <c r="D364" s="3">
        <v>2010</v>
      </c>
      <c r="E364" s="3">
        <v>9</v>
      </c>
      <c r="F364" s="3">
        <v>2</v>
      </c>
      <c r="G364" s="2">
        <v>4.6426999999999996</v>
      </c>
      <c r="H364" s="3" t="s">
        <v>26</v>
      </c>
      <c r="I364" s="14">
        <v>10</v>
      </c>
      <c r="J364" s="12">
        <v>3</v>
      </c>
      <c r="K364" s="12">
        <v>9</v>
      </c>
      <c r="L364" s="3" t="s">
        <v>25</v>
      </c>
    </row>
    <row r="365" spans="1:12" x14ac:dyDescent="0.3">
      <c r="A365" s="17">
        <v>364</v>
      </c>
      <c r="B365" s="80">
        <v>71.959999999999994</v>
      </c>
      <c r="C365" s="80">
        <v>23.65</v>
      </c>
      <c r="D365" s="3">
        <v>2010</v>
      </c>
      <c r="E365" s="3">
        <v>9</v>
      </c>
      <c r="F365" s="3">
        <v>2</v>
      </c>
      <c r="G365" s="2">
        <v>4.6273999999999997</v>
      </c>
      <c r="H365" s="3" t="s">
        <v>26</v>
      </c>
      <c r="I365" s="14">
        <v>10</v>
      </c>
      <c r="J365" s="12">
        <v>8</v>
      </c>
      <c r="K365" s="12">
        <v>39</v>
      </c>
      <c r="L365" s="3" t="s">
        <v>27</v>
      </c>
    </row>
    <row r="366" spans="1:12" x14ac:dyDescent="0.3">
      <c r="A366" s="17">
        <v>365</v>
      </c>
      <c r="B366" s="80">
        <v>72.533000000000001</v>
      </c>
      <c r="C366" s="80">
        <v>24.614000000000001</v>
      </c>
      <c r="D366" s="3">
        <v>2010</v>
      </c>
      <c r="E366" s="3">
        <v>11</v>
      </c>
      <c r="F366" s="3">
        <v>5</v>
      </c>
      <c r="G366" s="2">
        <v>3.8618000000000001</v>
      </c>
      <c r="H366" s="3" t="s">
        <v>26</v>
      </c>
      <c r="I366" s="14">
        <v>10</v>
      </c>
      <c r="J366" s="12">
        <v>15</v>
      </c>
      <c r="K366" s="12">
        <v>57</v>
      </c>
      <c r="L366" s="3" t="s">
        <v>12</v>
      </c>
    </row>
    <row r="367" spans="1:12" x14ac:dyDescent="0.3">
      <c r="A367" s="17">
        <v>366</v>
      </c>
      <c r="B367" s="80">
        <v>72.53</v>
      </c>
      <c r="C367" s="80">
        <v>24.61</v>
      </c>
      <c r="D367" s="3">
        <v>2010</v>
      </c>
      <c r="E367" s="3">
        <v>11</v>
      </c>
      <c r="F367" s="3">
        <v>5</v>
      </c>
      <c r="G367" s="2">
        <v>3.8618000000000001</v>
      </c>
      <c r="H367" s="3" t="s">
        <v>26</v>
      </c>
      <c r="I367" s="14">
        <v>10</v>
      </c>
      <c r="J367" s="12">
        <v>21</v>
      </c>
      <c r="K367" s="12">
        <v>27</v>
      </c>
      <c r="L367" s="3" t="s">
        <v>27</v>
      </c>
    </row>
    <row r="368" spans="1:12" x14ac:dyDescent="0.3">
      <c r="A368" s="17">
        <v>367</v>
      </c>
      <c r="B368" s="80">
        <v>73.705799999999996</v>
      </c>
      <c r="C368" s="80">
        <v>25.162299999999998</v>
      </c>
      <c r="D368" s="3">
        <v>2010</v>
      </c>
      <c r="E368" s="3">
        <v>11</v>
      </c>
      <c r="F368" s="3">
        <v>9</v>
      </c>
      <c r="G368" s="2">
        <v>5.0333500000000004</v>
      </c>
      <c r="H368" s="3" t="s">
        <v>26</v>
      </c>
      <c r="I368" s="14">
        <v>19.399999999999999</v>
      </c>
      <c r="J368" s="12">
        <v>22</v>
      </c>
      <c r="K368" s="12">
        <v>46</v>
      </c>
      <c r="L368" s="3" t="s">
        <v>10</v>
      </c>
    </row>
    <row r="369" spans="1:12" x14ac:dyDescent="0.3">
      <c r="A369" s="17">
        <v>368</v>
      </c>
      <c r="B369" s="80">
        <v>73.649000000000001</v>
      </c>
      <c r="C369" s="80">
        <v>25.23</v>
      </c>
      <c r="D369" s="3">
        <v>2010</v>
      </c>
      <c r="E369" s="3">
        <v>11</v>
      </c>
      <c r="F369" s="3">
        <v>9</v>
      </c>
      <c r="G369" s="2">
        <v>5.1114800000000002</v>
      </c>
      <c r="H369" s="3" t="s">
        <v>26</v>
      </c>
      <c r="I369" s="14">
        <v>13.5</v>
      </c>
      <c r="J369" s="12">
        <v>22</v>
      </c>
      <c r="K369" s="12">
        <v>46</v>
      </c>
      <c r="L369" s="3" t="s">
        <v>25</v>
      </c>
    </row>
    <row r="370" spans="1:12" x14ac:dyDescent="0.3">
      <c r="A370" s="17">
        <v>369</v>
      </c>
      <c r="B370" s="80">
        <v>73.72</v>
      </c>
      <c r="C370" s="80">
        <v>25.22</v>
      </c>
      <c r="D370" s="3">
        <v>2010</v>
      </c>
      <c r="E370" s="3">
        <v>11</v>
      </c>
      <c r="F370" s="3">
        <v>10</v>
      </c>
      <c r="G370" s="2">
        <v>5.0449999999999999</v>
      </c>
      <c r="H370" s="3" t="s">
        <v>26</v>
      </c>
      <c r="I370" s="14">
        <v>10</v>
      </c>
      <c r="J370" s="12">
        <v>4</v>
      </c>
      <c r="K370" s="12">
        <v>16</v>
      </c>
      <c r="L370" s="3" t="s">
        <v>27</v>
      </c>
    </row>
    <row r="371" spans="1:12" x14ac:dyDescent="0.3">
      <c r="A371" s="17">
        <v>370</v>
      </c>
      <c r="B371" s="80">
        <v>79.789699999999996</v>
      </c>
      <c r="C371" s="80">
        <v>22.750800000000002</v>
      </c>
      <c r="D371" s="3">
        <v>2011</v>
      </c>
      <c r="E371" s="3">
        <v>2</v>
      </c>
      <c r="F371" s="3">
        <v>8</v>
      </c>
      <c r="G371" s="2">
        <v>4.2097999999999995</v>
      </c>
      <c r="H371" s="3" t="s">
        <v>26</v>
      </c>
      <c r="I371" s="14">
        <v>35</v>
      </c>
      <c r="J371" s="12">
        <v>7</v>
      </c>
      <c r="K371" s="12">
        <v>23</v>
      </c>
      <c r="L371" s="3" t="s">
        <v>12</v>
      </c>
    </row>
    <row r="372" spans="1:12" x14ac:dyDescent="0.3">
      <c r="A372" s="17">
        <v>371</v>
      </c>
      <c r="B372" s="80">
        <v>79.8</v>
      </c>
      <c r="C372" s="80">
        <v>22.66</v>
      </c>
      <c r="D372" s="3">
        <v>2011</v>
      </c>
      <c r="E372" s="3">
        <v>2</v>
      </c>
      <c r="F372" s="3">
        <v>8</v>
      </c>
      <c r="G372" s="2">
        <v>4.2097999999999995</v>
      </c>
      <c r="H372" s="3" t="s">
        <v>26</v>
      </c>
      <c r="I372" s="14">
        <v>10</v>
      </c>
      <c r="J372" s="12">
        <v>12</v>
      </c>
      <c r="K372" s="12">
        <v>53</v>
      </c>
      <c r="L372" s="3" t="s">
        <v>27</v>
      </c>
    </row>
    <row r="373" spans="1:12" x14ac:dyDescent="0.3">
      <c r="A373" s="17">
        <v>372</v>
      </c>
      <c r="B373" s="80">
        <v>78.819699999999997</v>
      </c>
      <c r="C373" s="80">
        <v>22.013000000000002</v>
      </c>
      <c r="D373" s="3">
        <v>2012</v>
      </c>
      <c r="E373" s="3">
        <v>6</v>
      </c>
      <c r="F373" s="3">
        <v>12</v>
      </c>
      <c r="G373" s="2">
        <v>4.1402000000000001</v>
      </c>
      <c r="H373" s="3" t="s">
        <v>26</v>
      </c>
      <c r="I373" s="14">
        <v>35</v>
      </c>
      <c r="J373" s="12">
        <v>1</v>
      </c>
      <c r="K373" s="12">
        <v>9</v>
      </c>
      <c r="L373" s="3" t="s">
        <v>12</v>
      </c>
    </row>
    <row r="374" spans="1:12" x14ac:dyDescent="0.3">
      <c r="A374" s="17">
        <v>373</v>
      </c>
      <c r="B374" s="80">
        <v>78.86</v>
      </c>
      <c r="C374" s="80">
        <v>22.32</v>
      </c>
      <c r="D374" s="3">
        <v>2012</v>
      </c>
      <c r="E374" s="3">
        <v>6</v>
      </c>
      <c r="F374" s="3">
        <v>12</v>
      </c>
      <c r="G374" s="2">
        <v>4.1402000000000001</v>
      </c>
      <c r="H374" s="3" t="s">
        <v>26</v>
      </c>
      <c r="I374" s="14">
        <v>15</v>
      </c>
      <c r="J374" s="12">
        <v>6</v>
      </c>
      <c r="K374" s="12">
        <v>39</v>
      </c>
      <c r="L374" s="3" t="s">
        <v>27</v>
      </c>
    </row>
    <row r="375" spans="1:12" x14ac:dyDescent="0.3">
      <c r="A375" s="17">
        <v>374</v>
      </c>
      <c r="B375" s="80">
        <v>72.799000000000007</v>
      </c>
      <c r="C375" s="80">
        <v>21.225000000000001</v>
      </c>
      <c r="D375" s="3">
        <v>2012</v>
      </c>
      <c r="E375" s="3">
        <v>7</v>
      </c>
      <c r="F375" s="3">
        <v>30</v>
      </c>
      <c r="G375" s="2">
        <v>4.0009999999999994</v>
      </c>
      <c r="H375" s="3" t="s">
        <v>26</v>
      </c>
      <c r="I375" s="14">
        <v>11.5</v>
      </c>
      <c r="J375" s="12">
        <v>8</v>
      </c>
      <c r="K375" s="12">
        <v>3</v>
      </c>
      <c r="L375" s="3" t="s">
        <v>12</v>
      </c>
    </row>
    <row r="376" spans="1:12" x14ac:dyDescent="0.3">
      <c r="A376" s="17">
        <v>375</v>
      </c>
      <c r="B376" s="80">
        <v>72.8</v>
      </c>
      <c r="C376" s="80">
        <v>21.23</v>
      </c>
      <c r="D376" s="3">
        <v>2012</v>
      </c>
      <c r="E376" s="3">
        <v>7</v>
      </c>
      <c r="F376" s="3">
        <v>30</v>
      </c>
      <c r="G376" s="2">
        <v>4.0009999999999994</v>
      </c>
      <c r="H376" s="3" t="s">
        <v>26</v>
      </c>
      <c r="I376" s="14">
        <v>11</v>
      </c>
      <c r="J376" s="12">
        <v>13</v>
      </c>
      <c r="K376" s="12">
        <v>33</v>
      </c>
      <c r="L376" s="3" t="s">
        <v>27</v>
      </c>
    </row>
    <row r="377" spans="1:12" x14ac:dyDescent="0.3">
      <c r="A377" s="17">
        <v>376</v>
      </c>
      <c r="B377" s="80">
        <v>76.507000000000005</v>
      </c>
      <c r="C377" s="80">
        <v>21.297999999999998</v>
      </c>
      <c r="D377" s="3">
        <v>2012</v>
      </c>
      <c r="E377" s="3">
        <v>9</v>
      </c>
      <c r="F377" s="3">
        <v>12</v>
      </c>
      <c r="G377" s="2">
        <v>3.8618000000000001</v>
      </c>
      <c r="H377" s="3" t="s">
        <v>26</v>
      </c>
      <c r="I377" s="14">
        <v>20</v>
      </c>
      <c r="J377" s="12">
        <v>16</v>
      </c>
      <c r="K377" s="12">
        <v>34</v>
      </c>
      <c r="L377" s="3" t="s">
        <v>12</v>
      </c>
    </row>
    <row r="378" spans="1:12" x14ac:dyDescent="0.3">
      <c r="A378" s="17">
        <v>377</v>
      </c>
      <c r="B378" s="80">
        <v>76.510000000000005</v>
      </c>
      <c r="C378" s="80">
        <v>21.3</v>
      </c>
      <c r="D378" s="3">
        <v>2012</v>
      </c>
      <c r="E378" s="3">
        <v>9</v>
      </c>
      <c r="F378" s="3">
        <v>12</v>
      </c>
      <c r="G378" s="2">
        <v>3.8618000000000001</v>
      </c>
      <c r="H378" s="3" t="s">
        <v>26</v>
      </c>
      <c r="I378" s="14">
        <v>20</v>
      </c>
      <c r="J378" s="12">
        <v>22</v>
      </c>
      <c r="K378" s="12">
        <v>4</v>
      </c>
      <c r="L378" s="3" t="s">
        <v>27</v>
      </c>
    </row>
    <row r="379" spans="1:12" x14ac:dyDescent="0.3">
      <c r="A379" s="17">
        <v>378</v>
      </c>
      <c r="B379" s="80">
        <v>76.031999999999996</v>
      </c>
      <c r="C379" s="80">
        <v>22.056000000000001</v>
      </c>
      <c r="D379" s="3">
        <v>2012</v>
      </c>
      <c r="E379" s="3">
        <v>11</v>
      </c>
      <c r="F379" s="3">
        <v>20</v>
      </c>
      <c r="G379" s="2">
        <v>4.0705999999999998</v>
      </c>
      <c r="H379" s="3" t="s">
        <v>26</v>
      </c>
      <c r="I379" s="14">
        <v>15</v>
      </c>
      <c r="J379" s="12">
        <v>4</v>
      </c>
      <c r="K379" s="12">
        <v>15</v>
      </c>
      <c r="L379" s="3" t="s">
        <v>12</v>
      </c>
    </row>
    <row r="380" spans="1:12" x14ac:dyDescent="0.3">
      <c r="A380" s="17">
        <v>379</v>
      </c>
      <c r="B380" s="80">
        <v>76.3</v>
      </c>
      <c r="C380" s="80">
        <v>22.6</v>
      </c>
      <c r="D380" s="3">
        <v>2012</v>
      </c>
      <c r="E380" s="3">
        <v>11</v>
      </c>
      <c r="F380" s="3">
        <v>20</v>
      </c>
      <c r="G380" s="2">
        <v>4.0705999999999998</v>
      </c>
      <c r="H380" s="3" t="s">
        <v>26</v>
      </c>
      <c r="I380" s="14">
        <v>15</v>
      </c>
      <c r="J380" s="12">
        <v>9</v>
      </c>
      <c r="K380" s="12">
        <v>45</v>
      </c>
      <c r="L380" s="3" t="s">
        <v>27</v>
      </c>
    </row>
    <row r="381" spans="1:12" x14ac:dyDescent="0.3">
      <c r="A381" s="17">
        <v>380</v>
      </c>
      <c r="B381" s="80">
        <v>75.891499999999994</v>
      </c>
      <c r="C381" s="80">
        <v>26.261700000000001</v>
      </c>
      <c r="D381" s="3">
        <v>2013</v>
      </c>
      <c r="E381" s="3">
        <v>2</v>
      </c>
      <c r="F381" s="3">
        <v>24</v>
      </c>
      <c r="G381" s="2">
        <v>4.2520500000000006</v>
      </c>
      <c r="H381" s="3" t="s">
        <v>26</v>
      </c>
      <c r="I381" s="14">
        <v>35</v>
      </c>
      <c r="J381" s="12">
        <v>0</v>
      </c>
      <c r="K381" s="12">
        <v>57</v>
      </c>
      <c r="L381" s="3" t="s">
        <v>10</v>
      </c>
    </row>
    <row r="382" spans="1:12" x14ac:dyDescent="0.3">
      <c r="A382" s="17">
        <v>381</v>
      </c>
      <c r="B382" s="80">
        <v>76.599999999999994</v>
      </c>
      <c r="C382" s="80">
        <v>26.19</v>
      </c>
      <c r="D382" s="3">
        <v>2013</v>
      </c>
      <c r="E382" s="3">
        <v>2</v>
      </c>
      <c r="F382" s="3">
        <v>24</v>
      </c>
      <c r="G382" s="2">
        <v>4.6273999999999997</v>
      </c>
      <c r="H382" s="3" t="s">
        <v>26</v>
      </c>
      <c r="I382" s="14">
        <v>10</v>
      </c>
      <c r="J382" s="12">
        <v>6</v>
      </c>
      <c r="K382" s="12">
        <v>27</v>
      </c>
      <c r="L382" s="3" t="s">
        <v>27</v>
      </c>
    </row>
    <row r="383" spans="1:12" x14ac:dyDescent="0.3">
      <c r="A383" s="17">
        <v>382</v>
      </c>
      <c r="B383" s="80">
        <v>73.376999999999995</v>
      </c>
      <c r="C383" s="80">
        <v>19.800999999999998</v>
      </c>
      <c r="D383" s="3">
        <v>2013</v>
      </c>
      <c r="E383" s="3">
        <v>2</v>
      </c>
      <c r="F383" s="3">
        <v>25</v>
      </c>
      <c r="G383" s="2">
        <v>3.8618000000000001</v>
      </c>
      <c r="H383" s="3" t="s">
        <v>26</v>
      </c>
      <c r="I383" s="14">
        <v>10</v>
      </c>
      <c r="J383" s="12">
        <v>17</v>
      </c>
      <c r="K383" s="12">
        <v>21</v>
      </c>
      <c r="L383" s="3" t="s">
        <v>12</v>
      </c>
    </row>
    <row r="384" spans="1:12" x14ac:dyDescent="0.3">
      <c r="A384" s="17">
        <v>383</v>
      </c>
      <c r="B384" s="80">
        <v>73.38</v>
      </c>
      <c r="C384" s="80">
        <v>19.8</v>
      </c>
      <c r="D384" s="3">
        <v>2013</v>
      </c>
      <c r="E384" s="3">
        <v>2</v>
      </c>
      <c r="F384" s="3">
        <v>25</v>
      </c>
      <c r="G384" s="2">
        <v>3.8618000000000001</v>
      </c>
      <c r="H384" s="3" t="s">
        <v>26</v>
      </c>
      <c r="I384" s="14">
        <v>10</v>
      </c>
      <c r="J384" s="12">
        <v>22</v>
      </c>
      <c r="K384" s="12">
        <v>51</v>
      </c>
      <c r="L384" s="3" t="s">
        <v>27</v>
      </c>
    </row>
    <row r="385" spans="1:12" x14ac:dyDescent="0.3">
      <c r="A385" s="17">
        <v>384</v>
      </c>
      <c r="B385" s="80">
        <v>71.019099999999995</v>
      </c>
      <c r="C385" s="80">
        <v>23.416899999999998</v>
      </c>
      <c r="D385" s="3">
        <v>2013</v>
      </c>
      <c r="E385" s="3">
        <v>4</v>
      </c>
      <c r="F385" s="3">
        <v>25</v>
      </c>
      <c r="G385" s="2">
        <v>4.2520500000000006</v>
      </c>
      <c r="H385" s="3" t="s">
        <v>26</v>
      </c>
      <c r="I385" s="14">
        <v>10</v>
      </c>
      <c r="J385" s="12">
        <v>5</v>
      </c>
      <c r="K385" s="12">
        <v>57</v>
      </c>
      <c r="L385" s="3" t="s">
        <v>10</v>
      </c>
    </row>
    <row r="386" spans="1:12" x14ac:dyDescent="0.3">
      <c r="A386" s="17">
        <v>385</v>
      </c>
      <c r="B386" s="80">
        <v>74.831999999999994</v>
      </c>
      <c r="C386" s="80">
        <v>21.988</v>
      </c>
      <c r="D386" s="3">
        <v>2013</v>
      </c>
      <c r="E386" s="3">
        <v>6</v>
      </c>
      <c r="F386" s="3">
        <v>30</v>
      </c>
      <c r="G386" s="2">
        <v>4.0705999999999998</v>
      </c>
      <c r="H386" s="3" t="s">
        <v>26</v>
      </c>
      <c r="I386" s="14">
        <v>19.100000000000001</v>
      </c>
      <c r="J386" s="12">
        <v>2</v>
      </c>
      <c r="K386" s="12">
        <v>44</v>
      </c>
      <c r="L386" s="3" t="s">
        <v>12</v>
      </c>
    </row>
    <row r="387" spans="1:12" x14ac:dyDescent="0.3">
      <c r="A387" s="17">
        <v>386</v>
      </c>
      <c r="B387" s="80">
        <v>74.83</v>
      </c>
      <c r="C387" s="80">
        <v>21.99</v>
      </c>
      <c r="D387" s="3">
        <v>2013</v>
      </c>
      <c r="E387" s="3">
        <v>6</v>
      </c>
      <c r="F387" s="3">
        <v>30</v>
      </c>
      <c r="G387" s="2">
        <v>4.0705999999999998</v>
      </c>
      <c r="H387" s="3" t="s">
        <v>26</v>
      </c>
      <c r="I387" s="14">
        <v>19</v>
      </c>
      <c r="J387" s="12">
        <v>8</v>
      </c>
      <c r="K387" s="12">
        <v>14</v>
      </c>
      <c r="L387" s="3" t="s">
        <v>27</v>
      </c>
    </row>
    <row r="388" spans="1:12" x14ac:dyDescent="0.3">
      <c r="A388" s="17">
        <v>387</v>
      </c>
      <c r="B388" s="80">
        <v>75.522000000000006</v>
      </c>
      <c r="C388" s="80">
        <v>26.62</v>
      </c>
      <c r="D388" s="3">
        <v>2013</v>
      </c>
      <c r="E388" s="3">
        <v>9</v>
      </c>
      <c r="F388" s="3">
        <v>5</v>
      </c>
      <c r="G388" s="2">
        <v>3.9314</v>
      </c>
      <c r="H388" s="3" t="s">
        <v>26</v>
      </c>
      <c r="I388" s="14">
        <v>11.1</v>
      </c>
      <c r="J388" s="12">
        <v>11</v>
      </c>
      <c r="K388" s="12">
        <v>29</v>
      </c>
      <c r="L388" s="3" t="s">
        <v>12</v>
      </c>
    </row>
    <row r="389" spans="1:12" x14ac:dyDescent="0.3">
      <c r="A389" s="17">
        <v>388</v>
      </c>
      <c r="B389" s="80">
        <v>75.52</v>
      </c>
      <c r="C389" s="80">
        <v>26.62</v>
      </c>
      <c r="D389" s="3">
        <v>2013</v>
      </c>
      <c r="E389" s="3">
        <v>9</v>
      </c>
      <c r="F389" s="3">
        <v>5</v>
      </c>
      <c r="G389" s="2">
        <v>3.9314</v>
      </c>
      <c r="H389" s="3" t="s">
        <v>26</v>
      </c>
      <c r="I389" s="14">
        <v>11</v>
      </c>
      <c r="J389" s="12">
        <v>16</v>
      </c>
      <c r="K389" s="12">
        <v>59</v>
      </c>
      <c r="L389" s="3" t="s">
        <v>27</v>
      </c>
    </row>
    <row r="390" spans="1:12" x14ac:dyDescent="0.3">
      <c r="A390" s="17">
        <v>389</v>
      </c>
      <c r="B390" s="80">
        <v>73.997</v>
      </c>
      <c r="C390" s="80">
        <v>20.704999999999998</v>
      </c>
      <c r="D390" s="3">
        <v>2014</v>
      </c>
      <c r="E390" s="3">
        <v>1</v>
      </c>
      <c r="F390" s="3">
        <v>7</v>
      </c>
      <c r="G390" s="2">
        <v>3.6688899999999998</v>
      </c>
      <c r="H390" s="3" t="s">
        <v>26</v>
      </c>
      <c r="I390" s="14">
        <v>15</v>
      </c>
      <c r="J390" s="12">
        <v>13</v>
      </c>
      <c r="K390" s="12">
        <v>50</v>
      </c>
      <c r="L390" s="3" t="s">
        <v>12</v>
      </c>
    </row>
    <row r="391" spans="1:12" x14ac:dyDescent="0.3">
      <c r="A391" s="17">
        <v>390</v>
      </c>
      <c r="B391" s="80">
        <v>73.099999999999994</v>
      </c>
      <c r="C391" s="80">
        <v>20.7</v>
      </c>
      <c r="D391" s="3">
        <v>2014</v>
      </c>
      <c r="E391" s="3">
        <v>1</v>
      </c>
      <c r="F391" s="3">
        <v>7</v>
      </c>
      <c r="G391" s="2">
        <v>4.2097999999999995</v>
      </c>
      <c r="H391" s="3" t="s">
        <v>26</v>
      </c>
      <c r="I391" s="14">
        <v>15</v>
      </c>
      <c r="J391" s="12">
        <v>19</v>
      </c>
      <c r="K391" s="12">
        <v>20</v>
      </c>
      <c r="L391" s="3" t="s">
        <v>27</v>
      </c>
    </row>
    <row r="392" spans="1:12" x14ac:dyDescent="0.3">
      <c r="A392" s="17">
        <v>391</v>
      </c>
      <c r="B392" s="80">
        <v>73.420199999999994</v>
      </c>
      <c r="C392" s="80">
        <v>21.4255</v>
      </c>
      <c r="D392" s="3">
        <v>2014</v>
      </c>
      <c r="E392" s="3">
        <v>6</v>
      </c>
      <c r="F392" s="3">
        <v>21</v>
      </c>
      <c r="G392" s="2">
        <v>4.4083100000000002</v>
      </c>
      <c r="H392" s="3" t="s">
        <v>26</v>
      </c>
      <c r="I392" s="14">
        <v>35</v>
      </c>
      <c r="J392" s="12">
        <v>15</v>
      </c>
      <c r="K392" s="12">
        <v>59</v>
      </c>
      <c r="L392" s="3" t="s">
        <v>10</v>
      </c>
    </row>
    <row r="393" spans="1:12" x14ac:dyDescent="0.3">
      <c r="A393" s="17">
        <v>392</v>
      </c>
      <c r="B393" s="80" t="s">
        <v>23</v>
      </c>
      <c r="C393" s="80" t="s">
        <v>24</v>
      </c>
      <c r="D393" s="3">
        <v>2014</v>
      </c>
      <c r="E393" s="3">
        <v>8</v>
      </c>
      <c r="F393" s="3">
        <v>20</v>
      </c>
      <c r="G393" s="2">
        <v>3.98638</v>
      </c>
      <c r="H393" s="3" t="s">
        <v>26</v>
      </c>
      <c r="I393" s="14">
        <v>0</v>
      </c>
      <c r="J393" s="12">
        <v>1</v>
      </c>
      <c r="K393" s="12">
        <v>29</v>
      </c>
      <c r="L393" s="3" t="s">
        <v>12</v>
      </c>
    </row>
    <row r="394" spans="1:12" x14ac:dyDescent="0.3">
      <c r="A394" s="17">
        <v>393</v>
      </c>
      <c r="B394" s="80">
        <v>75.14</v>
      </c>
      <c r="C394" s="80">
        <v>21.87</v>
      </c>
      <c r="D394" s="3">
        <v>2014</v>
      </c>
      <c r="E394" s="3">
        <v>8</v>
      </c>
      <c r="F394" s="3">
        <v>20</v>
      </c>
      <c r="G394" s="2">
        <v>4.2097999999999995</v>
      </c>
      <c r="H394" s="3" t="s">
        <v>26</v>
      </c>
      <c r="I394" s="14">
        <v>6</v>
      </c>
      <c r="J394" s="12">
        <v>6</v>
      </c>
      <c r="K394" s="12">
        <v>59</v>
      </c>
      <c r="L394" s="3" t="s">
        <v>27</v>
      </c>
    </row>
    <row r="395" spans="1:12" x14ac:dyDescent="0.3">
      <c r="A395" s="17">
        <v>394</v>
      </c>
      <c r="B395" s="80">
        <v>79.889899999999997</v>
      </c>
      <c r="C395" s="80">
        <v>23.041899999999998</v>
      </c>
      <c r="D395" s="3">
        <v>2014</v>
      </c>
      <c r="E395" s="3">
        <v>10</v>
      </c>
      <c r="F395" s="3">
        <v>22</v>
      </c>
      <c r="G395" s="2">
        <v>4.3301800000000004</v>
      </c>
      <c r="H395" s="3" t="s">
        <v>26</v>
      </c>
      <c r="I395" s="14">
        <v>10</v>
      </c>
      <c r="J395" s="12">
        <v>5</v>
      </c>
      <c r="K395" s="12">
        <v>18</v>
      </c>
      <c r="L395" s="3" t="s">
        <v>10</v>
      </c>
    </row>
    <row r="396" spans="1:12" x14ac:dyDescent="0.3">
      <c r="A396" s="17">
        <v>395</v>
      </c>
      <c r="B396" s="80">
        <v>80.3</v>
      </c>
      <c r="C396" s="80">
        <v>23.5</v>
      </c>
      <c r="D396" s="3">
        <v>2014</v>
      </c>
      <c r="E396" s="3">
        <v>10</v>
      </c>
      <c r="F396" s="3">
        <v>22</v>
      </c>
      <c r="G396" s="2">
        <v>4.2097999999999995</v>
      </c>
      <c r="H396" s="3" t="s">
        <v>26</v>
      </c>
      <c r="I396" s="14">
        <v>6</v>
      </c>
      <c r="J396" s="12">
        <v>10</v>
      </c>
      <c r="K396" s="12">
        <v>48</v>
      </c>
      <c r="L396" s="3" t="s">
        <v>27</v>
      </c>
    </row>
    <row r="397" spans="1:12" x14ac:dyDescent="0.3">
      <c r="A397" s="17">
        <v>396</v>
      </c>
      <c r="B397" s="80">
        <v>72.034999999999997</v>
      </c>
      <c r="C397" s="80">
        <v>24.407</v>
      </c>
      <c r="D397" s="3">
        <v>2014</v>
      </c>
      <c r="E397" s="3">
        <v>11</v>
      </c>
      <c r="F397" s="3">
        <v>19</v>
      </c>
      <c r="G397" s="2">
        <v>4.2097999999999995</v>
      </c>
      <c r="H397" s="3" t="s">
        <v>26</v>
      </c>
      <c r="I397" s="14">
        <v>10</v>
      </c>
      <c r="J397" s="12">
        <v>15</v>
      </c>
      <c r="K397" s="12">
        <v>26</v>
      </c>
      <c r="L397" s="3" t="s">
        <v>12</v>
      </c>
    </row>
    <row r="398" spans="1:12" x14ac:dyDescent="0.3">
      <c r="A398" s="17">
        <v>397</v>
      </c>
      <c r="B398" s="80">
        <v>72.400000000000006</v>
      </c>
      <c r="C398" s="80">
        <v>24.41</v>
      </c>
      <c r="D398" s="3">
        <v>2014</v>
      </c>
      <c r="E398" s="3">
        <v>11</v>
      </c>
      <c r="F398" s="3">
        <v>19</v>
      </c>
      <c r="G398" s="2">
        <v>4.2097999999999995</v>
      </c>
      <c r="H398" s="3" t="s">
        <v>26</v>
      </c>
      <c r="I398" s="14">
        <v>10</v>
      </c>
      <c r="J398" s="12">
        <v>20</v>
      </c>
      <c r="K398" s="12">
        <v>56</v>
      </c>
      <c r="L398" s="3" t="s">
        <v>27</v>
      </c>
    </row>
    <row r="399" spans="1:12" x14ac:dyDescent="0.3">
      <c r="A399" s="17">
        <v>398</v>
      </c>
      <c r="B399" s="80">
        <v>72.659199999999998</v>
      </c>
      <c r="C399" s="80">
        <v>24.040600000000001</v>
      </c>
      <c r="D399" s="3">
        <v>2015</v>
      </c>
      <c r="E399" s="3">
        <v>3</v>
      </c>
      <c r="F399" s="3">
        <v>19</v>
      </c>
      <c r="G399" s="2">
        <v>4.1739199999999999</v>
      </c>
      <c r="H399" s="3" t="s">
        <v>26</v>
      </c>
      <c r="I399" s="14">
        <v>10</v>
      </c>
      <c r="J399" s="12">
        <v>9</v>
      </c>
      <c r="K399" s="12">
        <v>41</v>
      </c>
      <c r="L399" s="3" t="s">
        <v>10</v>
      </c>
    </row>
    <row r="400" spans="1:12" x14ac:dyDescent="0.3">
      <c r="A400" s="17">
        <v>399</v>
      </c>
      <c r="B400" s="80">
        <v>72.72</v>
      </c>
      <c r="C400" s="80">
        <v>24.2</v>
      </c>
      <c r="D400" s="3">
        <v>2015</v>
      </c>
      <c r="E400" s="3">
        <v>3</v>
      </c>
      <c r="F400" s="3">
        <v>19</v>
      </c>
      <c r="G400" s="2">
        <v>4.2793999999999999</v>
      </c>
      <c r="H400" s="3" t="s">
        <v>26</v>
      </c>
      <c r="I400" s="14">
        <v>10</v>
      </c>
      <c r="J400" s="12">
        <v>15</v>
      </c>
      <c r="K400" s="12">
        <v>11</v>
      </c>
      <c r="L400" s="3" t="s">
        <v>27</v>
      </c>
    </row>
    <row r="401" spans="1:12" x14ac:dyDescent="0.3">
      <c r="A401" s="17">
        <v>400</v>
      </c>
      <c r="B401" s="80">
        <v>80.066999999999993</v>
      </c>
      <c r="C401" s="80">
        <v>21.328199999999999</v>
      </c>
      <c r="D401" s="3">
        <v>2015</v>
      </c>
      <c r="E401" s="3">
        <v>7</v>
      </c>
      <c r="F401" s="3">
        <v>23</v>
      </c>
      <c r="G401" s="2">
        <v>4.4097</v>
      </c>
      <c r="H401" s="3" t="s">
        <v>26</v>
      </c>
      <c r="I401" s="14">
        <v>35</v>
      </c>
      <c r="J401" s="12">
        <v>14</v>
      </c>
      <c r="K401" s="12">
        <v>36</v>
      </c>
      <c r="L401" s="3" t="s">
        <v>12</v>
      </c>
    </row>
    <row r="402" spans="1:12" x14ac:dyDescent="0.3">
      <c r="A402" s="17">
        <v>401</v>
      </c>
      <c r="B402" s="80">
        <v>80.11</v>
      </c>
      <c r="C402" s="80">
        <v>21.35</v>
      </c>
      <c r="D402" s="3">
        <v>2015</v>
      </c>
      <c r="E402" s="3">
        <v>7</v>
      </c>
      <c r="F402" s="3">
        <v>23</v>
      </c>
      <c r="G402" s="2">
        <v>4.5578000000000003</v>
      </c>
      <c r="H402" s="3" t="s">
        <v>26</v>
      </c>
      <c r="I402" s="14">
        <v>10</v>
      </c>
      <c r="J402" s="12">
        <v>20</v>
      </c>
      <c r="K402" s="12">
        <v>6</v>
      </c>
      <c r="L402" s="3" t="s">
        <v>27</v>
      </c>
    </row>
    <row r="403" spans="1:12" x14ac:dyDescent="0.3">
      <c r="A403" s="17">
        <v>402</v>
      </c>
      <c r="B403" s="80">
        <v>73.001000000000005</v>
      </c>
      <c r="C403" s="80">
        <v>20.425999999999998</v>
      </c>
      <c r="D403" s="3">
        <v>2015</v>
      </c>
      <c r="E403" s="3">
        <v>11</v>
      </c>
      <c r="F403" s="3">
        <v>2</v>
      </c>
      <c r="G403" s="2">
        <v>3.8618000000000001</v>
      </c>
      <c r="H403" s="3" t="s">
        <v>26</v>
      </c>
      <c r="I403" s="14">
        <v>18.100000000000001</v>
      </c>
      <c r="J403" s="12">
        <v>20</v>
      </c>
      <c r="K403" s="12">
        <v>39</v>
      </c>
      <c r="L403" s="3" t="s">
        <v>12</v>
      </c>
    </row>
    <row r="404" spans="1:12" x14ac:dyDescent="0.3">
      <c r="A404" s="17">
        <v>403</v>
      </c>
      <c r="B404" s="80">
        <v>73</v>
      </c>
      <c r="C404" s="80">
        <v>20.43</v>
      </c>
      <c r="D404" s="3">
        <v>2015</v>
      </c>
      <c r="E404" s="3">
        <v>11</v>
      </c>
      <c r="F404" s="3">
        <v>3</v>
      </c>
      <c r="G404" s="2">
        <v>3.8618000000000001</v>
      </c>
      <c r="H404" s="3" t="s">
        <v>26</v>
      </c>
      <c r="I404" s="14">
        <v>18</v>
      </c>
      <c r="J404" s="12">
        <v>2</v>
      </c>
      <c r="K404" s="12">
        <v>9</v>
      </c>
      <c r="L404" s="3" t="s">
        <v>27</v>
      </c>
    </row>
    <row r="405" spans="1:12" x14ac:dyDescent="0.3">
      <c r="A405" s="17">
        <v>404</v>
      </c>
      <c r="B405" s="80">
        <v>75.498599999999996</v>
      </c>
      <c r="C405" s="80">
        <v>27.123999999999999</v>
      </c>
      <c r="D405" s="3">
        <v>2016</v>
      </c>
      <c r="E405" s="3">
        <v>1</v>
      </c>
      <c r="F405" s="3">
        <v>28</v>
      </c>
      <c r="G405" s="2">
        <v>4.1739199999999999</v>
      </c>
      <c r="H405" s="3" t="s">
        <v>26</v>
      </c>
      <c r="I405" s="14">
        <v>10</v>
      </c>
      <c r="J405" s="12">
        <v>22</v>
      </c>
      <c r="K405" s="12">
        <v>47</v>
      </c>
      <c r="L405" s="3" t="s">
        <v>10</v>
      </c>
    </row>
    <row r="406" spans="1:12" x14ac:dyDescent="0.3">
      <c r="A406" s="17">
        <v>405</v>
      </c>
      <c r="B406" s="80">
        <v>75.400000000000006</v>
      </c>
      <c r="C406" s="80">
        <v>27.12</v>
      </c>
      <c r="D406" s="3">
        <v>2016</v>
      </c>
      <c r="E406" s="3">
        <v>1</v>
      </c>
      <c r="F406" s="3">
        <v>29</v>
      </c>
      <c r="G406" s="2">
        <v>4.3490000000000002</v>
      </c>
      <c r="H406" s="3" t="s">
        <v>26</v>
      </c>
      <c r="I406" s="14">
        <v>10</v>
      </c>
      <c r="J406" s="12">
        <v>4</v>
      </c>
      <c r="K406" s="12">
        <v>17</v>
      </c>
      <c r="L406" s="3" t="s">
        <v>27</v>
      </c>
    </row>
    <row r="407" spans="1:12" x14ac:dyDescent="0.3">
      <c r="A407" s="17">
        <v>406</v>
      </c>
      <c r="B407" s="80">
        <v>72.191000000000003</v>
      </c>
      <c r="C407" s="80">
        <v>24.844999999999999</v>
      </c>
      <c r="D407" s="3">
        <v>2016</v>
      </c>
      <c r="E407" s="3">
        <v>2</v>
      </c>
      <c r="F407" s="3">
        <v>24</v>
      </c>
      <c r="G407" s="2">
        <v>4.0705999999999998</v>
      </c>
      <c r="H407" s="3" t="s">
        <v>26</v>
      </c>
      <c r="I407" s="14">
        <v>10</v>
      </c>
      <c r="J407" s="12">
        <v>2</v>
      </c>
      <c r="K407" s="12">
        <v>6</v>
      </c>
      <c r="L407" s="3" t="s">
        <v>12</v>
      </c>
    </row>
    <row r="408" spans="1:12" x14ac:dyDescent="0.3">
      <c r="A408" s="17">
        <v>407</v>
      </c>
      <c r="B408" s="80">
        <v>72.19</v>
      </c>
      <c r="C408" s="80">
        <v>24.84</v>
      </c>
      <c r="D408" s="3">
        <v>2016</v>
      </c>
      <c r="E408" s="3">
        <v>2</v>
      </c>
      <c r="F408" s="3">
        <v>24</v>
      </c>
      <c r="G408" s="2">
        <v>4.0705999999999998</v>
      </c>
      <c r="H408" s="3" t="s">
        <v>26</v>
      </c>
      <c r="I408" s="14">
        <v>10</v>
      </c>
      <c r="J408" s="12">
        <v>7</v>
      </c>
      <c r="K408" s="12">
        <v>36</v>
      </c>
      <c r="L408" s="3" t="s">
        <v>27</v>
      </c>
    </row>
    <row r="409" spans="1:12" x14ac:dyDescent="0.3">
      <c r="A409" s="17">
        <v>408</v>
      </c>
      <c r="B409" s="80">
        <v>73.210999999999999</v>
      </c>
      <c r="C409" s="80">
        <v>25.81</v>
      </c>
      <c r="D409" s="3">
        <v>2016</v>
      </c>
      <c r="E409" s="3">
        <v>3</v>
      </c>
      <c r="F409" s="3">
        <v>18</v>
      </c>
      <c r="G409" s="2">
        <v>4.2793999999999999</v>
      </c>
      <c r="H409" s="3" t="s">
        <v>26</v>
      </c>
      <c r="I409" s="14">
        <v>7.7</v>
      </c>
      <c r="J409" s="12">
        <v>3</v>
      </c>
      <c r="K409" s="12">
        <v>37</v>
      </c>
      <c r="L409" s="3" t="s">
        <v>12</v>
      </c>
    </row>
    <row r="410" spans="1:12" x14ac:dyDescent="0.3">
      <c r="A410" s="17">
        <v>409</v>
      </c>
      <c r="B410" s="80">
        <v>73.209999999999994</v>
      </c>
      <c r="C410" s="80">
        <v>25.81</v>
      </c>
      <c r="D410" s="3">
        <v>2016</v>
      </c>
      <c r="E410" s="3">
        <v>3</v>
      </c>
      <c r="F410" s="3">
        <v>18</v>
      </c>
      <c r="G410" s="2">
        <v>4.2793999999999999</v>
      </c>
      <c r="H410" s="3" t="s">
        <v>26</v>
      </c>
      <c r="I410" s="14">
        <v>7</v>
      </c>
      <c r="J410" s="12">
        <v>9</v>
      </c>
      <c r="K410" s="12">
        <v>7</v>
      </c>
      <c r="L410" s="3" t="s">
        <v>27</v>
      </c>
    </row>
    <row r="411" spans="1:12" x14ac:dyDescent="0.3">
      <c r="A411" s="17">
        <v>410</v>
      </c>
      <c r="B411" s="80">
        <v>75.200999999999993</v>
      </c>
      <c r="C411" s="80">
        <v>26.957799999999999</v>
      </c>
      <c r="D411" s="3">
        <v>2016</v>
      </c>
      <c r="E411" s="3">
        <v>4</v>
      </c>
      <c r="F411" s="3">
        <v>7</v>
      </c>
      <c r="G411" s="2">
        <v>4.09579</v>
      </c>
      <c r="H411" s="3" t="s">
        <v>26</v>
      </c>
      <c r="I411" s="14">
        <v>10</v>
      </c>
      <c r="J411" s="12">
        <v>20</v>
      </c>
      <c r="K411" s="12">
        <v>3</v>
      </c>
      <c r="L411" s="3" t="s">
        <v>10</v>
      </c>
    </row>
    <row r="412" spans="1:12" x14ac:dyDescent="0.3">
      <c r="A412" s="17">
        <v>411</v>
      </c>
      <c r="B412" s="80">
        <v>75.25</v>
      </c>
      <c r="C412" s="80">
        <v>26.94</v>
      </c>
      <c r="D412" s="3">
        <v>2016</v>
      </c>
      <c r="E412" s="3">
        <v>4</v>
      </c>
      <c r="F412" s="3">
        <v>8</v>
      </c>
      <c r="G412" s="2">
        <v>4.1402000000000001</v>
      </c>
      <c r="H412" s="3" t="s">
        <v>26</v>
      </c>
      <c r="I412" s="14">
        <v>10</v>
      </c>
      <c r="J412" s="12">
        <v>1</v>
      </c>
      <c r="K412" s="12">
        <v>33</v>
      </c>
      <c r="L412" s="3" t="s">
        <v>27</v>
      </c>
    </row>
    <row r="413" spans="1:12" x14ac:dyDescent="0.3">
      <c r="A413" s="17">
        <v>412</v>
      </c>
      <c r="B413" s="80">
        <v>72.584999999999994</v>
      </c>
      <c r="C413" s="80">
        <v>24.361000000000001</v>
      </c>
      <c r="D413" s="3">
        <v>2016</v>
      </c>
      <c r="E413" s="3">
        <v>5</v>
      </c>
      <c r="F413" s="3">
        <v>12</v>
      </c>
      <c r="G413" s="2">
        <v>3.9314</v>
      </c>
      <c r="H413" s="3" t="s">
        <v>26</v>
      </c>
      <c r="I413" s="14">
        <v>39.6</v>
      </c>
      <c r="J413" s="12">
        <v>16</v>
      </c>
      <c r="K413" s="12">
        <v>59</v>
      </c>
      <c r="L413" s="3" t="s">
        <v>12</v>
      </c>
    </row>
    <row r="414" spans="1:12" x14ac:dyDescent="0.3">
      <c r="A414" s="17">
        <v>413</v>
      </c>
      <c r="B414" s="80">
        <v>72.58</v>
      </c>
      <c r="C414" s="80">
        <v>24.36</v>
      </c>
      <c r="D414" s="3">
        <v>2016</v>
      </c>
      <c r="E414" s="3">
        <v>5</v>
      </c>
      <c r="F414" s="3">
        <v>12</v>
      </c>
      <c r="G414" s="2">
        <v>3.9314</v>
      </c>
      <c r="H414" s="3" t="s">
        <v>26</v>
      </c>
      <c r="I414" s="14">
        <v>39</v>
      </c>
      <c r="J414" s="12">
        <v>22</v>
      </c>
      <c r="K414" s="12">
        <v>29</v>
      </c>
      <c r="L414" s="3" t="s">
        <v>27</v>
      </c>
    </row>
    <row r="415" spans="1:12" x14ac:dyDescent="0.3">
      <c r="A415" s="17">
        <v>414</v>
      </c>
      <c r="B415" s="80">
        <v>71.552599999999998</v>
      </c>
      <c r="C415" s="80">
        <v>21.427600000000002</v>
      </c>
      <c r="D415" s="3">
        <v>2016</v>
      </c>
      <c r="E415" s="3">
        <v>7</v>
      </c>
      <c r="F415" s="3">
        <v>17</v>
      </c>
      <c r="G415" s="2">
        <v>4.7208299999999994</v>
      </c>
      <c r="H415" s="3" t="s">
        <v>26</v>
      </c>
      <c r="I415" s="14">
        <v>10</v>
      </c>
      <c r="J415" s="12">
        <v>3</v>
      </c>
      <c r="K415" s="12">
        <v>54</v>
      </c>
      <c r="L415" s="3" t="s">
        <v>25</v>
      </c>
    </row>
    <row r="416" spans="1:12" x14ac:dyDescent="0.3">
      <c r="A416" s="17">
        <v>415</v>
      </c>
      <c r="B416" s="80">
        <v>72.540099999999995</v>
      </c>
      <c r="C416" s="80">
        <v>21.716000000000001</v>
      </c>
      <c r="D416" s="3">
        <v>2016</v>
      </c>
      <c r="E416" s="3">
        <v>7</v>
      </c>
      <c r="F416" s="3">
        <v>17</v>
      </c>
      <c r="G416" s="2">
        <v>4.7208299999999994</v>
      </c>
      <c r="H416" s="3" t="s">
        <v>26</v>
      </c>
      <c r="I416" s="14">
        <v>35</v>
      </c>
      <c r="J416" s="12">
        <v>3</v>
      </c>
      <c r="K416" s="12">
        <v>55</v>
      </c>
      <c r="L416" s="3" t="s">
        <v>10</v>
      </c>
    </row>
    <row r="417" spans="1:12" x14ac:dyDescent="0.3">
      <c r="A417" s="17">
        <v>416</v>
      </c>
      <c r="B417" s="80">
        <v>72.489999999999995</v>
      </c>
      <c r="C417" s="80">
        <v>21.64</v>
      </c>
      <c r="D417" s="3">
        <v>2016</v>
      </c>
      <c r="E417" s="3">
        <v>7</v>
      </c>
      <c r="F417" s="3">
        <v>17</v>
      </c>
      <c r="G417" s="2">
        <v>4.6970000000000001</v>
      </c>
      <c r="H417" s="3" t="s">
        <v>26</v>
      </c>
      <c r="I417" s="14">
        <v>7</v>
      </c>
      <c r="J417" s="12">
        <v>9</v>
      </c>
      <c r="K417" s="12">
        <v>25</v>
      </c>
      <c r="L417" s="3" t="s">
        <v>27</v>
      </c>
    </row>
    <row r="418" spans="1:12" x14ac:dyDescent="0.3">
      <c r="A418" s="17">
        <v>417</v>
      </c>
      <c r="B418" s="80">
        <v>74.510300000000001</v>
      </c>
      <c r="C418" s="80">
        <v>25.752500000000001</v>
      </c>
      <c r="D418" s="3">
        <v>2016</v>
      </c>
      <c r="E418" s="3">
        <v>12</v>
      </c>
      <c r="F418" s="3">
        <v>26</v>
      </c>
      <c r="G418" s="2">
        <v>4.0705999999999998</v>
      </c>
      <c r="H418" s="3" t="s">
        <v>26</v>
      </c>
      <c r="I418" s="14">
        <v>10</v>
      </c>
      <c r="J418" s="12">
        <v>16</v>
      </c>
      <c r="K418" s="12">
        <v>17</v>
      </c>
      <c r="L418" s="3" t="s">
        <v>12</v>
      </c>
    </row>
    <row r="419" spans="1:12" x14ac:dyDescent="0.3">
      <c r="A419" s="17">
        <v>418</v>
      </c>
      <c r="B419" s="80">
        <v>74.239999999999995</v>
      </c>
      <c r="C419" s="80">
        <v>25.73</v>
      </c>
      <c r="D419" s="3">
        <v>2016</v>
      </c>
      <c r="E419" s="3">
        <v>12</v>
      </c>
      <c r="F419" s="3">
        <v>26</v>
      </c>
      <c r="G419" s="2">
        <v>4.0705999999999998</v>
      </c>
      <c r="H419" s="3" t="s">
        <v>26</v>
      </c>
      <c r="I419" s="14">
        <v>10</v>
      </c>
      <c r="J419" s="12">
        <v>21</v>
      </c>
      <c r="K419" s="12">
        <v>47</v>
      </c>
      <c r="L419" s="3" t="s">
        <v>27</v>
      </c>
    </row>
    <row r="420" spans="1:12" x14ac:dyDescent="0.3">
      <c r="A420" s="17">
        <v>419</v>
      </c>
      <c r="B420" s="80">
        <v>72.031000000000006</v>
      </c>
      <c r="C420" s="80">
        <v>24.653700000000001</v>
      </c>
      <c r="D420" s="3">
        <v>2017</v>
      </c>
      <c r="E420" s="3">
        <v>3</v>
      </c>
      <c r="F420" s="3">
        <v>13</v>
      </c>
      <c r="G420" s="2">
        <v>4.4083100000000002</v>
      </c>
      <c r="H420" s="3" t="s">
        <v>26</v>
      </c>
      <c r="I420" s="14">
        <v>10</v>
      </c>
      <c r="J420" s="12">
        <v>10</v>
      </c>
      <c r="K420" s="12">
        <v>22</v>
      </c>
      <c r="L420" s="3" t="s">
        <v>10</v>
      </c>
    </row>
    <row r="421" spans="1:12" x14ac:dyDescent="0.3">
      <c r="A421" s="17">
        <v>420</v>
      </c>
      <c r="B421" s="80">
        <v>72.900000000000006</v>
      </c>
      <c r="C421" s="80">
        <v>24.54</v>
      </c>
      <c r="D421" s="3">
        <v>2017</v>
      </c>
      <c r="E421" s="3">
        <v>3</v>
      </c>
      <c r="F421" s="3">
        <v>13</v>
      </c>
      <c r="G421" s="2">
        <v>4.7665999999999995</v>
      </c>
      <c r="H421" s="3" t="s">
        <v>26</v>
      </c>
      <c r="I421" s="14">
        <v>10</v>
      </c>
      <c r="J421" s="12">
        <v>15</v>
      </c>
      <c r="K421" s="12">
        <v>52</v>
      </c>
      <c r="L421" s="3" t="s">
        <v>27</v>
      </c>
    </row>
    <row r="422" spans="1:12" x14ac:dyDescent="0.3">
      <c r="A422" s="17">
        <v>421</v>
      </c>
      <c r="B422" s="80">
        <v>77.128</v>
      </c>
      <c r="C422" s="80">
        <v>19.512</v>
      </c>
      <c r="D422" s="3">
        <v>2017</v>
      </c>
      <c r="E422" s="3">
        <v>8</v>
      </c>
      <c r="F422" s="3">
        <v>16</v>
      </c>
      <c r="G422" s="2">
        <v>3.8618000000000001</v>
      </c>
      <c r="H422" s="3" t="s">
        <v>26</v>
      </c>
      <c r="I422" s="14">
        <v>10</v>
      </c>
      <c r="J422" s="12">
        <v>6</v>
      </c>
      <c r="K422" s="12">
        <v>35</v>
      </c>
      <c r="L422" s="3" t="s">
        <v>12</v>
      </c>
    </row>
    <row r="423" spans="1:12" x14ac:dyDescent="0.3">
      <c r="A423" s="17">
        <v>422</v>
      </c>
      <c r="B423" s="80">
        <v>77.13</v>
      </c>
      <c r="C423" s="80">
        <v>19.510000000000002</v>
      </c>
      <c r="D423" s="3">
        <v>2017</v>
      </c>
      <c r="E423" s="3">
        <v>8</v>
      </c>
      <c r="F423" s="3">
        <v>16</v>
      </c>
      <c r="G423" s="2">
        <v>3.8618000000000001</v>
      </c>
      <c r="H423" s="3" t="s">
        <v>26</v>
      </c>
      <c r="I423" s="14">
        <v>10</v>
      </c>
      <c r="J423" s="12">
        <v>12</v>
      </c>
      <c r="K423" s="12">
        <v>5</v>
      </c>
      <c r="L423" s="3" t="s">
        <v>27</v>
      </c>
    </row>
    <row r="424" spans="1:12" x14ac:dyDescent="0.3">
      <c r="A424" s="17">
        <v>423</v>
      </c>
      <c r="B424" s="80">
        <v>73.967600000000004</v>
      </c>
      <c r="C424" s="80">
        <v>26.1769</v>
      </c>
      <c r="D424" s="3">
        <v>2017</v>
      </c>
      <c r="E424" s="3">
        <v>11</v>
      </c>
      <c r="F424" s="3">
        <v>18</v>
      </c>
      <c r="G424" s="2">
        <v>4.4882</v>
      </c>
      <c r="H424" s="3" t="s">
        <v>26</v>
      </c>
      <c r="I424" s="14">
        <v>10</v>
      </c>
      <c r="J424" s="12">
        <v>9</v>
      </c>
      <c r="K424" s="12">
        <v>51</v>
      </c>
      <c r="L424" s="3" t="s">
        <v>12</v>
      </c>
    </row>
    <row r="425" spans="1:12" x14ac:dyDescent="0.3">
      <c r="A425" s="17">
        <v>424</v>
      </c>
      <c r="B425" s="80">
        <v>73.86</v>
      </c>
      <c r="C425" s="80">
        <v>26.29</v>
      </c>
      <c r="D425" s="3">
        <v>2017</v>
      </c>
      <c r="E425" s="3">
        <v>11</v>
      </c>
      <c r="F425" s="3">
        <v>18</v>
      </c>
      <c r="G425" s="2">
        <v>4.4882</v>
      </c>
      <c r="H425" s="3" t="s">
        <v>26</v>
      </c>
      <c r="I425" s="14">
        <v>12</v>
      </c>
      <c r="J425" s="12">
        <v>15</v>
      </c>
      <c r="K425" s="12">
        <v>21</v>
      </c>
      <c r="L425" s="3" t="s">
        <v>27</v>
      </c>
    </row>
    <row r="426" spans="1:12" x14ac:dyDescent="0.3">
      <c r="A426" s="17">
        <v>425</v>
      </c>
      <c r="B426" s="80">
        <v>73.186000000000007</v>
      </c>
      <c r="C426" s="80">
        <v>19.795000000000002</v>
      </c>
      <c r="D426" s="3">
        <v>2017</v>
      </c>
      <c r="E426" s="3">
        <v>12</v>
      </c>
      <c r="F426" s="3">
        <v>25</v>
      </c>
      <c r="G426" s="2">
        <v>3.8618000000000001</v>
      </c>
      <c r="H426" s="3" t="s">
        <v>26</v>
      </c>
      <c r="I426" s="14">
        <v>10</v>
      </c>
      <c r="J426" s="12">
        <v>4</v>
      </c>
      <c r="K426" s="12">
        <v>14</v>
      </c>
      <c r="L426" s="3" t="s">
        <v>12</v>
      </c>
    </row>
    <row r="427" spans="1:12" x14ac:dyDescent="0.3">
      <c r="A427" s="17">
        <v>426</v>
      </c>
      <c r="B427" s="80">
        <v>73.19</v>
      </c>
      <c r="C427" s="80">
        <v>19.8</v>
      </c>
      <c r="D427" s="3">
        <v>2017</v>
      </c>
      <c r="E427" s="3">
        <v>12</v>
      </c>
      <c r="F427" s="3">
        <v>25</v>
      </c>
      <c r="G427" s="2">
        <v>3.8618000000000001</v>
      </c>
      <c r="H427" s="3" t="s">
        <v>26</v>
      </c>
      <c r="I427" s="14">
        <v>10</v>
      </c>
      <c r="J427" s="12">
        <v>9</v>
      </c>
      <c r="K427" s="12">
        <v>44</v>
      </c>
      <c r="L427" s="3" t="s">
        <v>27</v>
      </c>
    </row>
    <row r="428" spans="1:12" x14ac:dyDescent="0.3">
      <c r="A428" s="17">
        <v>427</v>
      </c>
      <c r="B428" s="80">
        <v>73.27</v>
      </c>
      <c r="C428" s="80">
        <v>19.824999999999999</v>
      </c>
      <c r="D428" s="3">
        <v>2018</v>
      </c>
      <c r="E428" s="3">
        <v>1</v>
      </c>
      <c r="F428" s="3">
        <v>1</v>
      </c>
      <c r="G428" s="2">
        <v>3.5</v>
      </c>
      <c r="H428" s="3" t="s">
        <v>26</v>
      </c>
      <c r="I428" s="14">
        <v>10</v>
      </c>
      <c r="J428" s="12">
        <v>20</v>
      </c>
      <c r="K428" s="12">
        <v>51</v>
      </c>
      <c r="L428" s="3" t="s">
        <v>12</v>
      </c>
    </row>
    <row r="429" spans="1:12" x14ac:dyDescent="0.3">
      <c r="A429" s="17">
        <v>428</v>
      </c>
      <c r="B429" s="80">
        <v>73.27</v>
      </c>
      <c r="C429" s="80">
        <v>19.829999999999998</v>
      </c>
      <c r="D429" s="3">
        <v>2018</v>
      </c>
      <c r="E429" s="3">
        <v>1</v>
      </c>
      <c r="F429" s="3">
        <v>2</v>
      </c>
      <c r="G429" s="2">
        <v>3.5</v>
      </c>
      <c r="H429" s="3" t="s">
        <v>26</v>
      </c>
      <c r="I429" s="14">
        <v>10</v>
      </c>
      <c r="J429" s="12">
        <v>2</v>
      </c>
      <c r="K429" s="12">
        <v>21</v>
      </c>
      <c r="L429" s="3" t="s">
        <v>27</v>
      </c>
    </row>
    <row r="430" spans="1:12" x14ac:dyDescent="0.3">
      <c r="A430" s="17">
        <v>429</v>
      </c>
      <c r="B430" s="80">
        <v>73.314099999999996</v>
      </c>
      <c r="C430" s="80">
        <v>21.6568</v>
      </c>
      <c r="D430" s="3">
        <v>2018</v>
      </c>
      <c r="E430" s="3">
        <v>4</v>
      </c>
      <c r="F430" s="3">
        <v>21</v>
      </c>
      <c r="G430" s="2">
        <v>3.8</v>
      </c>
      <c r="H430" s="3" t="s">
        <v>26</v>
      </c>
      <c r="I430" s="14">
        <v>10</v>
      </c>
      <c r="J430" s="12">
        <v>11</v>
      </c>
      <c r="K430" s="12">
        <v>26</v>
      </c>
      <c r="L430" s="3" t="s">
        <v>12</v>
      </c>
    </row>
    <row r="431" spans="1:12" x14ac:dyDescent="0.3">
      <c r="A431" s="17">
        <v>430</v>
      </c>
      <c r="B431" s="80">
        <v>73.17</v>
      </c>
      <c r="C431" s="80">
        <v>21.59</v>
      </c>
      <c r="D431" s="3">
        <v>2018</v>
      </c>
      <c r="E431" s="3">
        <v>4</v>
      </c>
      <c r="F431" s="3">
        <v>21</v>
      </c>
      <c r="G431" s="2">
        <v>3.8</v>
      </c>
      <c r="H431" s="3" t="s">
        <v>26</v>
      </c>
      <c r="I431" s="14">
        <v>6</v>
      </c>
      <c r="J431" s="12">
        <v>16</v>
      </c>
      <c r="K431" s="12">
        <v>56</v>
      </c>
      <c r="L431" s="3" t="s">
        <v>27</v>
      </c>
    </row>
    <row r="432" spans="1:12" x14ac:dyDescent="0.3">
      <c r="A432" s="17">
        <v>431</v>
      </c>
      <c r="B432" s="80">
        <v>73.194000000000003</v>
      </c>
      <c r="C432" s="80">
        <v>19.138999999999999</v>
      </c>
      <c r="D432" s="3">
        <v>2018</v>
      </c>
      <c r="E432" s="3">
        <v>7</v>
      </c>
      <c r="F432" s="3">
        <v>13</v>
      </c>
      <c r="G432" s="2">
        <v>3.1</v>
      </c>
      <c r="H432" s="3" t="s">
        <v>26</v>
      </c>
      <c r="I432" s="14">
        <v>17.399999999999999</v>
      </c>
      <c r="J432" s="12">
        <v>16</v>
      </c>
      <c r="K432" s="12">
        <v>1</v>
      </c>
      <c r="L432" s="3" t="s">
        <v>12</v>
      </c>
    </row>
    <row r="433" spans="1:12" x14ac:dyDescent="0.3">
      <c r="A433" s="17">
        <v>432</v>
      </c>
      <c r="B433" s="80">
        <v>73.19</v>
      </c>
      <c r="C433" s="80">
        <v>19.14</v>
      </c>
      <c r="D433" s="3">
        <v>2018</v>
      </c>
      <c r="E433" s="3">
        <v>7</v>
      </c>
      <c r="F433" s="3">
        <v>13</v>
      </c>
      <c r="G433" s="2">
        <v>3.1</v>
      </c>
      <c r="H433" s="3" t="s">
        <v>26</v>
      </c>
      <c r="I433" s="14">
        <v>17</v>
      </c>
      <c r="J433" s="12">
        <v>21</v>
      </c>
      <c r="K433" s="12">
        <v>31</v>
      </c>
      <c r="L433" s="3" t="s">
        <v>27</v>
      </c>
    </row>
    <row r="434" spans="1:12" x14ac:dyDescent="0.3">
      <c r="A434" s="17">
        <v>433</v>
      </c>
      <c r="B434" s="80">
        <v>77.566999999999993</v>
      </c>
      <c r="C434" s="80">
        <v>19.870999999999999</v>
      </c>
      <c r="D434" s="3">
        <v>2018</v>
      </c>
      <c r="E434" s="3">
        <v>11</v>
      </c>
      <c r="F434" s="3">
        <v>4</v>
      </c>
      <c r="G434" s="2">
        <v>3.1</v>
      </c>
      <c r="H434" s="3" t="s">
        <v>26</v>
      </c>
      <c r="I434" s="14">
        <v>10</v>
      </c>
      <c r="J434" s="12">
        <v>18</v>
      </c>
      <c r="K434" s="12">
        <v>52</v>
      </c>
      <c r="L434" s="3" t="s">
        <v>12</v>
      </c>
    </row>
    <row r="435" spans="1:12" x14ac:dyDescent="0.3">
      <c r="A435" s="17">
        <v>434</v>
      </c>
      <c r="B435" s="80">
        <v>76.599999999999994</v>
      </c>
      <c r="C435" s="80">
        <v>20.2</v>
      </c>
      <c r="D435" s="3">
        <v>2018</v>
      </c>
      <c r="E435" s="3">
        <v>11</v>
      </c>
      <c r="F435" s="3">
        <v>5</v>
      </c>
      <c r="G435" s="2">
        <v>3.9314</v>
      </c>
      <c r="H435" s="3" t="s">
        <v>26</v>
      </c>
      <c r="I435" s="14">
        <v>10</v>
      </c>
      <c r="J435" s="12">
        <v>0</v>
      </c>
      <c r="K435" s="12">
        <v>22</v>
      </c>
      <c r="L435" s="3" t="s">
        <v>27</v>
      </c>
    </row>
    <row r="436" spans="1:12" x14ac:dyDescent="0.3">
      <c r="A436" s="17">
        <v>435</v>
      </c>
      <c r="B436" s="80">
        <v>77.159000000000006</v>
      </c>
      <c r="C436" s="80">
        <v>19.873999999999999</v>
      </c>
      <c r="D436" s="3">
        <v>2018</v>
      </c>
      <c r="E436" s="3">
        <v>11</v>
      </c>
      <c r="F436" s="3">
        <v>10</v>
      </c>
      <c r="G436" s="2">
        <v>3.1</v>
      </c>
      <c r="H436" s="3" t="s">
        <v>26</v>
      </c>
      <c r="I436" s="14">
        <v>10</v>
      </c>
      <c r="J436" s="12">
        <v>0</v>
      </c>
      <c r="K436" s="12">
        <v>19</v>
      </c>
      <c r="L436" s="3" t="s">
        <v>12</v>
      </c>
    </row>
    <row r="437" spans="1:12" x14ac:dyDescent="0.3">
      <c r="A437" s="17">
        <v>436</v>
      </c>
      <c r="B437" s="80">
        <v>77.16</v>
      </c>
      <c r="C437" s="80">
        <v>19.87</v>
      </c>
      <c r="D437" s="3">
        <v>2018</v>
      </c>
      <c r="E437" s="3">
        <v>11</v>
      </c>
      <c r="F437" s="3">
        <v>10</v>
      </c>
      <c r="G437" s="2">
        <v>3.9314</v>
      </c>
      <c r="H437" s="3" t="s">
        <v>26</v>
      </c>
      <c r="I437" s="14">
        <v>10</v>
      </c>
      <c r="J437" s="12">
        <v>5</v>
      </c>
      <c r="K437" s="12">
        <v>49</v>
      </c>
      <c r="L437" s="3" t="s">
        <v>27</v>
      </c>
    </row>
    <row r="438" spans="1:12" x14ac:dyDescent="0.3">
      <c r="A438" s="17">
        <v>437</v>
      </c>
      <c r="B438" s="80">
        <v>72.731999999999999</v>
      </c>
      <c r="C438" s="80">
        <v>19.978000000000002</v>
      </c>
      <c r="D438" s="3">
        <v>2018</v>
      </c>
      <c r="E438" s="3">
        <v>11</v>
      </c>
      <c r="F438" s="3">
        <v>11</v>
      </c>
      <c r="G438" s="2">
        <v>3.1</v>
      </c>
      <c r="H438" s="3" t="s">
        <v>26</v>
      </c>
      <c r="I438" s="14">
        <v>10</v>
      </c>
      <c r="J438" s="12">
        <v>12</v>
      </c>
      <c r="K438" s="12">
        <v>55</v>
      </c>
      <c r="L438" s="3" t="s">
        <v>12</v>
      </c>
    </row>
    <row r="439" spans="1:12" x14ac:dyDescent="0.3">
      <c r="A439" s="17">
        <v>438</v>
      </c>
      <c r="B439" s="80">
        <v>72.73</v>
      </c>
      <c r="C439" s="80">
        <v>19.98</v>
      </c>
      <c r="D439" s="3">
        <v>2018</v>
      </c>
      <c r="E439" s="3">
        <v>11</v>
      </c>
      <c r="F439" s="3">
        <v>11</v>
      </c>
      <c r="G439" s="2">
        <v>4.2097999999999995</v>
      </c>
      <c r="H439" s="3" t="s">
        <v>26</v>
      </c>
      <c r="I439" s="14">
        <v>10</v>
      </c>
      <c r="J439" s="12">
        <v>18</v>
      </c>
      <c r="K439" s="12">
        <v>25</v>
      </c>
      <c r="L439" s="3" t="s">
        <v>27</v>
      </c>
    </row>
    <row r="440" spans="1:12" x14ac:dyDescent="0.3">
      <c r="A440" s="17">
        <v>439</v>
      </c>
      <c r="B440" s="80">
        <v>72.721000000000004</v>
      </c>
      <c r="C440" s="80">
        <v>19.907</v>
      </c>
      <c r="D440" s="3">
        <v>2018</v>
      </c>
      <c r="E440" s="3">
        <v>11</v>
      </c>
      <c r="F440" s="3">
        <v>24</v>
      </c>
      <c r="G440" s="2">
        <v>3.2</v>
      </c>
      <c r="H440" s="3" t="s">
        <v>26</v>
      </c>
      <c r="I440" s="14">
        <v>5</v>
      </c>
      <c r="J440" s="12">
        <v>9</v>
      </c>
      <c r="K440" s="12">
        <v>45</v>
      </c>
      <c r="L440" s="3" t="s">
        <v>12</v>
      </c>
    </row>
    <row r="441" spans="1:12" x14ac:dyDescent="0.3">
      <c r="A441" s="17">
        <v>440</v>
      </c>
      <c r="B441" s="80">
        <v>72.739999999999995</v>
      </c>
      <c r="C441" s="80">
        <v>19.86</v>
      </c>
      <c r="D441" s="3">
        <v>2018</v>
      </c>
      <c r="E441" s="3">
        <v>11</v>
      </c>
      <c r="F441" s="3">
        <v>24</v>
      </c>
      <c r="G441" s="2">
        <v>4.0009999999999994</v>
      </c>
      <c r="H441" s="3" t="s">
        <v>26</v>
      </c>
      <c r="I441" s="14">
        <v>5</v>
      </c>
      <c r="J441" s="12">
        <v>15</v>
      </c>
      <c r="K441" s="12">
        <v>15</v>
      </c>
      <c r="L441" s="3" t="s">
        <v>27</v>
      </c>
    </row>
    <row r="442" spans="1:12" x14ac:dyDescent="0.3">
      <c r="A442" s="17">
        <v>441</v>
      </c>
      <c r="B442" s="80">
        <v>72.872</v>
      </c>
      <c r="C442" s="80">
        <v>19.89</v>
      </c>
      <c r="D442" s="3">
        <v>2018</v>
      </c>
      <c r="E442" s="3">
        <v>12</v>
      </c>
      <c r="F442" s="3">
        <v>1</v>
      </c>
      <c r="G442" s="2">
        <v>3.8618000000000001</v>
      </c>
      <c r="H442" s="3" t="s">
        <v>26</v>
      </c>
      <c r="I442" s="14">
        <v>5</v>
      </c>
      <c r="J442" s="12">
        <v>20</v>
      </c>
      <c r="K442" s="12">
        <v>35</v>
      </c>
      <c r="L442" s="3" t="s">
        <v>12</v>
      </c>
    </row>
    <row r="443" spans="1:12" x14ac:dyDescent="0.3">
      <c r="A443" s="17">
        <v>442</v>
      </c>
      <c r="B443" s="80">
        <v>72.87</v>
      </c>
      <c r="C443" s="80">
        <v>19.89</v>
      </c>
      <c r="D443" s="3">
        <v>2018</v>
      </c>
      <c r="E443" s="3">
        <v>12</v>
      </c>
      <c r="F443" s="3">
        <v>2</v>
      </c>
      <c r="G443" s="2">
        <v>2.9</v>
      </c>
      <c r="H443" s="3" t="s">
        <v>26</v>
      </c>
      <c r="I443" s="14">
        <v>5</v>
      </c>
      <c r="J443" s="12">
        <v>2</v>
      </c>
      <c r="K443" s="12">
        <v>5</v>
      </c>
      <c r="L443" s="3" t="s">
        <v>27</v>
      </c>
    </row>
    <row r="444" spans="1:12" x14ac:dyDescent="0.3">
      <c r="A444" s="17">
        <v>443</v>
      </c>
      <c r="B444" s="80">
        <v>72.66</v>
      </c>
      <c r="C444" s="80">
        <v>19.919</v>
      </c>
      <c r="D444" s="3">
        <v>2018</v>
      </c>
      <c r="E444" s="3">
        <v>12</v>
      </c>
      <c r="F444" s="3">
        <v>4</v>
      </c>
      <c r="G444" s="2">
        <v>3.8618000000000001</v>
      </c>
      <c r="H444" s="3" t="s">
        <v>26</v>
      </c>
      <c r="I444" s="14">
        <v>10</v>
      </c>
      <c r="J444" s="12">
        <v>15</v>
      </c>
      <c r="K444" s="12">
        <v>54</v>
      </c>
      <c r="L444" s="3" t="s">
        <v>12</v>
      </c>
    </row>
    <row r="445" spans="1:12" x14ac:dyDescent="0.3">
      <c r="A445" s="17">
        <v>444</v>
      </c>
      <c r="B445" s="80">
        <v>72.66</v>
      </c>
      <c r="C445" s="80">
        <v>19.920000000000002</v>
      </c>
      <c r="D445" s="3">
        <v>2018</v>
      </c>
      <c r="E445" s="3">
        <v>12</v>
      </c>
      <c r="F445" s="3">
        <v>4</v>
      </c>
      <c r="G445" s="2">
        <v>2.9</v>
      </c>
      <c r="H445" s="3" t="s">
        <v>26</v>
      </c>
      <c r="I445" s="14">
        <v>10</v>
      </c>
      <c r="J445" s="12">
        <v>21</v>
      </c>
      <c r="K445" s="12">
        <v>24</v>
      </c>
      <c r="L445" s="3" t="s">
        <v>27</v>
      </c>
    </row>
    <row r="446" spans="1:12" x14ac:dyDescent="0.3">
      <c r="A446" s="17">
        <v>445</v>
      </c>
      <c r="B446" s="80">
        <v>72.832999999999998</v>
      </c>
      <c r="C446" s="80">
        <v>19.97</v>
      </c>
      <c r="D446" s="3">
        <v>2018</v>
      </c>
      <c r="E446" s="3">
        <v>12</v>
      </c>
      <c r="F446" s="3">
        <v>7</v>
      </c>
      <c r="G446" s="2">
        <v>3</v>
      </c>
      <c r="H446" s="3" t="s">
        <v>26</v>
      </c>
      <c r="I446" s="14">
        <v>10</v>
      </c>
      <c r="J446" s="12">
        <v>22</v>
      </c>
      <c r="K446" s="12">
        <v>18</v>
      </c>
      <c r="L446" s="3" t="s">
        <v>12</v>
      </c>
    </row>
    <row r="447" spans="1:12" x14ac:dyDescent="0.3">
      <c r="A447" s="17">
        <v>446</v>
      </c>
      <c r="B447" s="80">
        <v>72.83</v>
      </c>
      <c r="C447" s="80">
        <v>19.97</v>
      </c>
      <c r="D447" s="3">
        <v>2018</v>
      </c>
      <c r="E447" s="3">
        <v>12</v>
      </c>
      <c r="F447" s="3">
        <v>8</v>
      </c>
      <c r="G447" s="2">
        <v>3</v>
      </c>
      <c r="H447" s="3" t="s">
        <v>26</v>
      </c>
      <c r="I447" s="14">
        <v>10</v>
      </c>
      <c r="J447" s="12">
        <v>3</v>
      </c>
      <c r="K447" s="12">
        <v>48</v>
      </c>
      <c r="L447" s="3" t="s">
        <v>27</v>
      </c>
    </row>
    <row r="448" spans="1:12" x14ac:dyDescent="0.3">
      <c r="A448" s="17">
        <v>447</v>
      </c>
      <c r="B448" s="80">
        <v>72.807000000000002</v>
      </c>
      <c r="C448" s="80">
        <v>19.995999999999999</v>
      </c>
      <c r="D448" s="3">
        <v>2018</v>
      </c>
      <c r="E448" s="3">
        <v>12</v>
      </c>
      <c r="F448" s="3">
        <v>14</v>
      </c>
      <c r="G448" s="2">
        <v>3.1</v>
      </c>
      <c r="H448" s="3" t="s">
        <v>26</v>
      </c>
      <c r="I448" s="14">
        <v>10</v>
      </c>
      <c r="J448" s="12">
        <v>10</v>
      </c>
      <c r="K448" s="12">
        <v>3</v>
      </c>
      <c r="L448" s="3" t="s">
        <v>12</v>
      </c>
    </row>
    <row r="449" spans="1:12" x14ac:dyDescent="0.3">
      <c r="A449" s="17">
        <v>448</v>
      </c>
      <c r="B449" s="80">
        <v>72.691999999999993</v>
      </c>
      <c r="C449" s="80">
        <v>20.001999999999999</v>
      </c>
      <c r="D449" s="3">
        <v>2018</v>
      </c>
      <c r="E449" s="3">
        <v>12</v>
      </c>
      <c r="F449" s="3">
        <v>29</v>
      </c>
      <c r="G449" s="2">
        <v>3</v>
      </c>
      <c r="H449" s="3" t="s">
        <v>26</v>
      </c>
      <c r="I449" s="14">
        <v>19.899999999999999</v>
      </c>
      <c r="J449" s="12">
        <v>12</v>
      </c>
      <c r="K449" s="12">
        <v>59</v>
      </c>
      <c r="L449" s="3" t="s">
        <v>12</v>
      </c>
    </row>
    <row r="450" spans="1:12" x14ac:dyDescent="0.3">
      <c r="A450" s="17">
        <v>449</v>
      </c>
      <c r="B450" s="80">
        <v>72.69</v>
      </c>
      <c r="C450" s="80">
        <v>20</v>
      </c>
      <c r="D450" s="3">
        <v>2018</v>
      </c>
      <c r="E450" s="3">
        <v>12</v>
      </c>
      <c r="F450" s="3">
        <v>29</v>
      </c>
      <c r="G450" s="2">
        <v>3</v>
      </c>
      <c r="H450" s="3" t="s">
        <v>26</v>
      </c>
      <c r="I450" s="14">
        <v>19</v>
      </c>
      <c r="J450" s="12">
        <v>18</v>
      </c>
      <c r="K450" s="12">
        <v>29</v>
      </c>
      <c r="L450" s="3" t="s">
        <v>27</v>
      </c>
    </row>
    <row r="451" spans="1:12" x14ac:dyDescent="0.3">
      <c r="A451" s="17">
        <v>450</v>
      </c>
      <c r="B451" s="80">
        <v>72.977000000000004</v>
      </c>
      <c r="C451" s="80">
        <v>20.009</v>
      </c>
      <c r="D451" s="3">
        <v>2019</v>
      </c>
      <c r="E451" s="3">
        <v>1</v>
      </c>
      <c r="F451" s="3">
        <v>20</v>
      </c>
      <c r="G451" s="2">
        <v>3.6</v>
      </c>
      <c r="H451" s="3" t="s">
        <v>26</v>
      </c>
      <c r="I451" s="14">
        <v>10</v>
      </c>
      <c r="J451" s="12">
        <v>13</v>
      </c>
      <c r="K451" s="12">
        <v>8</v>
      </c>
      <c r="L451" s="3" t="s">
        <v>12</v>
      </c>
    </row>
    <row r="452" spans="1:12" x14ac:dyDescent="0.3">
      <c r="A452" s="17">
        <v>451</v>
      </c>
      <c r="B452" s="80">
        <v>72.712000000000003</v>
      </c>
      <c r="C452" s="80">
        <v>19.779</v>
      </c>
      <c r="D452" s="3">
        <v>2019</v>
      </c>
      <c r="E452" s="3">
        <v>1</v>
      </c>
      <c r="F452" s="3">
        <v>20</v>
      </c>
      <c r="G452" s="2">
        <v>3</v>
      </c>
      <c r="H452" s="3" t="s">
        <v>26</v>
      </c>
      <c r="I452" s="14">
        <v>7.7</v>
      </c>
      <c r="J452" s="12">
        <v>15</v>
      </c>
      <c r="K452" s="12">
        <v>29</v>
      </c>
      <c r="L452" s="3" t="s">
        <v>12</v>
      </c>
    </row>
    <row r="453" spans="1:12" x14ac:dyDescent="0.3">
      <c r="A453" s="17">
        <v>452</v>
      </c>
      <c r="B453" s="80">
        <v>72.98</v>
      </c>
      <c r="C453" s="80">
        <v>20.100000000000001</v>
      </c>
      <c r="D453" s="3">
        <v>2019</v>
      </c>
      <c r="E453" s="3">
        <v>1</v>
      </c>
      <c r="F453" s="3">
        <v>20</v>
      </c>
      <c r="G453" s="2">
        <v>3.6</v>
      </c>
      <c r="H453" s="3" t="s">
        <v>26</v>
      </c>
      <c r="I453" s="14">
        <v>10</v>
      </c>
      <c r="J453" s="12">
        <v>18</v>
      </c>
      <c r="K453" s="12">
        <v>38</v>
      </c>
      <c r="L453" s="3" t="s">
        <v>27</v>
      </c>
    </row>
    <row r="454" spans="1:12" x14ac:dyDescent="0.3">
      <c r="A454" s="17">
        <v>453</v>
      </c>
      <c r="B454" s="80">
        <v>72.709999999999994</v>
      </c>
      <c r="C454" s="80">
        <v>19.78</v>
      </c>
      <c r="D454" s="3">
        <v>2019</v>
      </c>
      <c r="E454" s="3">
        <v>1</v>
      </c>
      <c r="F454" s="3">
        <v>20</v>
      </c>
      <c r="G454" s="2">
        <v>3</v>
      </c>
      <c r="H454" s="3" t="s">
        <v>26</v>
      </c>
      <c r="I454" s="14">
        <v>7</v>
      </c>
      <c r="J454" s="12">
        <v>20</v>
      </c>
      <c r="K454" s="12">
        <v>59</v>
      </c>
      <c r="L454" s="3" t="s">
        <v>27</v>
      </c>
    </row>
    <row r="455" spans="1:12" x14ac:dyDescent="0.3">
      <c r="A455" s="17">
        <v>454</v>
      </c>
      <c r="B455" s="80">
        <v>72.793999999999997</v>
      </c>
      <c r="C455" s="80">
        <v>19.904</v>
      </c>
      <c r="D455" s="3">
        <v>2019</v>
      </c>
      <c r="E455" s="3">
        <v>1</v>
      </c>
      <c r="F455" s="3">
        <v>24</v>
      </c>
      <c r="G455" s="2">
        <v>3.4</v>
      </c>
      <c r="H455" s="3" t="s">
        <v>26</v>
      </c>
      <c r="I455" s="14">
        <v>3.9</v>
      </c>
      <c r="J455" s="12">
        <v>3</v>
      </c>
      <c r="K455" s="12">
        <v>45</v>
      </c>
      <c r="L455" s="3" t="s">
        <v>12</v>
      </c>
    </row>
    <row r="456" spans="1:12" x14ac:dyDescent="0.3">
      <c r="A456" s="17">
        <v>455</v>
      </c>
      <c r="B456" s="80">
        <v>72.790000000000006</v>
      </c>
      <c r="C456" s="80">
        <v>19.899999999999999</v>
      </c>
      <c r="D456" s="3">
        <v>2019</v>
      </c>
      <c r="E456" s="3">
        <v>1</v>
      </c>
      <c r="F456" s="3">
        <v>24</v>
      </c>
      <c r="G456" s="2">
        <v>3.4</v>
      </c>
      <c r="H456" s="3" t="s">
        <v>26</v>
      </c>
      <c r="I456" s="14">
        <v>3</v>
      </c>
      <c r="J456" s="12">
        <v>9</v>
      </c>
      <c r="K456" s="12">
        <v>15</v>
      </c>
      <c r="L456" s="3" t="s">
        <v>27</v>
      </c>
    </row>
    <row r="457" spans="1:12" x14ac:dyDescent="0.3">
      <c r="A457" s="17">
        <v>456</v>
      </c>
      <c r="B457" s="80">
        <v>72.816000000000003</v>
      </c>
      <c r="C457" s="80">
        <v>20.010000000000002</v>
      </c>
      <c r="D457" s="3">
        <v>2019</v>
      </c>
      <c r="E457" s="3">
        <v>2</v>
      </c>
      <c r="F457" s="3">
        <v>1</v>
      </c>
      <c r="G457" s="2">
        <v>3.4</v>
      </c>
      <c r="H457" s="3" t="s">
        <v>26</v>
      </c>
      <c r="I457" s="14">
        <v>16</v>
      </c>
      <c r="J457" s="12">
        <v>1</v>
      </c>
      <c r="K457" s="12">
        <v>28</v>
      </c>
      <c r="L457" s="3" t="s">
        <v>12</v>
      </c>
    </row>
    <row r="458" spans="1:12" x14ac:dyDescent="0.3">
      <c r="A458" s="17">
        <v>457</v>
      </c>
      <c r="B458" s="80">
        <v>72.81</v>
      </c>
      <c r="C458" s="80">
        <v>20.016999999999999</v>
      </c>
      <c r="D458" s="3">
        <v>2019</v>
      </c>
      <c r="E458" s="3">
        <v>2</v>
      </c>
      <c r="F458" s="3">
        <v>1</v>
      </c>
      <c r="G458" s="2">
        <v>3.5</v>
      </c>
      <c r="H458" s="3" t="s">
        <v>26</v>
      </c>
      <c r="I458" s="14">
        <v>5</v>
      </c>
      <c r="J458" s="12">
        <v>4</v>
      </c>
      <c r="K458" s="12">
        <v>33</v>
      </c>
      <c r="L458" s="3" t="s">
        <v>12</v>
      </c>
    </row>
    <row r="459" spans="1:12" x14ac:dyDescent="0.3">
      <c r="A459" s="17">
        <v>458</v>
      </c>
      <c r="B459" s="80">
        <v>72.751999999999995</v>
      </c>
      <c r="C459" s="80">
        <v>20.07</v>
      </c>
      <c r="D459" s="3">
        <v>2019</v>
      </c>
      <c r="E459" s="3">
        <v>2</v>
      </c>
      <c r="F459" s="3">
        <v>1</v>
      </c>
      <c r="G459" s="2">
        <v>3.1</v>
      </c>
      <c r="H459" s="3" t="s">
        <v>26</v>
      </c>
      <c r="I459" s="14">
        <v>14.2</v>
      </c>
      <c r="J459" s="12">
        <v>4</v>
      </c>
      <c r="K459" s="12">
        <v>59</v>
      </c>
      <c r="L459" s="3" t="s">
        <v>12</v>
      </c>
    </row>
    <row r="460" spans="1:12" x14ac:dyDescent="0.3">
      <c r="A460" s="17">
        <v>459</v>
      </c>
      <c r="B460" s="80">
        <v>72.819999999999993</v>
      </c>
      <c r="C460" s="80">
        <v>20.100000000000001</v>
      </c>
      <c r="D460" s="3">
        <v>2019</v>
      </c>
      <c r="E460" s="3">
        <v>2</v>
      </c>
      <c r="F460" s="3">
        <v>1</v>
      </c>
      <c r="G460" s="2">
        <v>3.4</v>
      </c>
      <c r="H460" s="3" t="s">
        <v>26</v>
      </c>
      <c r="I460" s="14">
        <v>16</v>
      </c>
      <c r="J460" s="12">
        <v>6</v>
      </c>
      <c r="K460" s="12">
        <v>58</v>
      </c>
      <c r="L460" s="3" t="s">
        <v>27</v>
      </c>
    </row>
    <row r="461" spans="1:12" x14ac:dyDescent="0.3">
      <c r="A461" s="17">
        <v>460</v>
      </c>
      <c r="B461" s="80">
        <v>72.853999999999999</v>
      </c>
      <c r="C461" s="80">
        <v>19.978999999999999</v>
      </c>
      <c r="D461" s="3">
        <v>2019</v>
      </c>
      <c r="E461" s="3">
        <v>2</v>
      </c>
      <c r="F461" s="3">
        <v>1</v>
      </c>
      <c r="G461" s="2">
        <v>3.5</v>
      </c>
      <c r="H461" s="3" t="s">
        <v>26</v>
      </c>
      <c r="I461" s="14">
        <v>6.1</v>
      </c>
      <c r="J461" s="12">
        <v>8</v>
      </c>
      <c r="K461" s="12">
        <v>36</v>
      </c>
      <c r="L461" s="3" t="s">
        <v>12</v>
      </c>
    </row>
    <row r="462" spans="1:12" x14ac:dyDescent="0.3">
      <c r="A462" s="17">
        <v>461</v>
      </c>
      <c r="B462" s="80">
        <v>72.81</v>
      </c>
      <c r="C462" s="80">
        <v>20.2</v>
      </c>
      <c r="D462" s="3">
        <v>2019</v>
      </c>
      <c r="E462" s="3">
        <v>2</v>
      </c>
      <c r="F462" s="3">
        <v>1</v>
      </c>
      <c r="G462" s="2">
        <v>3.5</v>
      </c>
      <c r="H462" s="3" t="s">
        <v>26</v>
      </c>
      <c r="I462" s="14">
        <v>5</v>
      </c>
      <c r="J462" s="12">
        <v>10</v>
      </c>
      <c r="K462" s="12">
        <v>3</v>
      </c>
      <c r="L462" s="3" t="s">
        <v>27</v>
      </c>
    </row>
    <row r="463" spans="1:12" x14ac:dyDescent="0.3">
      <c r="A463" s="17">
        <v>462</v>
      </c>
      <c r="B463" s="80">
        <v>72.756</v>
      </c>
      <c r="C463" s="80">
        <v>19.923999999999999</v>
      </c>
      <c r="D463" s="3">
        <v>2019</v>
      </c>
      <c r="E463" s="3">
        <v>2</v>
      </c>
      <c r="F463" s="3">
        <v>1</v>
      </c>
      <c r="G463" s="2">
        <v>3.7</v>
      </c>
      <c r="H463" s="3" t="s">
        <v>26</v>
      </c>
      <c r="I463" s="14">
        <v>9.4</v>
      </c>
      <c r="J463" s="12">
        <v>10</v>
      </c>
      <c r="K463" s="12">
        <v>23</v>
      </c>
      <c r="L463" s="3" t="s">
        <v>12</v>
      </c>
    </row>
    <row r="464" spans="1:12" x14ac:dyDescent="0.3">
      <c r="A464" s="17">
        <v>463</v>
      </c>
      <c r="B464" s="80">
        <v>72.75</v>
      </c>
      <c r="C464" s="80">
        <v>20.7</v>
      </c>
      <c r="D464" s="3">
        <v>2019</v>
      </c>
      <c r="E464" s="3">
        <v>2</v>
      </c>
      <c r="F464" s="3">
        <v>1</v>
      </c>
      <c r="G464" s="2">
        <v>3.1</v>
      </c>
      <c r="H464" s="3" t="s">
        <v>26</v>
      </c>
      <c r="I464" s="14">
        <v>14</v>
      </c>
      <c r="J464" s="12">
        <v>10</v>
      </c>
      <c r="K464" s="12">
        <v>29</v>
      </c>
      <c r="L464" s="3" t="s">
        <v>27</v>
      </c>
    </row>
    <row r="465" spans="1:12" x14ac:dyDescent="0.3">
      <c r="A465" s="17">
        <v>464</v>
      </c>
      <c r="B465" s="80">
        <v>72.784000000000006</v>
      </c>
      <c r="C465" s="80">
        <v>19.989000000000001</v>
      </c>
      <c r="D465" s="3">
        <v>2019</v>
      </c>
      <c r="E465" s="3">
        <v>2</v>
      </c>
      <c r="F465" s="3">
        <v>1</v>
      </c>
      <c r="G465" s="2">
        <v>3.5</v>
      </c>
      <c r="H465" s="3" t="s">
        <v>26</v>
      </c>
      <c r="I465" s="14">
        <v>11.9</v>
      </c>
      <c r="J465" s="12">
        <v>11</v>
      </c>
      <c r="K465" s="12">
        <v>27</v>
      </c>
      <c r="L465" s="3" t="s">
        <v>12</v>
      </c>
    </row>
    <row r="466" spans="1:12" x14ac:dyDescent="0.3">
      <c r="A466" s="17">
        <v>465</v>
      </c>
      <c r="B466" s="80">
        <v>72.849999999999994</v>
      </c>
      <c r="C466" s="80">
        <v>19.98</v>
      </c>
      <c r="D466" s="3">
        <v>2019</v>
      </c>
      <c r="E466" s="3">
        <v>2</v>
      </c>
      <c r="F466" s="3">
        <v>1</v>
      </c>
      <c r="G466" s="2">
        <v>3.5</v>
      </c>
      <c r="H466" s="3" t="s">
        <v>26</v>
      </c>
      <c r="I466" s="14">
        <v>6</v>
      </c>
      <c r="J466" s="12">
        <v>14</v>
      </c>
      <c r="K466" s="12">
        <v>6</v>
      </c>
      <c r="L466" s="3" t="s">
        <v>27</v>
      </c>
    </row>
    <row r="467" spans="1:12" x14ac:dyDescent="0.3">
      <c r="A467" s="17">
        <v>466</v>
      </c>
      <c r="B467" s="80">
        <v>72.760000000000005</v>
      </c>
      <c r="C467" s="80">
        <v>19.920000000000002</v>
      </c>
      <c r="D467" s="3">
        <v>2019</v>
      </c>
      <c r="E467" s="3">
        <v>2</v>
      </c>
      <c r="F467" s="3">
        <v>1</v>
      </c>
      <c r="G467" s="2">
        <v>3.7</v>
      </c>
      <c r="H467" s="3" t="s">
        <v>26</v>
      </c>
      <c r="I467" s="14">
        <v>9</v>
      </c>
      <c r="J467" s="12">
        <v>15</v>
      </c>
      <c r="K467" s="12">
        <v>53</v>
      </c>
      <c r="L467" s="3" t="s">
        <v>27</v>
      </c>
    </row>
    <row r="468" spans="1:12" x14ac:dyDescent="0.3">
      <c r="A468" s="17">
        <v>467</v>
      </c>
      <c r="B468" s="80">
        <v>72.78</v>
      </c>
      <c r="C468" s="80">
        <v>19.989999999999998</v>
      </c>
      <c r="D468" s="3">
        <v>2019</v>
      </c>
      <c r="E468" s="3">
        <v>2</v>
      </c>
      <c r="F468" s="3">
        <v>1</v>
      </c>
      <c r="G468" s="2">
        <v>3.5</v>
      </c>
      <c r="H468" s="3" t="s">
        <v>26</v>
      </c>
      <c r="I468" s="14">
        <v>11</v>
      </c>
      <c r="J468" s="12">
        <v>16</v>
      </c>
      <c r="K468" s="12">
        <v>57</v>
      </c>
      <c r="L468" s="3" t="s">
        <v>27</v>
      </c>
    </row>
    <row r="469" spans="1:12" x14ac:dyDescent="0.3">
      <c r="A469" s="17">
        <v>468</v>
      </c>
      <c r="B469" s="80">
        <v>72.802000000000007</v>
      </c>
      <c r="C469" s="80">
        <v>19.959</v>
      </c>
      <c r="D469" s="3">
        <v>2019</v>
      </c>
      <c r="E469" s="3">
        <v>2</v>
      </c>
      <c r="F469" s="3">
        <v>7</v>
      </c>
      <c r="G469" s="2">
        <v>3</v>
      </c>
      <c r="H469" s="3" t="s">
        <v>26</v>
      </c>
      <c r="I469" s="14">
        <v>10</v>
      </c>
      <c r="J469" s="12">
        <v>12</v>
      </c>
      <c r="K469" s="12">
        <v>49</v>
      </c>
      <c r="L469" s="3" t="s">
        <v>12</v>
      </c>
    </row>
    <row r="470" spans="1:12" x14ac:dyDescent="0.3">
      <c r="A470" s="17">
        <v>469</v>
      </c>
      <c r="B470" s="80">
        <v>72.8</v>
      </c>
      <c r="C470" s="80">
        <v>19.96</v>
      </c>
      <c r="D470" s="3">
        <v>2019</v>
      </c>
      <c r="E470" s="3">
        <v>2</v>
      </c>
      <c r="F470" s="3">
        <v>7</v>
      </c>
      <c r="G470" s="2">
        <v>3</v>
      </c>
      <c r="H470" s="3" t="s">
        <v>26</v>
      </c>
      <c r="I470" s="14">
        <v>10</v>
      </c>
      <c r="J470" s="12">
        <v>18</v>
      </c>
      <c r="K470" s="12">
        <v>19</v>
      </c>
      <c r="L470" s="3" t="s">
        <v>27</v>
      </c>
    </row>
    <row r="471" spans="1:12" x14ac:dyDescent="0.3">
      <c r="A471" s="17">
        <v>470</v>
      </c>
      <c r="B471" s="80">
        <v>72.73</v>
      </c>
      <c r="C471" s="80">
        <v>19.946000000000002</v>
      </c>
      <c r="D471" s="3">
        <v>2019</v>
      </c>
      <c r="E471" s="3">
        <v>2</v>
      </c>
      <c r="F471" s="3">
        <v>12</v>
      </c>
      <c r="G471" s="2">
        <v>3.1</v>
      </c>
      <c r="H471" s="3" t="s">
        <v>26</v>
      </c>
      <c r="I471" s="14">
        <v>10</v>
      </c>
      <c r="J471" s="12">
        <v>22</v>
      </c>
      <c r="K471" s="12">
        <v>26</v>
      </c>
      <c r="L471" s="3" t="s">
        <v>12</v>
      </c>
    </row>
    <row r="472" spans="1:12" x14ac:dyDescent="0.3">
      <c r="A472" s="17">
        <v>471</v>
      </c>
      <c r="B472" s="80">
        <v>72.73</v>
      </c>
      <c r="C472" s="80">
        <v>19.95</v>
      </c>
      <c r="D472" s="3">
        <v>2019</v>
      </c>
      <c r="E472" s="3">
        <v>2</v>
      </c>
      <c r="F472" s="3">
        <v>13</v>
      </c>
      <c r="G472" s="2">
        <v>3.1</v>
      </c>
      <c r="H472" s="3" t="s">
        <v>26</v>
      </c>
      <c r="I472" s="14">
        <v>10</v>
      </c>
      <c r="J472" s="12">
        <v>3</v>
      </c>
      <c r="K472" s="12">
        <v>56</v>
      </c>
      <c r="L472" s="3" t="s">
        <v>27</v>
      </c>
    </row>
    <row r="473" spans="1:12" x14ac:dyDescent="0.3">
      <c r="A473" s="17">
        <v>472</v>
      </c>
      <c r="B473" s="80">
        <v>72.816999999999993</v>
      </c>
      <c r="C473" s="80">
        <v>19.954999999999998</v>
      </c>
      <c r="D473" s="3">
        <v>2019</v>
      </c>
      <c r="E473" s="3">
        <v>2</v>
      </c>
      <c r="F473" s="3">
        <v>13</v>
      </c>
      <c r="G473" s="2">
        <v>3.3</v>
      </c>
      <c r="H473" s="3" t="s">
        <v>26</v>
      </c>
      <c r="I473" s="14">
        <v>10</v>
      </c>
      <c r="J473" s="12">
        <v>5</v>
      </c>
      <c r="K473" s="12">
        <v>14</v>
      </c>
      <c r="L473" s="3" t="s">
        <v>12</v>
      </c>
    </row>
    <row r="474" spans="1:12" x14ac:dyDescent="0.3">
      <c r="A474" s="17">
        <v>473</v>
      </c>
      <c r="B474" s="80">
        <v>72.778999999999996</v>
      </c>
      <c r="C474" s="80">
        <v>19.945</v>
      </c>
      <c r="D474" s="3">
        <v>2019</v>
      </c>
      <c r="E474" s="3">
        <v>2</v>
      </c>
      <c r="F474" s="3">
        <v>13</v>
      </c>
      <c r="G474" s="2">
        <v>3.2</v>
      </c>
      <c r="H474" s="3" t="s">
        <v>26</v>
      </c>
      <c r="I474" s="14">
        <v>10</v>
      </c>
      <c r="J474" s="12">
        <v>7</v>
      </c>
      <c r="K474" s="12">
        <v>42</v>
      </c>
      <c r="L474" s="3" t="s">
        <v>12</v>
      </c>
    </row>
    <row r="475" spans="1:12" x14ac:dyDescent="0.3">
      <c r="A475" s="17">
        <v>474</v>
      </c>
      <c r="B475" s="80">
        <v>72.819999999999993</v>
      </c>
      <c r="C475" s="80">
        <v>19.95</v>
      </c>
      <c r="D475" s="3">
        <v>2019</v>
      </c>
      <c r="E475" s="3">
        <v>2</v>
      </c>
      <c r="F475" s="3">
        <v>13</v>
      </c>
      <c r="G475" s="2">
        <v>3.3</v>
      </c>
      <c r="H475" s="3" t="s">
        <v>26</v>
      </c>
      <c r="I475" s="14">
        <v>10</v>
      </c>
      <c r="J475" s="12">
        <v>10</v>
      </c>
      <c r="K475" s="12">
        <v>44</v>
      </c>
      <c r="L475" s="3" t="s">
        <v>27</v>
      </c>
    </row>
    <row r="476" spans="1:12" x14ac:dyDescent="0.3">
      <c r="A476" s="17">
        <v>475</v>
      </c>
      <c r="B476" s="80">
        <v>72.78</v>
      </c>
      <c r="C476" s="80">
        <v>19.940000000000001</v>
      </c>
      <c r="D476" s="3">
        <v>2019</v>
      </c>
      <c r="E476" s="3">
        <v>2</v>
      </c>
      <c r="F476" s="3">
        <v>13</v>
      </c>
      <c r="G476" s="2">
        <v>3.2</v>
      </c>
      <c r="H476" s="3" t="s">
        <v>26</v>
      </c>
      <c r="I476" s="14">
        <v>10</v>
      </c>
      <c r="J476" s="12">
        <v>13</v>
      </c>
      <c r="K476" s="12">
        <v>12</v>
      </c>
      <c r="L476" s="3" t="s">
        <v>27</v>
      </c>
    </row>
    <row r="477" spans="1:12" x14ac:dyDescent="0.3">
      <c r="A477" s="17">
        <v>476</v>
      </c>
      <c r="B477" s="80">
        <v>72.820999999999998</v>
      </c>
      <c r="C477" s="80">
        <v>19.963999999999999</v>
      </c>
      <c r="D477" s="3">
        <v>2019</v>
      </c>
      <c r="E477" s="3">
        <v>2</v>
      </c>
      <c r="F477" s="3">
        <v>20</v>
      </c>
      <c r="G477" s="2">
        <v>3.2</v>
      </c>
      <c r="H477" s="3" t="s">
        <v>26</v>
      </c>
      <c r="I477" s="14">
        <v>10</v>
      </c>
      <c r="J477" s="12">
        <v>4</v>
      </c>
      <c r="K477" s="12">
        <v>43</v>
      </c>
      <c r="L477" s="3" t="s">
        <v>12</v>
      </c>
    </row>
    <row r="478" spans="1:12" x14ac:dyDescent="0.3">
      <c r="A478" s="17">
        <v>477</v>
      </c>
      <c r="B478" s="80">
        <v>72.67</v>
      </c>
      <c r="C478" s="80">
        <v>19.943999999999999</v>
      </c>
      <c r="D478" s="3">
        <v>2019</v>
      </c>
      <c r="E478" s="3">
        <v>2</v>
      </c>
      <c r="F478" s="3">
        <v>20</v>
      </c>
      <c r="G478" s="2">
        <v>3.1</v>
      </c>
      <c r="H478" s="3" t="s">
        <v>26</v>
      </c>
      <c r="I478" s="14">
        <v>10</v>
      </c>
      <c r="J478" s="12">
        <v>7</v>
      </c>
      <c r="K478" s="12">
        <v>54</v>
      </c>
      <c r="L478" s="3" t="s">
        <v>12</v>
      </c>
    </row>
    <row r="479" spans="1:12" x14ac:dyDescent="0.3">
      <c r="A479" s="17">
        <v>478</v>
      </c>
      <c r="B479" s="80">
        <v>72.820999999999998</v>
      </c>
      <c r="C479" s="80">
        <v>19.931000000000001</v>
      </c>
      <c r="D479" s="3">
        <v>2019</v>
      </c>
      <c r="E479" s="3">
        <v>2</v>
      </c>
      <c r="F479" s="3">
        <v>20</v>
      </c>
      <c r="G479" s="2">
        <v>3.7</v>
      </c>
      <c r="H479" s="3" t="s">
        <v>26</v>
      </c>
      <c r="I479" s="14">
        <v>10</v>
      </c>
      <c r="J479" s="12">
        <v>7</v>
      </c>
      <c r="K479" s="12">
        <v>58</v>
      </c>
      <c r="L479" s="3" t="s">
        <v>12</v>
      </c>
    </row>
    <row r="480" spans="1:12" x14ac:dyDescent="0.3">
      <c r="A480" s="17">
        <v>479</v>
      </c>
      <c r="B480" s="80">
        <v>72.819999999999993</v>
      </c>
      <c r="C480" s="80">
        <v>19.96</v>
      </c>
      <c r="D480" s="3">
        <v>2019</v>
      </c>
      <c r="E480" s="3">
        <v>2</v>
      </c>
      <c r="F480" s="3">
        <v>20</v>
      </c>
      <c r="G480" s="2">
        <v>3.2</v>
      </c>
      <c r="H480" s="3" t="s">
        <v>26</v>
      </c>
      <c r="I480" s="14">
        <v>10</v>
      </c>
      <c r="J480" s="12">
        <v>10</v>
      </c>
      <c r="K480" s="12">
        <v>13</v>
      </c>
      <c r="L480" s="3" t="s">
        <v>27</v>
      </c>
    </row>
    <row r="481" spans="1:12" x14ac:dyDescent="0.3">
      <c r="A481" s="17">
        <v>480</v>
      </c>
      <c r="B481" s="80">
        <v>72.67</v>
      </c>
      <c r="C481" s="80">
        <v>19.940000000000001</v>
      </c>
      <c r="D481" s="3">
        <v>2019</v>
      </c>
      <c r="E481" s="3">
        <v>2</v>
      </c>
      <c r="F481" s="3">
        <v>20</v>
      </c>
      <c r="G481" s="2">
        <v>3.1</v>
      </c>
      <c r="H481" s="3" t="s">
        <v>26</v>
      </c>
      <c r="I481" s="14">
        <v>10</v>
      </c>
      <c r="J481" s="12">
        <v>13</v>
      </c>
      <c r="K481" s="12">
        <v>24</v>
      </c>
      <c r="L481" s="3" t="s">
        <v>27</v>
      </c>
    </row>
    <row r="482" spans="1:12" x14ac:dyDescent="0.3">
      <c r="A482" s="17">
        <v>481</v>
      </c>
      <c r="B482" s="80">
        <v>72.819999999999993</v>
      </c>
      <c r="C482" s="80">
        <v>19.93</v>
      </c>
      <c r="D482" s="3">
        <v>2019</v>
      </c>
      <c r="E482" s="3">
        <v>2</v>
      </c>
      <c r="F482" s="3">
        <v>20</v>
      </c>
      <c r="G482" s="2">
        <v>3.7</v>
      </c>
      <c r="H482" s="3" t="s">
        <v>26</v>
      </c>
      <c r="I482" s="14">
        <v>10</v>
      </c>
      <c r="J482" s="12">
        <v>13</v>
      </c>
      <c r="K482" s="12">
        <v>28</v>
      </c>
      <c r="L482" s="3" t="s">
        <v>27</v>
      </c>
    </row>
    <row r="483" spans="1:12" x14ac:dyDescent="0.3">
      <c r="A483" s="17">
        <v>482</v>
      </c>
      <c r="B483" s="80">
        <v>72.741</v>
      </c>
      <c r="C483" s="80">
        <v>19.956</v>
      </c>
      <c r="D483" s="3">
        <v>2019</v>
      </c>
      <c r="E483" s="3">
        <v>3</v>
      </c>
      <c r="F483" s="3">
        <v>1</v>
      </c>
      <c r="G483" s="2">
        <v>3.8618000000000001</v>
      </c>
      <c r="H483" s="3" t="s">
        <v>26</v>
      </c>
      <c r="I483" s="14">
        <v>10</v>
      </c>
      <c r="J483" s="12">
        <v>5</v>
      </c>
      <c r="K483" s="12">
        <v>38</v>
      </c>
      <c r="L483" s="3" t="s">
        <v>12</v>
      </c>
    </row>
    <row r="484" spans="1:12" x14ac:dyDescent="0.3">
      <c r="A484" s="17">
        <v>483</v>
      </c>
      <c r="B484" s="80">
        <v>72.793999999999997</v>
      </c>
      <c r="C484" s="80">
        <v>19.881399999999999</v>
      </c>
      <c r="D484" s="3">
        <v>2019</v>
      </c>
      <c r="E484" s="3">
        <v>3</v>
      </c>
      <c r="F484" s="3">
        <v>1</v>
      </c>
      <c r="G484" s="2">
        <v>3.9</v>
      </c>
      <c r="H484" s="3" t="s">
        <v>26</v>
      </c>
      <c r="I484" s="14">
        <v>0</v>
      </c>
      <c r="J484" s="12">
        <v>5</v>
      </c>
      <c r="K484" s="12">
        <v>44</v>
      </c>
      <c r="L484" s="3" t="s">
        <v>12</v>
      </c>
    </row>
    <row r="485" spans="1:12" x14ac:dyDescent="0.3">
      <c r="A485" s="17">
        <v>484</v>
      </c>
      <c r="B485" s="80">
        <v>72.894300000000001</v>
      </c>
      <c r="C485" s="80">
        <v>20.234400000000001</v>
      </c>
      <c r="D485" s="3">
        <v>2019</v>
      </c>
      <c r="E485" s="3">
        <v>3</v>
      </c>
      <c r="F485" s="3">
        <v>1</v>
      </c>
      <c r="G485" s="2">
        <v>4.6426999999999996</v>
      </c>
      <c r="H485" s="3" t="s">
        <v>26</v>
      </c>
      <c r="I485" s="14">
        <v>10</v>
      </c>
      <c r="J485" s="12">
        <v>5</v>
      </c>
      <c r="K485" s="12">
        <v>44</v>
      </c>
      <c r="L485" s="3" t="s">
        <v>25</v>
      </c>
    </row>
    <row r="486" spans="1:12" x14ac:dyDescent="0.3">
      <c r="A486" s="17">
        <v>485</v>
      </c>
      <c r="B486" s="80">
        <v>72.739999999999995</v>
      </c>
      <c r="C486" s="80">
        <v>19.96</v>
      </c>
      <c r="D486" s="3">
        <v>2019</v>
      </c>
      <c r="E486" s="3">
        <v>3</v>
      </c>
      <c r="F486" s="3">
        <v>1</v>
      </c>
      <c r="G486" s="2">
        <v>2.9</v>
      </c>
      <c r="H486" s="3" t="s">
        <v>26</v>
      </c>
      <c r="I486" s="14">
        <v>10</v>
      </c>
      <c r="J486" s="12">
        <v>11</v>
      </c>
      <c r="K486" s="12">
        <v>8</v>
      </c>
      <c r="L486" s="3" t="s">
        <v>27</v>
      </c>
    </row>
    <row r="487" spans="1:12" x14ac:dyDescent="0.3">
      <c r="A487" s="17">
        <v>486</v>
      </c>
      <c r="B487" s="80">
        <v>72.900000000000006</v>
      </c>
      <c r="C487" s="80">
        <v>19.88</v>
      </c>
      <c r="D487" s="3">
        <v>2019</v>
      </c>
      <c r="E487" s="3">
        <v>3</v>
      </c>
      <c r="F487" s="3">
        <v>1</v>
      </c>
      <c r="G487" s="2">
        <v>3.9</v>
      </c>
      <c r="H487" s="3" t="s">
        <v>26</v>
      </c>
      <c r="I487" s="14">
        <v>10</v>
      </c>
      <c r="J487" s="12">
        <v>11</v>
      </c>
      <c r="K487" s="12">
        <v>14</v>
      </c>
      <c r="L487" s="3" t="s">
        <v>27</v>
      </c>
    </row>
    <row r="488" spans="1:12" x14ac:dyDescent="0.3">
      <c r="A488" s="17">
        <v>487</v>
      </c>
      <c r="B488" s="80">
        <v>72.820999999999998</v>
      </c>
      <c r="C488" s="80">
        <v>19.975000000000001</v>
      </c>
      <c r="D488" s="3">
        <v>2019</v>
      </c>
      <c r="E488" s="3">
        <v>3</v>
      </c>
      <c r="F488" s="3">
        <v>10</v>
      </c>
      <c r="G488" s="2">
        <v>3.3</v>
      </c>
      <c r="H488" s="3" t="s">
        <v>26</v>
      </c>
      <c r="I488" s="14">
        <v>10</v>
      </c>
      <c r="J488" s="12">
        <v>19</v>
      </c>
      <c r="K488" s="12">
        <v>30</v>
      </c>
      <c r="L488" s="3" t="s">
        <v>12</v>
      </c>
    </row>
    <row r="489" spans="1:12" x14ac:dyDescent="0.3">
      <c r="A489" s="17">
        <v>488</v>
      </c>
      <c r="B489" s="80">
        <v>72.819999999999993</v>
      </c>
      <c r="C489" s="80">
        <v>19.98</v>
      </c>
      <c r="D489" s="3">
        <v>2019</v>
      </c>
      <c r="E489" s="3">
        <v>3</v>
      </c>
      <c r="F489" s="3">
        <v>11</v>
      </c>
      <c r="G489" s="2">
        <v>3.3</v>
      </c>
      <c r="H489" s="3" t="s">
        <v>26</v>
      </c>
      <c r="I489" s="14">
        <v>10</v>
      </c>
      <c r="J489" s="12">
        <v>1</v>
      </c>
      <c r="K489" s="12">
        <v>0</v>
      </c>
      <c r="L489" s="3" t="s">
        <v>27</v>
      </c>
    </row>
    <row r="490" spans="1:12" x14ac:dyDescent="0.3">
      <c r="A490" s="17">
        <v>489</v>
      </c>
      <c r="B490" s="80">
        <v>72.956000000000003</v>
      </c>
      <c r="C490" s="80">
        <v>20.013999999999999</v>
      </c>
      <c r="D490" s="3">
        <v>2019</v>
      </c>
      <c r="E490" s="3">
        <v>3</v>
      </c>
      <c r="F490" s="3">
        <v>31</v>
      </c>
      <c r="G490" s="2">
        <v>3.1</v>
      </c>
      <c r="H490" s="3" t="s">
        <v>26</v>
      </c>
      <c r="I490" s="14">
        <v>5</v>
      </c>
      <c r="J490" s="12">
        <v>12</v>
      </c>
      <c r="K490" s="12">
        <v>21</v>
      </c>
      <c r="L490" s="3" t="s">
        <v>12</v>
      </c>
    </row>
    <row r="491" spans="1:12" x14ac:dyDescent="0.3">
      <c r="A491" s="17">
        <v>490</v>
      </c>
      <c r="B491" s="80">
        <v>72.959999999999994</v>
      </c>
      <c r="C491" s="80">
        <v>20.100000000000001</v>
      </c>
      <c r="D491" s="3">
        <v>2019</v>
      </c>
      <c r="E491" s="3">
        <v>3</v>
      </c>
      <c r="F491" s="3">
        <v>31</v>
      </c>
      <c r="G491" s="2">
        <v>3.1</v>
      </c>
      <c r="H491" s="3" t="s">
        <v>26</v>
      </c>
      <c r="I491" s="14">
        <v>5</v>
      </c>
      <c r="J491" s="12">
        <v>17</v>
      </c>
      <c r="K491" s="12">
        <v>51</v>
      </c>
      <c r="L491" s="3" t="s">
        <v>27</v>
      </c>
    </row>
    <row r="492" spans="1:12" x14ac:dyDescent="0.3">
      <c r="A492" s="17">
        <v>491</v>
      </c>
      <c r="B492" s="80">
        <v>72.715000000000003</v>
      </c>
      <c r="C492" s="80">
        <v>20.355</v>
      </c>
      <c r="D492" s="3">
        <v>2019</v>
      </c>
      <c r="E492" s="3">
        <v>4</v>
      </c>
      <c r="F492" s="3">
        <v>2</v>
      </c>
      <c r="G492" s="2">
        <v>3.3</v>
      </c>
      <c r="H492" s="3" t="s">
        <v>26</v>
      </c>
      <c r="I492" s="14">
        <v>5</v>
      </c>
      <c r="J492" s="12">
        <v>8</v>
      </c>
      <c r="K492" s="12">
        <v>21</v>
      </c>
      <c r="L492" s="3" t="s">
        <v>12</v>
      </c>
    </row>
    <row r="493" spans="1:12" x14ac:dyDescent="0.3">
      <c r="A493" s="17">
        <v>492</v>
      </c>
      <c r="B493" s="80">
        <v>72.277000000000001</v>
      </c>
      <c r="C493" s="80">
        <v>20.067</v>
      </c>
      <c r="D493" s="3">
        <v>2019</v>
      </c>
      <c r="E493" s="3">
        <v>4</v>
      </c>
      <c r="F493" s="3">
        <v>2</v>
      </c>
      <c r="G493" s="2">
        <v>3.5</v>
      </c>
      <c r="H493" s="3" t="s">
        <v>26</v>
      </c>
      <c r="I493" s="14">
        <v>5</v>
      </c>
      <c r="J493" s="12">
        <v>8</v>
      </c>
      <c r="K493" s="12">
        <v>32</v>
      </c>
      <c r="L493" s="3" t="s">
        <v>12</v>
      </c>
    </row>
    <row r="494" spans="1:12" x14ac:dyDescent="0.3">
      <c r="A494" s="17">
        <v>493</v>
      </c>
      <c r="B494" s="80">
        <v>72.709999999999994</v>
      </c>
      <c r="C494" s="80">
        <v>20.350000000000001</v>
      </c>
      <c r="D494" s="3">
        <v>2019</v>
      </c>
      <c r="E494" s="3">
        <v>4</v>
      </c>
      <c r="F494" s="3">
        <v>2</v>
      </c>
      <c r="G494" s="2">
        <v>3.3</v>
      </c>
      <c r="H494" s="3" t="s">
        <v>26</v>
      </c>
      <c r="I494" s="14">
        <v>5</v>
      </c>
      <c r="J494" s="12">
        <v>13</v>
      </c>
      <c r="K494" s="12">
        <v>51</v>
      </c>
      <c r="L494" s="3" t="s">
        <v>27</v>
      </c>
    </row>
    <row r="495" spans="1:12" x14ac:dyDescent="0.3">
      <c r="A495" s="17">
        <v>494</v>
      </c>
      <c r="B495" s="80">
        <v>72.28</v>
      </c>
      <c r="C495" s="80">
        <v>20.7</v>
      </c>
      <c r="D495" s="3">
        <v>2019</v>
      </c>
      <c r="E495" s="3">
        <v>4</v>
      </c>
      <c r="F495" s="3">
        <v>2</v>
      </c>
      <c r="G495" s="2">
        <v>3.5</v>
      </c>
      <c r="H495" s="3" t="s">
        <v>26</v>
      </c>
      <c r="I495" s="14">
        <v>5</v>
      </c>
      <c r="J495" s="12">
        <v>14</v>
      </c>
      <c r="K495" s="12">
        <v>2</v>
      </c>
      <c r="L495" s="3" t="s">
        <v>27</v>
      </c>
    </row>
    <row r="496" spans="1:12" x14ac:dyDescent="0.3">
      <c r="A496" s="17">
        <v>495</v>
      </c>
      <c r="B496" s="80">
        <v>76.286000000000001</v>
      </c>
      <c r="C496" s="80">
        <v>21.350999999999999</v>
      </c>
      <c r="D496" s="3">
        <v>2019</v>
      </c>
      <c r="E496" s="3">
        <v>4</v>
      </c>
      <c r="F496" s="3">
        <v>8</v>
      </c>
      <c r="G496" s="2">
        <v>3.1</v>
      </c>
      <c r="H496" s="3" t="s">
        <v>26</v>
      </c>
      <c r="I496" s="14">
        <v>10</v>
      </c>
      <c r="J496" s="12">
        <v>14</v>
      </c>
      <c r="K496" s="12">
        <v>9</v>
      </c>
      <c r="L496" s="3" t="s">
        <v>12</v>
      </c>
    </row>
    <row r="497" spans="1:12" x14ac:dyDescent="0.3">
      <c r="A497" s="17">
        <v>496</v>
      </c>
      <c r="B497" s="80">
        <v>76.290000000000006</v>
      </c>
      <c r="C497" s="80">
        <v>21.35</v>
      </c>
      <c r="D497" s="3">
        <v>2019</v>
      </c>
      <c r="E497" s="3">
        <v>4</v>
      </c>
      <c r="F497" s="3">
        <v>8</v>
      </c>
      <c r="G497" s="2">
        <v>3.1</v>
      </c>
      <c r="H497" s="3" t="s">
        <v>26</v>
      </c>
      <c r="I497" s="14">
        <v>10</v>
      </c>
      <c r="J497" s="12">
        <v>19</v>
      </c>
      <c r="K497" s="12">
        <v>39</v>
      </c>
      <c r="L497" s="3" t="s">
        <v>27</v>
      </c>
    </row>
    <row r="498" spans="1:12" x14ac:dyDescent="0.3">
      <c r="A498" s="17">
        <v>497</v>
      </c>
      <c r="B498" s="80">
        <v>72.2</v>
      </c>
      <c r="C498" s="80">
        <v>19.77</v>
      </c>
      <c r="D498" s="3">
        <v>2019</v>
      </c>
      <c r="E498" s="3">
        <v>4</v>
      </c>
      <c r="F498" s="3">
        <v>9</v>
      </c>
      <c r="G498" s="2">
        <v>3.4</v>
      </c>
      <c r="H498" s="3" t="s">
        <v>26</v>
      </c>
      <c r="I498" s="14">
        <v>10</v>
      </c>
      <c r="J498" s="12">
        <v>19</v>
      </c>
      <c r="K498" s="12">
        <v>9</v>
      </c>
      <c r="L498" s="3" t="s">
        <v>27</v>
      </c>
    </row>
    <row r="499" spans="1:12" x14ac:dyDescent="0.3">
      <c r="A499" s="17">
        <v>498</v>
      </c>
      <c r="B499" s="80">
        <v>72.978999999999999</v>
      </c>
      <c r="C499" s="80">
        <v>20.074999999999999</v>
      </c>
      <c r="D499" s="3">
        <v>2019</v>
      </c>
      <c r="E499" s="3">
        <v>5</v>
      </c>
      <c r="F499" s="3">
        <v>24</v>
      </c>
      <c r="G499" s="2">
        <v>3.1</v>
      </c>
      <c r="H499" s="3" t="s">
        <v>26</v>
      </c>
      <c r="I499" s="14">
        <v>3.4</v>
      </c>
      <c r="J499" s="12">
        <v>0</v>
      </c>
      <c r="K499" s="12">
        <v>11</v>
      </c>
      <c r="L499" s="3" t="s">
        <v>12</v>
      </c>
    </row>
    <row r="500" spans="1:12" x14ac:dyDescent="0.3">
      <c r="A500" s="17">
        <v>499</v>
      </c>
      <c r="B500" s="80">
        <v>72.98</v>
      </c>
      <c r="C500" s="80">
        <v>20.8</v>
      </c>
      <c r="D500" s="3">
        <v>2019</v>
      </c>
      <c r="E500" s="3">
        <v>5</v>
      </c>
      <c r="F500" s="3">
        <v>24</v>
      </c>
      <c r="G500" s="2">
        <v>3.1</v>
      </c>
      <c r="H500" s="3" t="s">
        <v>26</v>
      </c>
      <c r="I500" s="14">
        <v>3</v>
      </c>
      <c r="J500" s="12">
        <v>5</v>
      </c>
      <c r="K500" s="12">
        <v>41</v>
      </c>
      <c r="L500" s="3" t="s">
        <v>27</v>
      </c>
    </row>
    <row r="501" spans="1:12" x14ac:dyDescent="0.3">
      <c r="A501" s="17">
        <v>500</v>
      </c>
      <c r="B501" s="80">
        <v>72.472999999999999</v>
      </c>
      <c r="C501" s="80">
        <v>19.797000000000001</v>
      </c>
      <c r="D501" s="3">
        <v>2019</v>
      </c>
      <c r="E501" s="3">
        <v>5</v>
      </c>
      <c r="F501" s="3">
        <v>30</v>
      </c>
      <c r="G501" s="2">
        <v>3</v>
      </c>
      <c r="H501" s="3" t="s">
        <v>26</v>
      </c>
      <c r="I501" s="14">
        <v>11.5</v>
      </c>
      <c r="J501" s="12">
        <v>5</v>
      </c>
      <c r="K501" s="12">
        <v>20</v>
      </c>
      <c r="L501" s="3" t="s">
        <v>12</v>
      </c>
    </row>
    <row r="502" spans="1:12" x14ac:dyDescent="0.3">
      <c r="A502" s="17">
        <v>501</v>
      </c>
      <c r="B502" s="80">
        <v>72.47</v>
      </c>
      <c r="C502" s="80">
        <v>19.8</v>
      </c>
      <c r="D502" s="3">
        <v>2019</v>
      </c>
      <c r="E502" s="3">
        <v>5</v>
      </c>
      <c r="F502" s="3">
        <v>30</v>
      </c>
      <c r="G502" s="2">
        <v>3</v>
      </c>
      <c r="H502" s="3" t="s">
        <v>26</v>
      </c>
      <c r="I502" s="14">
        <v>11</v>
      </c>
      <c r="J502" s="12">
        <v>10</v>
      </c>
      <c r="K502" s="12">
        <v>50</v>
      </c>
      <c r="L502" s="3" t="s">
        <v>27</v>
      </c>
    </row>
    <row r="503" spans="1:12" x14ac:dyDescent="0.3">
      <c r="A503" s="17">
        <v>502</v>
      </c>
      <c r="B503" s="80">
        <v>72.856899999999996</v>
      </c>
      <c r="C503" s="80">
        <v>24.300899999999999</v>
      </c>
      <c r="D503" s="3">
        <v>2019</v>
      </c>
      <c r="E503" s="3">
        <v>6</v>
      </c>
      <c r="F503" s="3">
        <v>5</v>
      </c>
      <c r="G503" s="2">
        <v>4</v>
      </c>
      <c r="H503" s="3" t="s">
        <v>26</v>
      </c>
      <c r="I503" s="14">
        <v>0</v>
      </c>
      <c r="J503" s="12">
        <v>17</v>
      </c>
      <c r="K503" s="12">
        <v>1</v>
      </c>
      <c r="L503" s="3" t="s">
        <v>12</v>
      </c>
    </row>
    <row r="504" spans="1:12" x14ac:dyDescent="0.3">
      <c r="A504" s="17">
        <v>503</v>
      </c>
      <c r="B504" s="80">
        <v>72.735699999999994</v>
      </c>
      <c r="C504" s="80">
        <v>24.536999999999999</v>
      </c>
      <c r="D504" s="3">
        <v>2019</v>
      </c>
      <c r="E504" s="3">
        <v>6</v>
      </c>
      <c r="F504" s="3">
        <v>5</v>
      </c>
      <c r="G504" s="2">
        <v>4.6426999999999996</v>
      </c>
      <c r="H504" s="3" t="s">
        <v>26</v>
      </c>
      <c r="I504" s="14">
        <v>10</v>
      </c>
      <c r="J504" s="12">
        <v>17</v>
      </c>
      <c r="K504" s="12">
        <v>1</v>
      </c>
      <c r="L504" s="3" t="s">
        <v>25</v>
      </c>
    </row>
    <row r="505" spans="1:12" x14ac:dyDescent="0.3">
      <c r="A505" s="17">
        <v>504</v>
      </c>
      <c r="B505" s="80">
        <v>72.75</v>
      </c>
      <c r="C505" s="80">
        <v>24.29</v>
      </c>
      <c r="D505" s="3">
        <v>2019</v>
      </c>
      <c r="E505" s="3">
        <v>6</v>
      </c>
      <c r="F505" s="3">
        <v>5</v>
      </c>
      <c r="G505" s="2">
        <v>4</v>
      </c>
      <c r="H505" s="3" t="s">
        <v>26</v>
      </c>
      <c r="I505" s="14">
        <v>10</v>
      </c>
      <c r="J505" s="12">
        <v>22</v>
      </c>
      <c r="K505" s="12">
        <v>31</v>
      </c>
      <c r="L505" s="3" t="s">
        <v>27</v>
      </c>
    </row>
    <row r="506" spans="1:12" x14ac:dyDescent="0.3">
      <c r="A506" s="17">
        <v>505</v>
      </c>
      <c r="B506" s="80">
        <v>78.150999999999996</v>
      </c>
      <c r="C506" s="80">
        <v>19.847000000000001</v>
      </c>
      <c r="D506" s="3">
        <v>2019</v>
      </c>
      <c r="E506" s="3">
        <v>6</v>
      </c>
      <c r="F506" s="3">
        <v>21</v>
      </c>
      <c r="G506" s="2">
        <v>3.6</v>
      </c>
      <c r="H506" s="3" t="s">
        <v>26</v>
      </c>
      <c r="I506" s="14">
        <v>7</v>
      </c>
      <c r="J506" s="12">
        <v>15</v>
      </c>
      <c r="K506" s="12">
        <v>42</v>
      </c>
      <c r="L506" s="3" t="s">
        <v>12</v>
      </c>
    </row>
    <row r="507" spans="1:12" x14ac:dyDescent="0.3">
      <c r="A507" s="17">
        <v>506</v>
      </c>
      <c r="B507" s="80">
        <v>78.150000000000006</v>
      </c>
      <c r="C507" s="80">
        <v>19.850000000000001</v>
      </c>
      <c r="D507" s="3">
        <v>2019</v>
      </c>
      <c r="E507" s="3">
        <v>6</v>
      </c>
      <c r="F507" s="3">
        <v>21</v>
      </c>
      <c r="G507" s="2">
        <v>3.6</v>
      </c>
      <c r="H507" s="3" t="s">
        <v>26</v>
      </c>
      <c r="I507" s="14">
        <v>7</v>
      </c>
      <c r="J507" s="12">
        <v>21</v>
      </c>
      <c r="K507" s="12">
        <v>12</v>
      </c>
      <c r="L507" s="3" t="s">
        <v>27</v>
      </c>
    </row>
    <row r="508" spans="1:12" x14ac:dyDescent="0.3">
      <c r="A508" s="17">
        <v>507</v>
      </c>
      <c r="B508" s="80">
        <v>75.248000000000005</v>
      </c>
      <c r="C508" s="80">
        <v>26.952000000000002</v>
      </c>
      <c r="D508" s="3">
        <v>2019</v>
      </c>
      <c r="E508" s="3">
        <v>7</v>
      </c>
      <c r="F508" s="3">
        <v>3</v>
      </c>
      <c r="G508" s="2">
        <v>3.4</v>
      </c>
      <c r="H508" s="3" t="s">
        <v>26</v>
      </c>
      <c r="I508" s="14">
        <v>15.2</v>
      </c>
      <c r="J508" s="12">
        <v>15</v>
      </c>
      <c r="K508" s="12">
        <v>29</v>
      </c>
      <c r="L508" s="3" t="s">
        <v>12</v>
      </c>
    </row>
    <row r="509" spans="1:12" x14ac:dyDescent="0.3">
      <c r="A509" s="17">
        <v>508</v>
      </c>
      <c r="B509" s="80">
        <v>72.953000000000003</v>
      </c>
      <c r="C509" s="80">
        <v>19.975999999999999</v>
      </c>
      <c r="D509" s="3">
        <v>2019</v>
      </c>
      <c r="E509" s="3">
        <v>7</v>
      </c>
      <c r="F509" s="3">
        <v>20</v>
      </c>
      <c r="G509" s="2">
        <v>3.4</v>
      </c>
      <c r="H509" s="3" t="s">
        <v>26</v>
      </c>
      <c r="I509" s="14">
        <v>10</v>
      </c>
      <c r="J509" s="12">
        <v>3</v>
      </c>
      <c r="K509" s="12">
        <v>47</v>
      </c>
      <c r="L509" s="3" t="s">
        <v>12</v>
      </c>
    </row>
    <row r="510" spans="1:12" x14ac:dyDescent="0.3">
      <c r="A510" s="17">
        <v>509</v>
      </c>
      <c r="B510" s="80">
        <v>73.113</v>
      </c>
      <c r="C510" s="80">
        <v>19.896999999999998</v>
      </c>
      <c r="D510" s="3">
        <v>2019</v>
      </c>
      <c r="E510" s="3">
        <v>7</v>
      </c>
      <c r="F510" s="3">
        <v>24</v>
      </c>
      <c r="G510" s="2">
        <v>3</v>
      </c>
      <c r="H510" s="3" t="s">
        <v>26</v>
      </c>
      <c r="I510" s="14">
        <v>21.9</v>
      </c>
      <c r="J510" s="12">
        <v>0</v>
      </c>
      <c r="K510" s="12">
        <v>34</v>
      </c>
      <c r="L510" s="3" t="s">
        <v>12</v>
      </c>
    </row>
    <row r="511" spans="1:12" x14ac:dyDescent="0.3">
      <c r="A511" s="17">
        <v>510</v>
      </c>
      <c r="B511" s="80">
        <v>72.507999999999996</v>
      </c>
      <c r="C511" s="80">
        <v>19.577999999999999</v>
      </c>
      <c r="D511" s="3">
        <v>2019</v>
      </c>
      <c r="E511" s="3">
        <v>7</v>
      </c>
      <c r="F511" s="3">
        <v>24</v>
      </c>
      <c r="G511" s="2">
        <v>3.9</v>
      </c>
      <c r="H511" s="3" t="s">
        <v>26</v>
      </c>
      <c r="I511" s="14">
        <v>10</v>
      </c>
      <c r="J511" s="12">
        <v>19</v>
      </c>
      <c r="K511" s="12">
        <v>33</v>
      </c>
      <c r="L511" s="3" t="s">
        <v>12</v>
      </c>
    </row>
    <row r="512" spans="1:12" x14ac:dyDescent="0.3">
      <c r="A512" s="17">
        <v>511</v>
      </c>
      <c r="B512" s="80">
        <v>72.507999999999996</v>
      </c>
      <c r="C512" s="80">
        <v>19.577999999999999</v>
      </c>
      <c r="D512" s="3">
        <v>2019</v>
      </c>
      <c r="E512" s="3">
        <v>7</v>
      </c>
      <c r="F512" s="3">
        <v>24</v>
      </c>
      <c r="G512" s="2">
        <v>4.7208299999999994</v>
      </c>
      <c r="H512" s="3" t="s">
        <v>26</v>
      </c>
      <c r="I512" s="14">
        <v>10</v>
      </c>
      <c r="J512" s="12">
        <v>19</v>
      </c>
      <c r="K512" s="12">
        <v>33</v>
      </c>
      <c r="L512" s="3" t="s">
        <v>25</v>
      </c>
    </row>
    <row r="513" spans="1:12" x14ac:dyDescent="0.3">
      <c r="A513" s="17">
        <v>512</v>
      </c>
      <c r="B513" s="80">
        <v>72.884900000000002</v>
      </c>
      <c r="C513" s="80">
        <v>20.007300000000001</v>
      </c>
      <c r="D513" s="3">
        <v>2019</v>
      </c>
      <c r="E513" s="3">
        <v>7</v>
      </c>
      <c r="F513" s="3">
        <v>24</v>
      </c>
      <c r="G513" s="2">
        <v>3.6</v>
      </c>
      <c r="H513" s="3" t="s">
        <v>26</v>
      </c>
      <c r="I513" s="14">
        <v>0</v>
      </c>
      <c r="J513" s="12">
        <v>19</v>
      </c>
      <c r="K513" s="12">
        <v>45</v>
      </c>
      <c r="L513" s="3" t="s">
        <v>12</v>
      </c>
    </row>
    <row r="514" spans="1:12" x14ac:dyDescent="0.3">
      <c r="A514" s="17">
        <v>513</v>
      </c>
      <c r="B514" s="80">
        <v>72.864999999999995</v>
      </c>
      <c r="C514" s="80">
        <v>19.954999999999998</v>
      </c>
      <c r="D514" s="3">
        <v>2019</v>
      </c>
      <c r="E514" s="3">
        <v>7</v>
      </c>
      <c r="F514" s="3">
        <v>31</v>
      </c>
      <c r="G514" s="2">
        <v>3</v>
      </c>
      <c r="H514" s="3" t="s">
        <v>26</v>
      </c>
      <c r="I514" s="14">
        <v>10.6</v>
      </c>
      <c r="J514" s="12">
        <v>14</v>
      </c>
      <c r="K514" s="12">
        <v>50</v>
      </c>
      <c r="L514" s="3" t="s">
        <v>12</v>
      </c>
    </row>
    <row r="515" spans="1:12" x14ac:dyDescent="0.3">
      <c r="A515" s="17">
        <v>514</v>
      </c>
      <c r="B515" s="80">
        <v>72.293999999999997</v>
      </c>
      <c r="C515" s="80">
        <v>19.88</v>
      </c>
      <c r="D515" s="3">
        <v>2019</v>
      </c>
      <c r="E515" s="3">
        <v>8</v>
      </c>
      <c r="F515" s="3">
        <v>13</v>
      </c>
      <c r="G515" s="2">
        <v>3.5</v>
      </c>
      <c r="H515" s="3" t="s">
        <v>26</v>
      </c>
      <c r="I515" s="14">
        <v>15.1</v>
      </c>
      <c r="J515" s="12">
        <v>0</v>
      </c>
      <c r="K515" s="12">
        <v>8</v>
      </c>
      <c r="L515" s="3" t="s">
        <v>12</v>
      </c>
    </row>
    <row r="516" spans="1:12" x14ac:dyDescent="0.3">
      <c r="A516" s="17">
        <v>515</v>
      </c>
      <c r="B516" s="80">
        <v>73.036000000000001</v>
      </c>
      <c r="C516" s="80">
        <v>19.7</v>
      </c>
      <c r="D516" s="3">
        <v>2019</v>
      </c>
      <c r="E516" s="3">
        <v>9</v>
      </c>
      <c r="F516" s="3">
        <v>20</v>
      </c>
      <c r="G516" s="2">
        <v>3.5</v>
      </c>
      <c r="H516" s="3" t="s">
        <v>26</v>
      </c>
      <c r="I516" s="14">
        <v>3.8</v>
      </c>
      <c r="J516" s="12">
        <v>11</v>
      </c>
      <c r="K516" s="12">
        <v>2</v>
      </c>
      <c r="L516" s="3" t="s">
        <v>12</v>
      </c>
    </row>
    <row r="517" spans="1:12" x14ac:dyDescent="0.3">
      <c r="A517" s="17">
        <v>516</v>
      </c>
      <c r="B517" s="80">
        <v>73.400000000000006</v>
      </c>
      <c r="C517" s="80">
        <v>19.7</v>
      </c>
      <c r="D517" s="3">
        <v>2019</v>
      </c>
      <c r="E517" s="3">
        <v>9</v>
      </c>
      <c r="F517" s="3">
        <v>20</v>
      </c>
      <c r="G517" s="2">
        <v>3.5</v>
      </c>
      <c r="H517" s="3" t="s">
        <v>26</v>
      </c>
      <c r="I517" s="14">
        <v>3</v>
      </c>
      <c r="J517" s="12">
        <v>16</v>
      </c>
      <c r="K517" s="12">
        <v>32</v>
      </c>
      <c r="L517" s="3" t="s">
        <v>27</v>
      </c>
    </row>
    <row r="518" spans="1:12" x14ac:dyDescent="0.3">
      <c r="A518" s="17">
        <v>517</v>
      </c>
      <c r="B518" s="80">
        <v>72.8</v>
      </c>
      <c r="C518" s="80">
        <v>19.975000000000001</v>
      </c>
      <c r="D518" s="3">
        <v>2019</v>
      </c>
      <c r="E518" s="3">
        <v>9</v>
      </c>
      <c r="F518" s="3">
        <v>21</v>
      </c>
      <c r="G518" s="2">
        <v>3.2</v>
      </c>
      <c r="H518" s="3" t="s">
        <v>26</v>
      </c>
      <c r="I518" s="14">
        <v>14.2</v>
      </c>
      <c r="J518" s="12">
        <v>17</v>
      </c>
      <c r="K518" s="12">
        <v>0</v>
      </c>
      <c r="L518" s="3" t="s">
        <v>12</v>
      </c>
    </row>
    <row r="519" spans="1:12" x14ac:dyDescent="0.3">
      <c r="A519" s="17">
        <v>518</v>
      </c>
      <c r="B519" s="80">
        <v>72.8</v>
      </c>
      <c r="C519" s="80">
        <v>19.98</v>
      </c>
      <c r="D519" s="3">
        <v>2019</v>
      </c>
      <c r="E519" s="3">
        <v>9</v>
      </c>
      <c r="F519" s="3">
        <v>21</v>
      </c>
      <c r="G519" s="2">
        <v>3.2</v>
      </c>
      <c r="H519" s="3" t="s">
        <v>26</v>
      </c>
      <c r="I519" s="14">
        <v>14</v>
      </c>
      <c r="J519" s="12">
        <v>22</v>
      </c>
      <c r="K519" s="12">
        <v>30</v>
      </c>
      <c r="L519" s="3" t="s">
        <v>27</v>
      </c>
    </row>
    <row r="520" spans="1:12" x14ac:dyDescent="0.3">
      <c r="A520" s="17">
        <v>519</v>
      </c>
      <c r="B520" s="80">
        <v>72.753</v>
      </c>
      <c r="C520" s="80">
        <v>19.890999999999998</v>
      </c>
      <c r="D520" s="3">
        <v>2019</v>
      </c>
      <c r="E520" s="3">
        <v>9</v>
      </c>
      <c r="F520" s="3">
        <v>22</v>
      </c>
      <c r="G520" s="2">
        <v>3.7</v>
      </c>
      <c r="H520" s="3" t="s">
        <v>26</v>
      </c>
      <c r="I520" s="14">
        <v>10.8</v>
      </c>
      <c r="J520" s="12">
        <v>7</v>
      </c>
      <c r="K520" s="12">
        <v>17</v>
      </c>
      <c r="L520" s="3" t="s">
        <v>12</v>
      </c>
    </row>
    <row r="521" spans="1:12" x14ac:dyDescent="0.3">
      <c r="A521" s="17">
        <v>520</v>
      </c>
      <c r="B521" s="80">
        <v>72.75</v>
      </c>
      <c r="C521" s="80">
        <v>19.89</v>
      </c>
      <c r="D521" s="3">
        <v>2019</v>
      </c>
      <c r="E521" s="3">
        <v>9</v>
      </c>
      <c r="F521" s="3">
        <v>22</v>
      </c>
      <c r="G521" s="2">
        <v>3.7</v>
      </c>
      <c r="H521" s="3" t="s">
        <v>26</v>
      </c>
      <c r="I521" s="14">
        <v>10</v>
      </c>
      <c r="J521" s="12">
        <v>12</v>
      </c>
      <c r="K521" s="12">
        <v>47</v>
      </c>
      <c r="L521" s="3" t="s">
        <v>27</v>
      </c>
    </row>
    <row r="522" spans="1:12" x14ac:dyDescent="0.3">
      <c r="A522" s="17">
        <v>521</v>
      </c>
      <c r="B522" s="80">
        <v>72.653999999999996</v>
      </c>
      <c r="C522" s="80">
        <v>19.946999999999999</v>
      </c>
      <c r="D522" s="3">
        <v>2019</v>
      </c>
      <c r="E522" s="3">
        <v>9</v>
      </c>
      <c r="F522" s="3">
        <v>24</v>
      </c>
      <c r="G522" s="2">
        <v>3.8618000000000001</v>
      </c>
      <c r="H522" s="3" t="s">
        <v>26</v>
      </c>
      <c r="I522" s="14">
        <v>10</v>
      </c>
      <c r="J522" s="12">
        <v>8</v>
      </c>
      <c r="K522" s="12">
        <v>47</v>
      </c>
      <c r="L522" s="3" t="s">
        <v>12</v>
      </c>
    </row>
    <row r="523" spans="1:12" x14ac:dyDescent="0.3">
      <c r="A523" s="17">
        <v>522</v>
      </c>
      <c r="B523" s="80">
        <v>72.650000000000006</v>
      </c>
      <c r="C523" s="80">
        <v>19.95</v>
      </c>
      <c r="D523" s="3">
        <v>2019</v>
      </c>
      <c r="E523" s="3">
        <v>9</v>
      </c>
      <c r="F523" s="3">
        <v>24</v>
      </c>
      <c r="G523" s="2">
        <v>2.9</v>
      </c>
      <c r="H523" s="3" t="s">
        <v>26</v>
      </c>
      <c r="I523" s="14">
        <v>10</v>
      </c>
      <c r="J523" s="12">
        <v>14</v>
      </c>
      <c r="K523" s="12">
        <v>17</v>
      </c>
      <c r="L523" s="3" t="s">
        <v>27</v>
      </c>
    </row>
    <row r="524" spans="1:12" x14ac:dyDescent="0.3">
      <c r="A524" s="17">
        <v>523</v>
      </c>
      <c r="B524" s="80">
        <v>71.989000000000004</v>
      </c>
      <c r="C524" s="80">
        <v>20.045000000000002</v>
      </c>
      <c r="D524" s="3">
        <v>2019</v>
      </c>
      <c r="E524" s="3">
        <v>10</v>
      </c>
      <c r="F524" s="3">
        <v>29</v>
      </c>
      <c r="G524" s="2">
        <v>3.4</v>
      </c>
      <c r="H524" s="3" t="s">
        <v>26</v>
      </c>
      <c r="I524" s="14">
        <v>20.6</v>
      </c>
      <c r="J524" s="12">
        <v>21</v>
      </c>
      <c r="K524" s="12">
        <v>47</v>
      </c>
      <c r="L524" s="3" t="s">
        <v>12</v>
      </c>
    </row>
    <row r="525" spans="1:12" x14ac:dyDescent="0.3">
      <c r="A525" s="17">
        <v>524</v>
      </c>
      <c r="B525" s="80">
        <v>71.989999999999995</v>
      </c>
      <c r="C525" s="80">
        <v>20.5</v>
      </c>
      <c r="D525" s="3">
        <v>2019</v>
      </c>
      <c r="E525" s="3">
        <v>10</v>
      </c>
      <c r="F525" s="3">
        <v>30</v>
      </c>
      <c r="G525" s="2">
        <v>3.4</v>
      </c>
      <c r="H525" s="3" t="s">
        <v>26</v>
      </c>
      <c r="I525" s="14">
        <v>20</v>
      </c>
      <c r="J525" s="12">
        <v>3</v>
      </c>
      <c r="K525" s="12">
        <v>17</v>
      </c>
      <c r="L525" s="3" t="s">
        <v>27</v>
      </c>
    </row>
    <row r="526" spans="1:12" x14ac:dyDescent="0.3">
      <c r="A526" s="17">
        <v>525</v>
      </c>
      <c r="B526" s="80">
        <v>72.802999999999997</v>
      </c>
      <c r="C526" s="80">
        <v>20.016999999999999</v>
      </c>
      <c r="D526" s="3">
        <v>2019</v>
      </c>
      <c r="E526" s="3">
        <v>11</v>
      </c>
      <c r="F526" s="3">
        <v>2</v>
      </c>
      <c r="G526" s="2">
        <v>3</v>
      </c>
      <c r="H526" s="3" t="s">
        <v>26</v>
      </c>
      <c r="I526" s="14">
        <v>18.399999999999999</v>
      </c>
      <c r="J526" s="12">
        <v>23</v>
      </c>
      <c r="K526" s="12">
        <v>9</v>
      </c>
      <c r="L526" s="3" t="s">
        <v>12</v>
      </c>
    </row>
    <row r="527" spans="1:12" x14ac:dyDescent="0.3">
      <c r="A527" s="17">
        <v>526</v>
      </c>
      <c r="B527" s="80">
        <v>72.8</v>
      </c>
      <c r="C527" s="80">
        <v>20.2</v>
      </c>
      <c r="D527" s="3">
        <v>2019</v>
      </c>
      <c r="E527" s="3">
        <v>11</v>
      </c>
      <c r="F527" s="3">
        <v>3</v>
      </c>
      <c r="G527" s="2">
        <v>3</v>
      </c>
      <c r="H527" s="3" t="s">
        <v>26</v>
      </c>
      <c r="I527" s="14">
        <v>18</v>
      </c>
      <c r="J527" s="12">
        <v>4</v>
      </c>
      <c r="K527" s="12">
        <v>39</v>
      </c>
      <c r="L527" s="3" t="s">
        <v>27</v>
      </c>
    </row>
    <row r="528" spans="1:12" x14ac:dyDescent="0.3">
      <c r="A528" s="17">
        <v>527</v>
      </c>
      <c r="B528" s="80">
        <v>72.778999999999996</v>
      </c>
      <c r="C528" s="80">
        <v>19.974</v>
      </c>
      <c r="D528" s="3">
        <v>2019</v>
      </c>
      <c r="E528" s="3">
        <v>11</v>
      </c>
      <c r="F528" s="3">
        <v>19</v>
      </c>
      <c r="G528" s="2">
        <v>3.5</v>
      </c>
      <c r="H528" s="3" t="s">
        <v>26</v>
      </c>
      <c r="I528" s="14">
        <v>11.7</v>
      </c>
      <c r="J528" s="12">
        <v>20</v>
      </c>
      <c r="K528" s="12">
        <v>5</v>
      </c>
      <c r="L528" s="3" t="s">
        <v>12</v>
      </c>
    </row>
    <row r="529" spans="1:12" x14ac:dyDescent="0.3">
      <c r="A529" s="17">
        <v>528</v>
      </c>
      <c r="B529" s="80">
        <v>72.822999999999993</v>
      </c>
      <c r="C529" s="80">
        <v>19.966000000000001</v>
      </c>
      <c r="D529" s="3">
        <v>2019</v>
      </c>
      <c r="E529" s="3">
        <v>11</v>
      </c>
      <c r="F529" s="3">
        <v>19</v>
      </c>
      <c r="G529" s="2">
        <v>3.8618000000000001</v>
      </c>
      <c r="H529" s="3" t="s">
        <v>26</v>
      </c>
      <c r="I529" s="14">
        <v>13.7</v>
      </c>
      <c r="J529" s="12">
        <v>20</v>
      </c>
      <c r="K529" s="12">
        <v>26</v>
      </c>
      <c r="L529" s="3" t="s">
        <v>12</v>
      </c>
    </row>
    <row r="530" spans="1:12" x14ac:dyDescent="0.3">
      <c r="A530" s="17">
        <v>529</v>
      </c>
      <c r="B530" s="80">
        <v>72.78</v>
      </c>
      <c r="C530" s="80">
        <v>19.97</v>
      </c>
      <c r="D530" s="3">
        <v>2019</v>
      </c>
      <c r="E530" s="3">
        <v>11</v>
      </c>
      <c r="F530" s="3">
        <v>20</v>
      </c>
      <c r="G530" s="2">
        <v>3.5</v>
      </c>
      <c r="H530" s="3" t="s">
        <v>26</v>
      </c>
      <c r="I530" s="14">
        <v>11</v>
      </c>
      <c r="J530" s="12">
        <v>1</v>
      </c>
      <c r="K530" s="12">
        <v>35</v>
      </c>
      <c r="L530" s="3" t="s">
        <v>27</v>
      </c>
    </row>
    <row r="531" spans="1:12" x14ac:dyDescent="0.3">
      <c r="A531" s="17">
        <v>530</v>
      </c>
      <c r="B531" s="80">
        <v>72.819999999999993</v>
      </c>
      <c r="C531" s="80">
        <v>19.97</v>
      </c>
      <c r="D531" s="3">
        <v>2019</v>
      </c>
      <c r="E531" s="3">
        <v>11</v>
      </c>
      <c r="F531" s="3">
        <v>20</v>
      </c>
      <c r="G531" s="2">
        <v>3.8618000000000001</v>
      </c>
      <c r="H531" s="3" t="s">
        <v>26</v>
      </c>
      <c r="I531" s="14">
        <v>13</v>
      </c>
      <c r="J531" s="12">
        <v>1</v>
      </c>
      <c r="K531" s="12">
        <v>56</v>
      </c>
      <c r="L531" s="3" t="s">
        <v>27</v>
      </c>
    </row>
    <row r="532" spans="1:12" x14ac:dyDescent="0.3">
      <c r="A532" s="17">
        <v>531</v>
      </c>
      <c r="B532" s="80">
        <v>72.105000000000004</v>
      </c>
      <c r="C532" s="80">
        <v>19.795999999999999</v>
      </c>
      <c r="D532" s="3">
        <v>2019</v>
      </c>
      <c r="E532" s="3">
        <v>11</v>
      </c>
      <c r="F532" s="3">
        <v>21</v>
      </c>
      <c r="G532" s="2">
        <v>3.5</v>
      </c>
      <c r="H532" s="3" t="s">
        <v>26</v>
      </c>
      <c r="I532" s="14">
        <v>25</v>
      </c>
      <c r="J532" s="12">
        <v>1</v>
      </c>
      <c r="K532" s="12">
        <v>50</v>
      </c>
      <c r="L532" s="3" t="s">
        <v>12</v>
      </c>
    </row>
    <row r="533" spans="1:12" x14ac:dyDescent="0.3">
      <c r="A533" s="17">
        <v>532</v>
      </c>
      <c r="B533" s="80">
        <v>72.11</v>
      </c>
      <c r="C533" s="80">
        <v>19.8</v>
      </c>
      <c r="D533" s="3">
        <v>2019</v>
      </c>
      <c r="E533" s="3">
        <v>11</v>
      </c>
      <c r="F533" s="3">
        <v>21</v>
      </c>
      <c r="G533" s="2">
        <v>3.5</v>
      </c>
      <c r="H533" s="3" t="s">
        <v>26</v>
      </c>
      <c r="I533" s="14">
        <v>25</v>
      </c>
      <c r="J533" s="12">
        <v>7</v>
      </c>
      <c r="K533" s="12">
        <v>20</v>
      </c>
      <c r="L533" s="3" t="s">
        <v>27</v>
      </c>
    </row>
    <row r="534" spans="1:12" x14ac:dyDescent="0.3">
      <c r="A534" s="17">
        <v>533</v>
      </c>
      <c r="B534" s="80">
        <v>72.846999999999994</v>
      </c>
      <c r="C534" s="80">
        <v>20.009</v>
      </c>
      <c r="D534" s="3">
        <v>2019</v>
      </c>
      <c r="E534" s="3">
        <v>11</v>
      </c>
      <c r="F534" s="3">
        <v>23</v>
      </c>
      <c r="G534" s="2">
        <v>3.4</v>
      </c>
      <c r="H534" s="3" t="s">
        <v>26</v>
      </c>
      <c r="I534" s="14">
        <v>10.9</v>
      </c>
      <c r="J534" s="12">
        <v>15</v>
      </c>
      <c r="K534" s="12">
        <v>10</v>
      </c>
      <c r="L534" s="3" t="s">
        <v>12</v>
      </c>
    </row>
    <row r="535" spans="1:12" x14ac:dyDescent="0.3">
      <c r="A535" s="17">
        <v>534</v>
      </c>
      <c r="B535" s="80">
        <v>72.849999999999994</v>
      </c>
      <c r="C535" s="80">
        <v>20.100000000000001</v>
      </c>
      <c r="D535" s="3">
        <v>2019</v>
      </c>
      <c r="E535" s="3">
        <v>11</v>
      </c>
      <c r="F535" s="3">
        <v>23</v>
      </c>
      <c r="G535" s="2">
        <v>3.4</v>
      </c>
      <c r="H535" s="3" t="s">
        <v>26</v>
      </c>
      <c r="I535" s="14">
        <v>10</v>
      </c>
      <c r="J535" s="12">
        <v>20</v>
      </c>
      <c r="K535" s="12">
        <v>40</v>
      </c>
      <c r="L535" s="3" t="s">
        <v>27</v>
      </c>
    </row>
    <row r="536" spans="1:12" x14ac:dyDescent="0.3">
      <c r="A536" s="17">
        <v>535</v>
      </c>
      <c r="B536" s="80">
        <v>72.908000000000001</v>
      </c>
      <c r="C536" s="80">
        <v>20.343</v>
      </c>
      <c r="D536" s="3">
        <v>2019</v>
      </c>
      <c r="E536" s="3">
        <v>12</v>
      </c>
      <c r="F536" s="3">
        <v>13</v>
      </c>
      <c r="G536" s="2">
        <v>3.1</v>
      </c>
      <c r="H536" s="3" t="s">
        <v>26</v>
      </c>
      <c r="I536" s="14">
        <v>4.4000000000000004</v>
      </c>
      <c r="J536" s="12">
        <v>10</v>
      </c>
      <c r="K536" s="12">
        <v>26</v>
      </c>
      <c r="L536" s="3" t="s">
        <v>12</v>
      </c>
    </row>
    <row r="537" spans="1:12" x14ac:dyDescent="0.3">
      <c r="A537" s="17">
        <v>536</v>
      </c>
      <c r="B537" s="80">
        <v>72.91</v>
      </c>
      <c r="C537" s="80">
        <v>20.34</v>
      </c>
      <c r="D537" s="3">
        <v>2019</v>
      </c>
      <c r="E537" s="3">
        <v>12</v>
      </c>
      <c r="F537" s="3">
        <v>13</v>
      </c>
      <c r="G537" s="2">
        <v>3.1</v>
      </c>
      <c r="H537" s="3" t="s">
        <v>26</v>
      </c>
      <c r="I537" s="14">
        <v>4</v>
      </c>
      <c r="J537" s="12">
        <v>15</v>
      </c>
      <c r="K537" s="12">
        <v>56</v>
      </c>
      <c r="L537" s="3" t="s">
        <v>27</v>
      </c>
    </row>
    <row r="538" spans="1:12" x14ac:dyDescent="0.3">
      <c r="A538" s="17">
        <v>537</v>
      </c>
      <c r="B538" s="80">
        <v>72.914000000000001</v>
      </c>
      <c r="C538" s="80">
        <v>20.045999999999999</v>
      </c>
      <c r="D538" s="3">
        <v>2019</v>
      </c>
      <c r="E538" s="3">
        <v>12</v>
      </c>
      <c r="F538" s="3">
        <v>13</v>
      </c>
      <c r="G538" s="2">
        <v>3.5</v>
      </c>
      <c r="H538" s="3" t="s">
        <v>26</v>
      </c>
      <c r="I538" s="14">
        <v>19.100000000000001</v>
      </c>
      <c r="J538" s="12">
        <v>16</v>
      </c>
      <c r="K538" s="12">
        <v>25</v>
      </c>
      <c r="L538" s="3" t="s">
        <v>12</v>
      </c>
    </row>
    <row r="539" spans="1:12" x14ac:dyDescent="0.3">
      <c r="A539" s="17">
        <v>538</v>
      </c>
      <c r="B539" s="80">
        <v>72.91</v>
      </c>
      <c r="C539" s="80">
        <v>20.5</v>
      </c>
      <c r="D539" s="3">
        <v>2019</v>
      </c>
      <c r="E539" s="3">
        <v>12</v>
      </c>
      <c r="F539" s="3">
        <v>13</v>
      </c>
      <c r="G539" s="2">
        <v>3.5</v>
      </c>
      <c r="H539" s="3" t="s">
        <v>26</v>
      </c>
      <c r="I539" s="14">
        <v>19</v>
      </c>
      <c r="J539" s="12">
        <v>21</v>
      </c>
      <c r="K539" s="12">
        <v>55</v>
      </c>
      <c r="L539" s="3" t="s">
        <v>27</v>
      </c>
    </row>
    <row r="540" spans="1:12" x14ac:dyDescent="0.3">
      <c r="A540" s="17">
        <v>539</v>
      </c>
      <c r="B540" s="80">
        <v>72.867000000000004</v>
      </c>
      <c r="C540" s="80">
        <v>20.062000000000001</v>
      </c>
      <c r="D540" s="3">
        <v>2019</v>
      </c>
      <c r="E540" s="3">
        <v>12</v>
      </c>
      <c r="F540" s="3">
        <v>13</v>
      </c>
      <c r="G540" s="2">
        <v>4</v>
      </c>
      <c r="H540" s="3" t="s">
        <v>26</v>
      </c>
      <c r="I540" s="14">
        <v>8.8000000000000007</v>
      </c>
      <c r="J540" s="12">
        <v>23</v>
      </c>
      <c r="K540" s="12">
        <v>52</v>
      </c>
      <c r="L540" s="3" t="s">
        <v>12</v>
      </c>
    </row>
    <row r="541" spans="1:12" x14ac:dyDescent="0.3">
      <c r="A541" s="17">
        <v>540</v>
      </c>
      <c r="B541" s="80">
        <v>73.172899999999998</v>
      </c>
      <c r="C541" s="80">
        <v>20.082899999999999</v>
      </c>
      <c r="D541" s="3">
        <v>2019</v>
      </c>
      <c r="E541" s="3">
        <v>12</v>
      </c>
      <c r="F541" s="3">
        <v>13</v>
      </c>
      <c r="G541" s="2">
        <v>4.8770899999999999</v>
      </c>
      <c r="H541" s="3" t="s">
        <v>26</v>
      </c>
      <c r="I541" s="14">
        <v>10</v>
      </c>
      <c r="J541" s="12">
        <v>23</v>
      </c>
      <c r="K541" s="12">
        <v>52</v>
      </c>
      <c r="L541" s="3" t="s">
        <v>25</v>
      </c>
    </row>
    <row r="542" spans="1:12" x14ac:dyDescent="0.3">
      <c r="A542" s="17">
        <v>541</v>
      </c>
      <c r="B542" s="80">
        <v>72.87</v>
      </c>
      <c r="C542" s="80">
        <v>20.6</v>
      </c>
      <c r="D542" s="3">
        <v>2019</v>
      </c>
      <c r="E542" s="3">
        <v>12</v>
      </c>
      <c r="F542" s="3">
        <v>14</v>
      </c>
      <c r="G542" s="2">
        <v>4</v>
      </c>
      <c r="H542" s="3" t="s">
        <v>26</v>
      </c>
      <c r="I542" s="14">
        <v>8</v>
      </c>
      <c r="J542" s="12">
        <v>5</v>
      </c>
      <c r="K542" s="12">
        <v>22</v>
      </c>
      <c r="L542" s="3" t="s">
        <v>27</v>
      </c>
    </row>
    <row r="543" spans="1:12" x14ac:dyDescent="0.3">
      <c r="A543" s="17">
        <v>542</v>
      </c>
      <c r="B543" s="80">
        <v>72.813000000000002</v>
      </c>
      <c r="C543" s="80">
        <v>20.329000000000001</v>
      </c>
      <c r="D543" s="3">
        <v>2019</v>
      </c>
      <c r="E543" s="3">
        <v>12</v>
      </c>
      <c r="F543" s="3">
        <v>26</v>
      </c>
      <c r="G543" s="2">
        <v>3.1</v>
      </c>
      <c r="H543" s="3" t="s">
        <v>26</v>
      </c>
      <c r="I543" s="14">
        <v>10.3</v>
      </c>
      <c r="J543" s="12">
        <v>23</v>
      </c>
      <c r="K543" s="12">
        <v>57</v>
      </c>
      <c r="L543" s="3" t="s">
        <v>12</v>
      </c>
    </row>
    <row r="544" spans="1:12" x14ac:dyDescent="0.3">
      <c r="A544" s="17">
        <v>543</v>
      </c>
      <c r="B544" s="80">
        <v>72.81</v>
      </c>
      <c r="C544" s="80">
        <v>20.329999999999998</v>
      </c>
      <c r="D544" s="3">
        <v>2019</v>
      </c>
      <c r="E544" s="3">
        <v>12</v>
      </c>
      <c r="F544" s="3">
        <v>27</v>
      </c>
      <c r="G544" s="2">
        <v>3.1</v>
      </c>
      <c r="H544" s="3" t="s">
        <v>26</v>
      </c>
      <c r="I544" s="14">
        <v>10</v>
      </c>
      <c r="J544" s="12">
        <v>5</v>
      </c>
      <c r="K544" s="12">
        <v>27</v>
      </c>
      <c r="L544" s="3" t="s">
        <v>27</v>
      </c>
    </row>
    <row r="545" spans="1:12" x14ac:dyDescent="0.3">
      <c r="A545" s="17">
        <v>544</v>
      </c>
      <c r="B545" s="80">
        <v>72.709999999999994</v>
      </c>
      <c r="C545" s="80">
        <v>19.96</v>
      </c>
      <c r="D545" s="3">
        <v>2020</v>
      </c>
      <c r="E545" s="3">
        <v>3</v>
      </c>
      <c r="F545" s="3">
        <v>10</v>
      </c>
      <c r="G545" s="2">
        <v>3.1</v>
      </c>
      <c r="H545" s="3" t="s">
        <v>26</v>
      </c>
      <c r="I545" s="14">
        <v>10</v>
      </c>
      <c r="J545" s="12">
        <v>1</v>
      </c>
      <c r="K545" s="12">
        <v>24</v>
      </c>
      <c r="L545" s="3" t="s">
        <v>27</v>
      </c>
    </row>
    <row r="546" spans="1:12" x14ac:dyDescent="0.3">
      <c r="A546" s="17">
        <v>545</v>
      </c>
      <c r="B546" s="80">
        <v>75.36</v>
      </c>
      <c r="C546" s="80">
        <v>26.96</v>
      </c>
      <c r="D546" s="3">
        <v>2020</v>
      </c>
      <c r="E546" s="3">
        <v>3</v>
      </c>
      <c r="F546" s="3">
        <v>17</v>
      </c>
      <c r="G546" s="2">
        <v>3</v>
      </c>
      <c r="H546" s="3" t="s">
        <v>26</v>
      </c>
      <c r="I546" s="14">
        <v>10</v>
      </c>
      <c r="J546" s="12">
        <v>5</v>
      </c>
      <c r="K546" s="12">
        <v>26</v>
      </c>
      <c r="L546" s="3" t="s">
        <v>27</v>
      </c>
    </row>
    <row r="547" spans="1:12" x14ac:dyDescent="0.3">
      <c r="A547" s="17">
        <v>546</v>
      </c>
      <c r="B547" s="80">
        <v>72.81</v>
      </c>
      <c r="C547" s="80">
        <v>19.93</v>
      </c>
      <c r="D547" s="3">
        <v>2020</v>
      </c>
      <c r="E547" s="3">
        <v>3</v>
      </c>
      <c r="F547" s="3">
        <v>19</v>
      </c>
      <c r="G547" s="2">
        <v>3.5</v>
      </c>
      <c r="H547" s="3" t="s">
        <v>26</v>
      </c>
      <c r="I547" s="14">
        <v>21</v>
      </c>
      <c r="J547" s="12">
        <v>9</v>
      </c>
      <c r="K547" s="12">
        <v>19</v>
      </c>
      <c r="L547" s="3" t="s">
        <v>27</v>
      </c>
    </row>
    <row r="548" spans="1:12" x14ac:dyDescent="0.3">
      <c r="A548" s="17">
        <v>547</v>
      </c>
      <c r="B548" s="80">
        <v>72.87</v>
      </c>
      <c r="C548" s="80">
        <v>20.5</v>
      </c>
      <c r="D548" s="3">
        <v>2020</v>
      </c>
      <c r="E548" s="3">
        <v>4</v>
      </c>
      <c r="F548" s="3">
        <v>1</v>
      </c>
      <c r="G548" s="2">
        <v>3</v>
      </c>
      <c r="H548" s="3" t="s">
        <v>26</v>
      </c>
      <c r="I548" s="14">
        <v>12</v>
      </c>
      <c r="J548" s="12">
        <v>23</v>
      </c>
      <c r="K548" s="12">
        <v>39</v>
      </c>
      <c r="L548" s="3" t="s">
        <v>27</v>
      </c>
    </row>
    <row r="549" spans="1:12" x14ac:dyDescent="0.3">
      <c r="A549" s="17">
        <v>548</v>
      </c>
      <c r="B549" s="80">
        <v>72.94</v>
      </c>
      <c r="C549" s="80">
        <v>20.100000000000001</v>
      </c>
      <c r="D549" s="3">
        <v>2020</v>
      </c>
      <c r="E549" s="3">
        <v>4</v>
      </c>
      <c r="F549" s="3">
        <v>6</v>
      </c>
      <c r="G549" s="2">
        <v>3.1</v>
      </c>
      <c r="H549" s="3" t="s">
        <v>26</v>
      </c>
      <c r="I549" s="14">
        <v>11</v>
      </c>
      <c r="J549" s="12">
        <v>0</v>
      </c>
      <c r="K549" s="12">
        <v>18</v>
      </c>
      <c r="L549" s="3" t="s">
        <v>27</v>
      </c>
    </row>
    <row r="550" spans="1:12" x14ac:dyDescent="0.3">
      <c r="A550" s="17">
        <v>549</v>
      </c>
      <c r="B550" s="80">
        <v>78.58</v>
      </c>
      <c r="C550" s="80">
        <v>20.63</v>
      </c>
      <c r="D550" s="3">
        <v>2020</v>
      </c>
      <c r="E550" s="3">
        <v>4</v>
      </c>
      <c r="F550" s="3">
        <v>22</v>
      </c>
      <c r="G550" s="2">
        <v>3.2</v>
      </c>
      <c r="H550" s="3" t="s">
        <v>26</v>
      </c>
      <c r="I550" s="14">
        <v>5</v>
      </c>
      <c r="J550" s="12">
        <v>15</v>
      </c>
      <c r="K550" s="12">
        <v>15</v>
      </c>
      <c r="L550" s="3" t="s">
        <v>27</v>
      </c>
    </row>
    <row r="551" spans="1:12" x14ac:dyDescent="0.3">
      <c r="A551" s="17">
        <v>550</v>
      </c>
      <c r="B551" s="80">
        <v>77.319999999999993</v>
      </c>
      <c r="C551" s="80">
        <v>19.79</v>
      </c>
      <c r="D551" s="3">
        <v>2020</v>
      </c>
      <c r="E551" s="3">
        <v>4</v>
      </c>
      <c r="F551" s="3">
        <v>27</v>
      </c>
      <c r="G551" s="2">
        <v>3.1</v>
      </c>
      <c r="H551" s="3" t="s">
        <v>26</v>
      </c>
      <c r="I551" s="14">
        <v>11</v>
      </c>
      <c r="J551" s="12">
        <v>22</v>
      </c>
      <c r="K551" s="12">
        <v>55</v>
      </c>
      <c r="L551" s="3" t="s">
        <v>27</v>
      </c>
    </row>
    <row r="552" spans="1:12" x14ac:dyDescent="0.3">
      <c r="A552" s="17">
        <v>551</v>
      </c>
      <c r="B552" s="80">
        <v>77.23</v>
      </c>
      <c r="C552" s="80">
        <v>19.309999999999999</v>
      </c>
      <c r="D552" s="3">
        <v>2020</v>
      </c>
      <c r="E552" s="3">
        <v>6</v>
      </c>
      <c r="F552" s="3">
        <v>2</v>
      </c>
      <c r="G552" s="2">
        <v>3</v>
      </c>
      <c r="H552" s="3" t="s">
        <v>26</v>
      </c>
      <c r="I552" s="14">
        <v>20</v>
      </c>
      <c r="J552" s="12">
        <v>7</v>
      </c>
      <c r="K552" s="12">
        <v>9</v>
      </c>
      <c r="L552" s="3" t="s">
        <v>27</v>
      </c>
    </row>
    <row r="553" spans="1:12" x14ac:dyDescent="0.3">
      <c r="A553" s="17">
        <v>552</v>
      </c>
      <c r="B553" s="80">
        <v>77.2</v>
      </c>
      <c r="C553" s="80">
        <v>19.489999999999998</v>
      </c>
      <c r="D553" s="3">
        <v>2020</v>
      </c>
      <c r="E553" s="3">
        <v>6</v>
      </c>
      <c r="F553" s="3">
        <v>23</v>
      </c>
      <c r="G553" s="2">
        <v>3</v>
      </c>
      <c r="H553" s="3" t="s">
        <v>26</v>
      </c>
      <c r="I553" s="14">
        <v>5</v>
      </c>
      <c r="J553" s="12">
        <v>17</v>
      </c>
      <c r="K553" s="12">
        <v>28</v>
      </c>
      <c r="L553" s="3" t="s">
        <v>27</v>
      </c>
    </row>
    <row r="554" spans="1:12" x14ac:dyDescent="0.3">
      <c r="A554" s="17">
        <v>553</v>
      </c>
      <c r="B554" s="80">
        <v>70.992800000000003</v>
      </c>
      <c r="C554" s="80">
        <v>22.255800000000001</v>
      </c>
      <c r="D554" s="3">
        <v>2020</v>
      </c>
      <c r="E554" s="3">
        <v>7</v>
      </c>
      <c r="F554" s="3">
        <v>16</v>
      </c>
      <c r="G554" s="2">
        <v>4.7208299999999994</v>
      </c>
      <c r="H554" s="3" t="s">
        <v>26</v>
      </c>
      <c r="I554" s="14">
        <v>10</v>
      </c>
      <c r="J554" s="12">
        <v>2</v>
      </c>
      <c r="K554" s="12">
        <v>10</v>
      </c>
      <c r="L554" s="3" t="s">
        <v>25</v>
      </c>
    </row>
    <row r="555" spans="1:12" x14ac:dyDescent="0.3">
      <c r="A555" s="17">
        <v>554</v>
      </c>
      <c r="B555" s="80">
        <v>73.218999999999994</v>
      </c>
      <c r="C555" s="80">
        <v>21.5017</v>
      </c>
      <c r="D555" s="3">
        <v>2020</v>
      </c>
      <c r="E555" s="3">
        <v>11</v>
      </c>
      <c r="F555" s="3">
        <v>7</v>
      </c>
      <c r="G555" s="2">
        <v>4.5645699999999998</v>
      </c>
      <c r="H555" s="3" t="s">
        <v>26</v>
      </c>
      <c r="I555" s="14">
        <v>10</v>
      </c>
      <c r="J555" s="12">
        <v>10</v>
      </c>
      <c r="K555" s="12">
        <v>9</v>
      </c>
      <c r="L555" s="3" t="s">
        <v>25</v>
      </c>
    </row>
    <row r="556" spans="1:12" x14ac:dyDescent="0.3">
      <c r="A556" s="17">
        <v>555</v>
      </c>
      <c r="B556" s="80">
        <v>79.634200000000007</v>
      </c>
      <c r="C556" s="80">
        <v>22.140699999999999</v>
      </c>
      <c r="D556" s="3">
        <v>2020</v>
      </c>
      <c r="E556" s="3">
        <v>11</v>
      </c>
      <c r="F556" s="3">
        <v>21</v>
      </c>
      <c r="G556" s="2">
        <v>4.8770899999999999</v>
      </c>
      <c r="H556" s="3" t="s">
        <v>26</v>
      </c>
      <c r="I556" s="14">
        <v>10</v>
      </c>
      <c r="J556" s="12">
        <v>20</v>
      </c>
      <c r="K556" s="12">
        <v>15</v>
      </c>
      <c r="L556" s="3" t="s">
        <v>25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15"/>
  <sheetViews>
    <sheetView topLeftCell="A197" workbookViewId="0">
      <selection activeCell="L2" sqref="L2"/>
    </sheetView>
  </sheetViews>
  <sheetFormatPr defaultRowHeight="14.4" x14ac:dyDescent="0.3"/>
  <cols>
    <col min="1" max="1" width="7.6640625" customWidth="1"/>
    <col min="2" max="2" width="10.6640625" style="40" customWidth="1"/>
    <col min="3" max="3" width="9.109375" style="40" customWidth="1"/>
    <col min="4" max="6" width="7.6640625" style="41" customWidth="1"/>
    <col min="7" max="7" width="7.6640625" style="39" customWidth="1"/>
    <col min="8" max="8" width="7.6640625" customWidth="1"/>
    <col min="9" max="11" width="7.6640625" style="41" customWidth="1"/>
    <col min="12" max="12" width="10.6640625" customWidth="1"/>
  </cols>
  <sheetData>
    <row r="1" spans="1:12" s="81" customFormat="1" ht="28.8" x14ac:dyDescent="0.3">
      <c r="A1" s="92" t="s">
        <v>30</v>
      </c>
      <c r="B1" s="93" t="s">
        <v>61</v>
      </c>
      <c r="C1" s="93" t="s">
        <v>62</v>
      </c>
      <c r="D1" s="93" t="s">
        <v>31</v>
      </c>
      <c r="E1" s="93" t="s">
        <v>63</v>
      </c>
      <c r="F1" s="93" t="s">
        <v>64</v>
      </c>
      <c r="G1" s="93" t="s">
        <v>1</v>
      </c>
      <c r="H1" s="93" t="s">
        <v>5</v>
      </c>
      <c r="I1" s="93" t="s">
        <v>0</v>
      </c>
      <c r="J1" s="93" t="s">
        <v>65</v>
      </c>
      <c r="K1" s="93" t="s">
        <v>381</v>
      </c>
      <c r="L1" s="94" t="s">
        <v>67</v>
      </c>
    </row>
    <row r="2" spans="1:12" x14ac:dyDescent="0.3">
      <c r="A2" s="95">
        <v>1</v>
      </c>
      <c r="B2" s="96">
        <v>73.2</v>
      </c>
      <c r="C2" s="96">
        <v>19.100000000000001</v>
      </c>
      <c r="D2" s="97">
        <v>1678</v>
      </c>
      <c r="E2" s="97">
        <v>0</v>
      </c>
      <c r="F2" s="97">
        <v>0</v>
      </c>
      <c r="G2" s="99">
        <v>5</v>
      </c>
      <c r="H2" s="100" t="s">
        <v>26</v>
      </c>
      <c r="I2" s="97">
        <v>0</v>
      </c>
      <c r="J2" s="97">
        <v>0</v>
      </c>
      <c r="K2" s="97">
        <v>0</v>
      </c>
      <c r="L2" s="98">
        <v>11</v>
      </c>
    </row>
    <row r="3" spans="1:12" x14ac:dyDescent="0.3">
      <c r="A3" s="95">
        <v>2</v>
      </c>
      <c r="B3" s="96">
        <v>72.150000000000006</v>
      </c>
      <c r="C3" s="96">
        <v>21.75</v>
      </c>
      <c r="D3" s="97">
        <v>1705</v>
      </c>
      <c r="E3" s="97">
        <v>2</v>
      </c>
      <c r="F3" s="97">
        <v>4</v>
      </c>
      <c r="G3" s="99">
        <v>7</v>
      </c>
      <c r="H3" s="100" t="s">
        <v>26</v>
      </c>
      <c r="I3" s="97">
        <v>0</v>
      </c>
      <c r="J3" s="97">
        <v>0</v>
      </c>
      <c r="K3" s="97">
        <v>0</v>
      </c>
      <c r="L3" s="98">
        <v>5</v>
      </c>
    </row>
    <row r="4" spans="1:12" x14ac:dyDescent="0.3">
      <c r="A4" s="95">
        <v>3</v>
      </c>
      <c r="B4" s="96">
        <v>73.2</v>
      </c>
      <c r="C4" s="96">
        <v>19.100000000000001</v>
      </c>
      <c r="D4" s="97">
        <v>1751</v>
      </c>
      <c r="E4" s="97">
        <v>12</v>
      </c>
      <c r="F4" s="97">
        <v>9</v>
      </c>
      <c r="G4" s="99">
        <v>4.3</v>
      </c>
      <c r="H4" s="100" t="s">
        <v>26</v>
      </c>
      <c r="I4" s="97">
        <v>0</v>
      </c>
      <c r="J4" s="97">
        <v>0</v>
      </c>
      <c r="K4" s="97">
        <v>0</v>
      </c>
      <c r="L4" s="98">
        <v>11</v>
      </c>
    </row>
    <row r="5" spans="1:12" x14ac:dyDescent="0.3">
      <c r="A5" s="95">
        <v>4</v>
      </c>
      <c r="B5" s="96">
        <v>73.3</v>
      </c>
      <c r="C5" s="96">
        <v>19.100000000000001</v>
      </c>
      <c r="D5" s="97">
        <v>1752</v>
      </c>
      <c r="E5" s="97">
        <v>1</v>
      </c>
      <c r="F5" s="97">
        <v>5</v>
      </c>
      <c r="G5" s="99">
        <v>4.3</v>
      </c>
      <c r="H5" s="100" t="s">
        <v>26</v>
      </c>
      <c r="I5" s="97">
        <v>0</v>
      </c>
      <c r="J5" s="97">
        <v>0</v>
      </c>
      <c r="K5" s="97">
        <v>0</v>
      </c>
      <c r="L5" s="98">
        <v>11</v>
      </c>
    </row>
    <row r="6" spans="1:12" x14ac:dyDescent="0.3">
      <c r="A6" s="95">
        <v>5</v>
      </c>
      <c r="B6" s="96">
        <v>73.400000000000006</v>
      </c>
      <c r="C6" s="96">
        <v>18.7</v>
      </c>
      <c r="D6" s="97">
        <v>1752</v>
      </c>
      <c r="E6" s="97">
        <v>2</v>
      </c>
      <c r="F6" s="97">
        <v>5</v>
      </c>
      <c r="G6" s="99">
        <v>4.3</v>
      </c>
      <c r="H6" s="100" t="s">
        <v>26</v>
      </c>
      <c r="I6" s="97">
        <v>0</v>
      </c>
      <c r="J6" s="97">
        <v>0</v>
      </c>
      <c r="K6" s="97">
        <v>0</v>
      </c>
      <c r="L6" s="98">
        <v>11</v>
      </c>
    </row>
    <row r="7" spans="1:12" x14ac:dyDescent="0.3">
      <c r="A7" s="95">
        <v>6</v>
      </c>
      <c r="B7" s="96">
        <v>73</v>
      </c>
      <c r="C7" s="96">
        <v>18.5</v>
      </c>
      <c r="D7" s="97">
        <v>1792</v>
      </c>
      <c r="E7" s="97">
        <v>5</v>
      </c>
      <c r="F7" s="97">
        <v>29</v>
      </c>
      <c r="G7" s="99">
        <v>4.3</v>
      </c>
      <c r="H7" s="100" t="s">
        <v>26</v>
      </c>
      <c r="I7" s="97">
        <v>0</v>
      </c>
      <c r="J7" s="97">
        <v>0</v>
      </c>
      <c r="K7" s="97">
        <v>0</v>
      </c>
      <c r="L7" s="98">
        <v>11</v>
      </c>
    </row>
    <row r="8" spans="1:12" x14ac:dyDescent="0.3">
      <c r="A8" s="95">
        <v>7</v>
      </c>
      <c r="B8" s="96">
        <v>80.3</v>
      </c>
      <c r="C8" s="96">
        <v>25.5</v>
      </c>
      <c r="D8" s="97">
        <v>1808</v>
      </c>
      <c r="E8" s="97">
        <v>6</v>
      </c>
      <c r="F8" s="97">
        <v>4</v>
      </c>
      <c r="G8" s="99">
        <v>4.3</v>
      </c>
      <c r="H8" s="100" t="s">
        <v>26</v>
      </c>
      <c r="I8" s="97">
        <v>0</v>
      </c>
      <c r="J8" s="97">
        <v>0</v>
      </c>
      <c r="K8" s="97">
        <v>0</v>
      </c>
      <c r="L8" s="98">
        <v>15</v>
      </c>
    </row>
    <row r="9" spans="1:12" x14ac:dyDescent="0.3">
      <c r="A9" s="95">
        <v>8</v>
      </c>
      <c r="B9" s="96">
        <v>72.7</v>
      </c>
      <c r="C9" s="96">
        <v>23</v>
      </c>
      <c r="D9" s="97">
        <v>1840</v>
      </c>
      <c r="E9" s="97">
        <v>11</v>
      </c>
      <c r="F9" s="97">
        <v>10</v>
      </c>
      <c r="G9" s="99">
        <v>4.3</v>
      </c>
      <c r="H9" s="100" t="s">
        <v>26</v>
      </c>
      <c r="I9" s="97">
        <v>0</v>
      </c>
      <c r="J9" s="97">
        <v>0</v>
      </c>
      <c r="K9" s="97">
        <v>0</v>
      </c>
      <c r="L9" s="98">
        <v>11</v>
      </c>
    </row>
    <row r="10" spans="1:12" x14ac:dyDescent="0.3">
      <c r="A10" s="95">
        <v>9</v>
      </c>
      <c r="B10" s="96">
        <v>78</v>
      </c>
      <c r="C10" s="96">
        <v>27</v>
      </c>
      <c r="D10" s="97">
        <v>1842</v>
      </c>
      <c r="E10" s="97">
        <v>1</v>
      </c>
      <c r="F10" s="97">
        <v>16</v>
      </c>
      <c r="G10" s="99">
        <v>5.5</v>
      </c>
      <c r="H10" s="100" t="s">
        <v>26</v>
      </c>
      <c r="I10" s="97">
        <v>0</v>
      </c>
      <c r="J10" s="97">
        <v>0</v>
      </c>
      <c r="K10" s="97">
        <v>0</v>
      </c>
      <c r="L10" s="98">
        <v>2</v>
      </c>
    </row>
    <row r="11" spans="1:12" x14ac:dyDescent="0.3">
      <c r="A11" s="95">
        <v>10</v>
      </c>
      <c r="B11" s="96">
        <v>73.2</v>
      </c>
      <c r="C11" s="96">
        <v>22.3</v>
      </c>
      <c r="D11" s="97">
        <v>1842</v>
      </c>
      <c r="E11" s="97">
        <v>10</v>
      </c>
      <c r="F11" s="97">
        <v>9</v>
      </c>
      <c r="G11" s="99">
        <v>4.3</v>
      </c>
      <c r="H11" s="100" t="s">
        <v>26</v>
      </c>
      <c r="I11" s="97">
        <v>0</v>
      </c>
      <c r="J11" s="97">
        <v>0</v>
      </c>
      <c r="K11" s="97">
        <v>0</v>
      </c>
      <c r="L11" s="98">
        <v>11</v>
      </c>
    </row>
    <row r="12" spans="1:12" x14ac:dyDescent="0.3">
      <c r="A12" s="95">
        <v>11</v>
      </c>
      <c r="B12" s="96">
        <v>72.7</v>
      </c>
      <c r="C12" s="96">
        <v>23</v>
      </c>
      <c r="D12" s="97">
        <v>1843</v>
      </c>
      <c r="E12" s="97">
        <v>2</v>
      </c>
      <c r="F12" s="97">
        <v>8</v>
      </c>
      <c r="G12" s="99">
        <v>4.2</v>
      </c>
      <c r="H12" s="100" t="s">
        <v>26</v>
      </c>
      <c r="I12" s="97">
        <v>0</v>
      </c>
      <c r="J12" s="97">
        <v>0</v>
      </c>
      <c r="K12" s="97">
        <v>0</v>
      </c>
      <c r="L12" s="98">
        <v>18</v>
      </c>
    </row>
    <row r="13" spans="1:12" x14ac:dyDescent="0.3">
      <c r="A13" s="95">
        <v>12</v>
      </c>
      <c r="B13" s="96">
        <v>79.3</v>
      </c>
      <c r="C13" s="96">
        <v>23.5</v>
      </c>
      <c r="D13" s="97">
        <v>1846</v>
      </c>
      <c r="E13" s="97">
        <v>5</v>
      </c>
      <c r="F13" s="97">
        <v>27</v>
      </c>
      <c r="G13" s="99">
        <v>6.5</v>
      </c>
      <c r="H13" s="100" t="s">
        <v>26</v>
      </c>
      <c r="I13" s="97">
        <v>0</v>
      </c>
      <c r="J13" s="97">
        <v>0</v>
      </c>
      <c r="K13" s="97">
        <v>0</v>
      </c>
      <c r="L13" s="98">
        <v>2</v>
      </c>
    </row>
    <row r="14" spans="1:12" x14ac:dyDescent="0.3">
      <c r="A14" s="95">
        <v>13</v>
      </c>
      <c r="B14" s="96">
        <v>75</v>
      </c>
      <c r="C14" s="96">
        <v>21.4</v>
      </c>
      <c r="D14" s="97">
        <v>1847</v>
      </c>
      <c r="E14" s="97">
        <v>5</v>
      </c>
      <c r="F14" s="97">
        <v>27</v>
      </c>
      <c r="G14" s="99">
        <v>6.5</v>
      </c>
      <c r="H14" s="100" t="s">
        <v>26</v>
      </c>
      <c r="I14" s="97">
        <v>0</v>
      </c>
      <c r="J14" s="97">
        <v>0</v>
      </c>
      <c r="K14" s="97">
        <v>0</v>
      </c>
      <c r="L14" s="98">
        <v>2</v>
      </c>
    </row>
    <row r="15" spans="1:12" x14ac:dyDescent="0.3">
      <c r="A15" s="95">
        <v>14</v>
      </c>
      <c r="B15" s="96">
        <v>72.7</v>
      </c>
      <c r="C15" s="96">
        <v>24.4</v>
      </c>
      <c r="D15" s="97">
        <v>1848</v>
      </c>
      <c r="E15" s="97">
        <v>4</v>
      </c>
      <c r="F15" s="97">
        <v>26</v>
      </c>
      <c r="G15" s="99">
        <v>6</v>
      </c>
      <c r="H15" s="100" t="s">
        <v>26</v>
      </c>
      <c r="I15" s="97">
        <v>0</v>
      </c>
      <c r="J15" s="97">
        <v>0</v>
      </c>
      <c r="K15" s="97">
        <v>0</v>
      </c>
      <c r="L15" s="98">
        <v>2</v>
      </c>
    </row>
    <row r="16" spans="1:12" x14ac:dyDescent="0.3">
      <c r="A16" s="95">
        <v>15</v>
      </c>
      <c r="B16" s="96">
        <v>73.2</v>
      </c>
      <c r="C16" s="96">
        <v>25.2</v>
      </c>
      <c r="D16" s="97">
        <v>1849</v>
      </c>
      <c r="E16" s="97">
        <v>1</v>
      </c>
      <c r="F16" s="97">
        <v>2</v>
      </c>
      <c r="G16" s="99">
        <v>4.0999999999999996</v>
      </c>
      <c r="H16" s="100" t="s">
        <v>26</v>
      </c>
      <c r="I16" s="97">
        <v>0</v>
      </c>
      <c r="J16" s="97">
        <v>0</v>
      </c>
      <c r="K16" s="97">
        <v>0</v>
      </c>
      <c r="L16" s="98">
        <v>18</v>
      </c>
    </row>
    <row r="17" spans="1:12" x14ac:dyDescent="0.3">
      <c r="A17" s="95">
        <v>16</v>
      </c>
      <c r="B17" s="96">
        <v>73.2</v>
      </c>
      <c r="C17" s="96">
        <v>25.2</v>
      </c>
      <c r="D17" s="97">
        <v>1849</v>
      </c>
      <c r="E17" s="97">
        <v>6</v>
      </c>
      <c r="F17" s="97">
        <v>2</v>
      </c>
      <c r="G17" s="99">
        <v>4.7</v>
      </c>
      <c r="H17" s="100" t="s">
        <v>26</v>
      </c>
      <c r="I17" s="97">
        <v>0</v>
      </c>
      <c r="J17" s="97">
        <v>0</v>
      </c>
      <c r="K17" s="97">
        <v>0</v>
      </c>
      <c r="L17" s="98">
        <v>11</v>
      </c>
    </row>
    <row r="18" spans="1:12" x14ac:dyDescent="0.3">
      <c r="A18" s="95">
        <v>17</v>
      </c>
      <c r="B18" s="102">
        <v>73</v>
      </c>
      <c r="C18" s="102">
        <v>20</v>
      </c>
      <c r="D18" s="103">
        <v>1856</v>
      </c>
      <c r="E18" s="103">
        <v>12</v>
      </c>
      <c r="F18" s="103">
        <v>25</v>
      </c>
      <c r="G18" s="99">
        <v>5</v>
      </c>
      <c r="H18" s="100" t="s">
        <v>26</v>
      </c>
      <c r="I18" s="103">
        <v>0</v>
      </c>
      <c r="J18" s="103">
        <v>5</v>
      </c>
      <c r="K18" s="103">
        <v>53</v>
      </c>
      <c r="L18" s="104" t="s">
        <v>27</v>
      </c>
    </row>
    <row r="19" spans="1:12" x14ac:dyDescent="0.3">
      <c r="A19" s="95">
        <v>18</v>
      </c>
      <c r="B19" s="96">
        <v>75.3</v>
      </c>
      <c r="C19" s="96">
        <v>21.8</v>
      </c>
      <c r="D19" s="97">
        <v>1863</v>
      </c>
      <c r="E19" s="97">
        <v>11</v>
      </c>
      <c r="F19" s="97">
        <v>8</v>
      </c>
      <c r="G19" s="99">
        <v>5.7</v>
      </c>
      <c r="H19" s="100" t="s">
        <v>26</v>
      </c>
      <c r="I19" s="97">
        <v>0</v>
      </c>
      <c r="J19" s="97">
        <v>0</v>
      </c>
      <c r="K19" s="97">
        <v>0</v>
      </c>
      <c r="L19" s="98">
        <v>11</v>
      </c>
    </row>
    <row r="20" spans="1:12" x14ac:dyDescent="0.3">
      <c r="A20" s="95">
        <v>19</v>
      </c>
      <c r="B20" s="96">
        <v>75</v>
      </c>
      <c r="C20" s="96">
        <v>22</v>
      </c>
      <c r="D20" s="97">
        <v>1863</v>
      </c>
      <c r="E20" s="97">
        <v>11</v>
      </c>
      <c r="F20" s="97">
        <v>18</v>
      </c>
      <c r="G20" s="99">
        <v>5</v>
      </c>
      <c r="H20" s="100" t="s">
        <v>26</v>
      </c>
      <c r="I20" s="97">
        <v>0</v>
      </c>
      <c r="J20" s="97">
        <v>0</v>
      </c>
      <c r="K20" s="97">
        <v>0</v>
      </c>
      <c r="L20" s="98">
        <v>2</v>
      </c>
    </row>
    <row r="21" spans="1:12" x14ac:dyDescent="0.3">
      <c r="A21" s="95">
        <v>20</v>
      </c>
      <c r="B21" s="96">
        <v>74.8</v>
      </c>
      <c r="C21" s="96">
        <v>20.9</v>
      </c>
      <c r="D21" s="97">
        <v>1869</v>
      </c>
      <c r="E21" s="97">
        <v>7</v>
      </c>
      <c r="F21" s="97">
        <v>12</v>
      </c>
      <c r="G21" s="99">
        <v>4.3</v>
      </c>
      <c r="H21" s="100" t="s">
        <v>26</v>
      </c>
      <c r="I21" s="97">
        <v>0</v>
      </c>
      <c r="J21" s="97">
        <v>0</v>
      </c>
      <c r="K21" s="97">
        <v>0</v>
      </c>
      <c r="L21" s="98">
        <v>15</v>
      </c>
    </row>
    <row r="22" spans="1:12" x14ac:dyDescent="0.3">
      <c r="A22" s="95">
        <v>21</v>
      </c>
      <c r="B22" s="96">
        <v>72.2</v>
      </c>
      <c r="C22" s="96">
        <v>24.2</v>
      </c>
      <c r="D22" s="97">
        <v>1871</v>
      </c>
      <c r="E22" s="97">
        <v>1</v>
      </c>
      <c r="F22" s="97">
        <v>1</v>
      </c>
      <c r="G22" s="99">
        <v>4.2</v>
      </c>
      <c r="H22" s="100" t="s">
        <v>26</v>
      </c>
      <c r="I22" s="97">
        <v>0</v>
      </c>
      <c r="J22" s="97">
        <v>0</v>
      </c>
      <c r="K22" s="97">
        <v>0</v>
      </c>
      <c r="L22" s="98">
        <v>15</v>
      </c>
    </row>
    <row r="23" spans="1:12" x14ac:dyDescent="0.3">
      <c r="A23" s="95">
        <v>22</v>
      </c>
      <c r="B23" s="96">
        <v>72.2</v>
      </c>
      <c r="C23" s="96">
        <v>21.7</v>
      </c>
      <c r="D23" s="97">
        <v>1872</v>
      </c>
      <c r="E23" s="97">
        <v>4</v>
      </c>
      <c r="F23" s="97">
        <v>14</v>
      </c>
      <c r="G23" s="99">
        <v>4.7</v>
      </c>
      <c r="H23" s="100" t="s">
        <v>26</v>
      </c>
      <c r="I23" s="97">
        <v>0</v>
      </c>
      <c r="J23" s="97">
        <v>0</v>
      </c>
      <c r="K23" s="97">
        <v>0</v>
      </c>
      <c r="L23" s="98">
        <v>15</v>
      </c>
    </row>
    <row r="24" spans="1:12" x14ac:dyDescent="0.3">
      <c r="A24" s="95">
        <v>23</v>
      </c>
      <c r="B24" s="96">
        <v>80</v>
      </c>
      <c r="C24" s="96">
        <v>18.8</v>
      </c>
      <c r="D24" s="97">
        <v>1872</v>
      </c>
      <c r="E24" s="97">
        <v>11</v>
      </c>
      <c r="F24" s="97">
        <v>22</v>
      </c>
      <c r="G24" s="99">
        <v>4.7</v>
      </c>
      <c r="H24" s="100" t="s">
        <v>26</v>
      </c>
      <c r="I24" s="97">
        <v>0</v>
      </c>
      <c r="J24" s="97">
        <v>0</v>
      </c>
      <c r="K24" s="97">
        <v>0</v>
      </c>
      <c r="L24" s="98">
        <v>11</v>
      </c>
    </row>
    <row r="25" spans="1:12" x14ac:dyDescent="0.3">
      <c r="A25" s="95">
        <v>24</v>
      </c>
      <c r="B25" s="96">
        <v>73</v>
      </c>
      <c r="C25" s="96">
        <v>25</v>
      </c>
      <c r="D25" s="97">
        <v>1906</v>
      </c>
      <c r="E25" s="97">
        <v>8</v>
      </c>
      <c r="F25" s="97">
        <v>15</v>
      </c>
      <c r="G25" s="99">
        <v>5</v>
      </c>
      <c r="H25" s="100" t="s">
        <v>26</v>
      </c>
      <c r="I25" s="97">
        <v>0</v>
      </c>
      <c r="J25" s="97">
        <v>0</v>
      </c>
      <c r="K25" s="97">
        <v>0</v>
      </c>
      <c r="L25" s="98">
        <v>2</v>
      </c>
    </row>
    <row r="26" spans="1:12" x14ac:dyDescent="0.3">
      <c r="A26" s="95">
        <v>25</v>
      </c>
      <c r="B26" s="102">
        <v>71.2</v>
      </c>
      <c r="C26" s="102">
        <v>21.7</v>
      </c>
      <c r="D26" s="103">
        <v>1919</v>
      </c>
      <c r="E26" s="103">
        <v>4</v>
      </c>
      <c r="F26" s="103">
        <v>21</v>
      </c>
      <c r="G26" s="99">
        <v>6</v>
      </c>
      <c r="H26" s="100" t="s">
        <v>26</v>
      </c>
      <c r="I26" s="103">
        <v>0</v>
      </c>
      <c r="J26" s="103">
        <v>9</v>
      </c>
      <c r="K26" s="103">
        <v>53</v>
      </c>
      <c r="L26" s="104" t="s">
        <v>27</v>
      </c>
    </row>
    <row r="27" spans="1:12" x14ac:dyDescent="0.3">
      <c r="A27" s="95">
        <v>26</v>
      </c>
      <c r="B27" s="96">
        <v>77.5</v>
      </c>
      <c r="C27" s="96">
        <v>25</v>
      </c>
      <c r="D27" s="97">
        <v>1926</v>
      </c>
      <c r="E27" s="97">
        <v>12</v>
      </c>
      <c r="F27" s="97">
        <v>31</v>
      </c>
      <c r="G27" s="99">
        <v>5.5</v>
      </c>
      <c r="H27" s="100" t="s">
        <v>26</v>
      </c>
      <c r="I27" s="97">
        <v>0</v>
      </c>
      <c r="J27" s="97">
        <v>16</v>
      </c>
      <c r="K27" s="97">
        <v>53</v>
      </c>
      <c r="L27" s="98">
        <v>2</v>
      </c>
    </row>
    <row r="28" spans="1:12" x14ac:dyDescent="0.3">
      <c r="A28" s="95">
        <v>27</v>
      </c>
      <c r="B28" s="102">
        <v>77.5</v>
      </c>
      <c r="C28" s="102">
        <v>25</v>
      </c>
      <c r="D28" s="103">
        <v>1929</v>
      </c>
      <c r="E28" s="103">
        <v>4</v>
      </c>
      <c r="F28" s="103">
        <v>11</v>
      </c>
      <c r="G28" s="99">
        <v>5.5</v>
      </c>
      <c r="H28" s="100" t="s">
        <v>26</v>
      </c>
      <c r="I28" s="103">
        <v>0</v>
      </c>
      <c r="J28" s="103">
        <v>5</v>
      </c>
      <c r="K28" s="103">
        <v>23</v>
      </c>
      <c r="L28" s="104" t="s">
        <v>27</v>
      </c>
    </row>
    <row r="29" spans="1:12" x14ac:dyDescent="0.3">
      <c r="A29" s="95">
        <v>28</v>
      </c>
      <c r="B29" s="96">
        <v>77.5</v>
      </c>
      <c r="C29" s="96">
        <v>25</v>
      </c>
      <c r="D29" s="97">
        <v>1930</v>
      </c>
      <c r="E29" s="97">
        <v>6</v>
      </c>
      <c r="F29" s="97">
        <v>25</v>
      </c>
      <c r="G29" s="99">
        <v>5.5</v>
      </c>
      <c r="H29" s="100" t="s">
        <v>26</v>
      </c>
      <c r="I29" s="97">
        <v>0</v>
      </c>
      <c r="J29" s="97">
        <v>0</v>
      </c>
      <c r="K29" s="97">
        <v>49</v>
      </c>
      <c r="L29" s="98">
        <v>2</v>
      </c>
    </row>
    <row r="30" spans="1:12" x14ac:dyDescent="0.3">
      <c r="A30" s="95">
        <v>29</v>
      </c>
      <c r="B30" s="96">
        <v>75.75</v>
      </c>
      <c r="C30" s="96">
        <v>21.5</v>
      </c>
      <c r="D30" s="97">
        <v>1938</v>
      </c>
      <c r="E30" s="97">
        <v>3</v>
      </c>
      <c r="F30" s="97">
        <v>14</v>
      </c>
      <c r="G30" s="99">
        <v>6.2</v>
      </c>
      <c r="H30" s="100" t="s">
        <v>26</v>
      </c>
      <c r="I30" s="97">
        <v>50</v>
      </c>
      <c r="J30" s="97">
        <v>0</v>
      </c>
      <c r="K30" s="97">
        <v>48</v>
      </c>
      <c r="L30" s="98">
        <v>1</v>
      </c>
    </row>
    <row r="31" spans="1:12" x14ac:dyDescent="0.3">
      <c r="A31" s="95">
        <v>30</v>
      </c>
      <c r="B31" s="96">
        <v>80</v>
      </c>
      <c r="C31" s="96">
        <v>22</v>
      </c>
      <c r="D31" s="97">
        <v>1957</v>
      </c>
      <c r="E31" s="97">
        <v>8</v>
      </c>
      <c r="F31" s="97">
        <v>25</v>
      </c>
      <c r="G31" s="99">
        <v>5.5</v>
      </c>
      <c r="H31" s="100" t="s">
        <v>26</v>
      </c>
      <c r="I31" s="97">
        <v>0</v>
      </c>
      <c r="J31" s="97">
        <v>21</v>
      </c>
      <c r="K31" s="97">
        <v>4</v>
      </c>
      <c r="L31" s="98">
        <v>1</v>
      </c>
    </row>
    <row r="32" spans="1:12" x14ac:dyDescent="0.3">
      <c r="A32" s="95">
        <v>31</v>
      </c>
      <c r="B32" s="102">
        <v>73</v>
      </c>
      <c r="C32" s="102">
        <v>24.2</v>
      </c>
      <c r="D32" s="103">
        <v>1962</v>
      </c>
      <c r="E32" s="103">
        <v>9</v>
      </c>
      <c r="F32" s="103">
        <v>2</v>
      </c>
      <c r="G32" s="99">
        <v>5</v>
      </c>
      <c r="H32" s="100" t="s">
        <v>26</v>
      </c>
      <c r="I32" s="103">
        <v>0</v>
      </c>
      <c r="J32" s="103">
        <v>4</v>
      </c>
      <c r="K32" s="103">
        <v>21</v>
      </c>
      <c r="L32" s="104" t="s">
        <v>27</v>
      </c>
    </row>
    <row r="33" spans="1:12" x14ac:dyDescent="0.3">
      <c r="A33" s="95">
        <v>32</v>
      </c>
      <c r="B33" s="102">
        <v>72.495599999999996</v>
      </c>
      <c r="C33" s="102">
        <v>24.768999999999998</v>
      </c>
      <c r="D33" s="103">
        <v>1969</v>
      </c>
      <c r="E33" s="103">
        <v>10</v>
      </c>
      <c r="F33" s="103">
        <v>24</v>
      </c>
      <c r="G33" s="99">
        <v>5.3458699999999997</v>
      </c>
      <c r="H33" s="100" t="s">
        <v>26</v>
      </c>
      <c r="I33" s="103">
        <v>30.2</v>
      </c>
      <c r="J33" s="103">
        <v>11</v>
      </c>
      <c r="K33" s="103">
        <v>45</v>
      </c>
      <c r="L33" s="104" t="s">
        <v>10</v>
      </c>
    </row>
    <row r="34" spans="1:12" x14ac:dyDescent="0.3">
      <c r="A34" s="95">
        <v>33</v>
      </c>
      <c r="B34" s="102">
        <v>73.052400000000006</v>
      </c>
      <c r="C34" s="102">
        <v>21.586200000000002</v>
      </c>
      <c r="D34" s="103">
        <v>1970</v>
      </c>
      <c r="E34" s="103">
        <v>3</v>
      </c>
      <c r="F34" s="103">
        <v>23</v>
      </c>
      <c r="G34" s="99">
        <v>5.6583899999999998</v>
      </c>
      <c r="H34" s="100" t="s">
        <v>26</v>
      </c>
      <c r="I34" s="103">
        <v>13.9</v>
      </c>
      <c r="J34" s="103">
        <v>1</v>
      </c>
      <c r="K34" s="103">
        <v>53</v>
      </c>
      <c r="L34" s="104" t="s">
        <v>10</v>
      </c>
    </row>
    <row r="35" spans="1:12" x14ac:dyDescent="0.3">
      <c r="A35" s="95">
        <v>34</v>
      </c>
      <c r="B35" s="96">
        <v>71.8</v>
      </c>
      <c r="C35" s="96">
        <v>26.99</v>
      </c>
      <c r="D35" s="97">
        <v>1974</v>
      </c>
      <c r="E35" s="97">
        <v>5</v>
      </c>
      <c r="F35" s="97">
        <v>18</v>
      </c>
      <c r="G35" s="99">
        <v>4.8</v>
      </c>
      <c r="H35" s="100" t="s">
        <v>26</v>
      </c>
      <c r="I35" s="97">
        <v>0</v>
      </c>
      <c r="J35" s="97">
        <v>2</v>
      </c>
      <c r="K35" s="97">
        <v>34</v>
      </c>
      <c r="L35" s="98">
        <v>2</v>
      </c>
    </row>
    <row r="36" spans="1:12" x14ac:dyDescent="0.3">
      <c r="A36" s="95">
        <v>35</v>
      </c>
      <c r="B36" s="96">
        <v>75.36</v>
      </c>
      <c r="C36" s="96">
        <v>23.56</v>
      </c>
      <c r="D36" s="97">
        <v>1978</v>
      </c>
      <c r="E36" s="97">
        <v>9</v>
      </c>
      <c r="F36" s="97">
        <v>27</v>
      </c>
      <c r="G36" s="99">
        <v>4.9000000000000004</v>
      </c>
      <c r="H36" s="100" t="s">
        <v>26</v>
      </c>
      <c r="I36" s="97">
        <v>0</v>
      </c>
      <c r="J36" s="97">
        <v>22</v>
      </c>
      <c r="K36" s="97">
        <v>54</v>
      </c>
      <c r="L36" s="98">
        <v>1</v>
      </c>
    </row>
    <row r="37" spans="1:12" x14ac:dyDescent="0.3">
      <c r="A37" s="95">
        <v>36</v>
      </c>
      <c r="B37" s="102">
        <v>74</v>
      </c>
      <c r="C37" s="102">
        <v>23.4</v>
      </c>
      <c r="D37" s="103">
        <v>1982</v>
      </c>
      <c r="E37" s="103">
        <v>4</v>
      </c>
      <c r="F37" s="103">
        <v>26</v>
      </c>
      <c r="G37" s="99">
        <v>5.1145999999999994</v>
      </c>
      <c r="H37" s="100" t="s">
        <v>26</v>
      </c>
      <c r="I37" s="103">
        <v>0</v>
      </c>
      <c r="J37" s="103">
        <v>6</v>
      </c>
      <c r="K37" s="103">
        <v>6</v>
      </c>
      <c r="L37" s="104" t="s">
        <v>12</v>
      </c>
    </row>
    <row r="38" spans="1:12" x14ac:dyDescent="0.3">
      <c r="A38" s="95">
        <v>37</v>
      </c>
      <c r="B38" s="102">
        <v>73.760000000000005</v>
      </c>
      <c r="C38" s="102">
        <v>19.693999999999999</v>
      </c>
      <c r="D38" s="103">
        <v>1983</v>
      </c>
      <c r="E38" s="103">
        <v>9</v>
      </c>
      <c r="F38" s="103">
        <v>14</v>
      </c>
      <c r="G38" s="99">
        <v>5.0333500000000004</v>
      </c>
      <c r="H38" s="100" t="s">
        <v>26</v>
      </c>
      <c r="I38" s="103">
        <v>33</v>
      </c>
      <c r="J38" s="103">
        <v>21</v>
      </c>
      <c r="K38" s="103">
        <v>53</v>
      </c>
      <c r="L38" s="104" t="s">
        <v>25</v>
      </c>
    </row>
    <row r="39" spans="1:12" x14ac:dyDescent="0.3">
      <c r="A39" s="95">
        <v>38</v>
      </c>
      <c r="B39" s="102">
        <v>74.84</v>
      </c>
      <c r="C39" s="102">
        <v>24.33</v>
      </c>
      <c r="D39" s="103">
        <v>1984</v>
      </c>
      <c r="E39" s="103">
        <v>12</v>
      </c>
      <c r="F39" s="103">
        <v>9</v>
      </c>
      <c r="G39" s="99">
        <v>4.3</v>
      </c>
      <c r="H39" s="100" t="s">
        <v>26</v>
      </c>
      <c r="I39" s="103">
        <v>107</v>
      </c>
      <c r="J39" s="103">
        <v>5</v>
      </c>
      <c r="K39" s="103">
        <v>17</v>
      </c>
      <c r="L39" s="104" t="s">
        <v>27</v>
      </c>
    </row>
    <row r="40" spans="1:12" x14ac:dyDescent="0.3">
      <c r="A40" s="95">
        <v>39</v>
      </c>
      <c r="B40" s="102">
        <v>73.722999999999999</v>
      </c>
      <c r="C40" s="102">
        <v>20.481999999999999</v>
      </c>
      <c r="D40" s="103">
        <v>1986</v>
      </c>
      <c r="E40" s="103">
        <v>2</v>
      </c>
      <c r="F40" s="103">
        <v>26</v>
      </c>
      <c r="G40" s="99">
        <v>4.8770899999999999</v>
      </c>
      <c r="H40" s="100" t="s">
        <v>26</v>
      </c>
      <c r="I40" s="103">
        <v>33</v>
      </c>
      <c r="J40" s="103">
        <v>12</v>
      </c>
      <c r="K40" s="103">
        <v>47</v>
      </c>
      <c r="L40" s="104" t="s">
        <v>25</v>
      </c>
    </row>
    <row r="41" spans="1:12" x14ac:dyDescent="0.3">
      <c r="A41" s="95">
        <v>40</v>
      </c>
      <c r="B41" s="102">
        <v>77.165999999999997</v>
      </c>
      <c r="C41" s="102">
        <v>26.532800000000002</v>
      </c>
      <c r="D41" s="103">
        <v>1986</v>
      </c>
      <c r="E41" s="103">
        <v>11</v>
      </c>
      <c r="F41" s="103">
        <v>2</v>
      </c>
      <c r="G41" s="99">
        <v>4.6273999999999997</v>
      </c>
      <c r="H41" s="100" t="s">
        <v>26</v>
      </c>
      <c r="I41" s="103">
        <v>10</v>
      </c>
      <c r="J41" s="103">
        <v>6</v>
      </c>
      <c r="K41" s="103">
        <v>16</v>
      </c>
      <c r="L41" s="104" t="s">
        <v>12</v>
      </c>
    </row>
    <row r="42" spans="1:12" x14ac:dyDescent="0.3">
      <c r="A42" s="95">
        <v>41</v>
      </c>
      <c r="B42" s="102">
        <v>73.453900000000004</v>
      </c>
      <c r="C42" s="102">
        <v>24.545400000000001</v>
      </c>
      <c r="D42" s="103">
        <v>1986</v>
      </c>
      <c r="E42" s="103">
        <v>11</v>
      </c>
      <c r="F42" s="103">
        <v>15</v>
      </c>
      <c r="G42" s="99">
        <v>5.1145999999999994</v>
      </c>
      <c r="H42" s="100" t="s">
        <v>26</v>
      </c>
      <c r="I42" s="103">
        <v>10</v>
      </c>
      <c r="J42" s="103">
        <v>0</v>
      </c>
      <c r="K42" s="103">
        <v>25</v>
      </c>
      <c r="L42" s="104" t="s">
        <v>12</v>
      </c>
    </row>
    <row r="43" spans="1:12" x14ac:dyDescent="0.3">
      <c r="A43" s="95">
        <v>42</v>
      </c>
      <c r="B43" s="102">
        <v>79.259</v>
      </c>
      <c r="C43" s="102">
        <v>22.346</v>
      </c>
      <c r="D43" s="103">
        <v>1987</v>
      </c>
      <c r="E43" s="103">
        <v>4</v>
      </c>
      <c r="F43" s="103">
        <v>18</v>
      </c>
      <c r="G43" s="99">
        <v>5.3458699999999997</v>
      </c>
      <c r="H43" s="100" t="s">
        <v>26</v>
      </c>
      <c r="I43" s="103">
        <v>33</v>
      </c>
      <c r="J43" s="103">
        <v>16</v>
      </c>
      <c r="K43" s="103">
        <v>59</v>
      </c>
      <c r="L43" s="104" t="s">
        <v>25</v>
      </c>
    </row>
    <row r="44" spans="1:12" x14ac:dyDescent="0.3">
      <c r="A44" s="95">
        <v>43</v>
      </c>
      <c r="B44" s="102">
        <v>72.900000000000006</v>
      </c>
      <c r="C44" s="102">
        <v>20.100000000000001</v>
      </c>
      <c r="D44" s="103">
        <v>1989</v>
      </c>
      <c r="E44" s="103">
        <v>6</v>
      </c>
      <c r="F44" s="103">
        <v>21</v>
      </c>
      <c r="G44" s="99">
        <v>4.0999999999999996</v>
      </c>
      <c r="H44" s="100" t="s">
        <v>26</v>
      </c>
      <c r="I44" s="103">
        <v>33</v>
      </c>
      <c r="J44" s="103">
        <v>21</v>
      </c>
      <c r="K44" s="103">
        <v>5</v>
      </c>
      <c r="L44" s="104" t="s">
        <v>27</v>
      </c>
    </row>
    <row r="45" spans="1:12" x14ac:dyDescent="0.3">
      <c r="A45" s="95">
        <v>44</v>
      </c>
      <c r="B45" s="96">
        <v>71.599999999999994</v>
      </c>
      <c r="C45" s="96">
        <v>18.350000000000001</v>
      </c>
      <c r="D45" s="97">
        <v>1991</v>
      </c>
      <c r="E45" s="97">
        <v>8</v>
      </c>
      <c r="F45" s="97">
        <v>12</v>
      </c>
      <c r="G45" s="99">
        <v>3.9</v>
      </c>
      <c r="H45" s="100" t="s">
        <v>26</v>
      </c>
      <c r="I45" s="97">
        <v>33</v>
      </c>
      <c r="J45" s="97">
        <v>16</v>
      </c>
      <c r="K45" s="97">
        <v>41</v>
      </c>
      <c r="L45" s="98">
        <v>2</v>
      </c>
    </row>
    <row r="46" spans="1:12" x14ac:dyDescent="0.3">
      <c r="A46" s="95">
        <v>45</v>
      </c>
      <c r="B46" s="102">
        <v>74.099999999999994</v>
      </c>
      <c r="C46" s="102">
        <v>24.1</v>
      </c>
      <c r="D46" s="103">
        <v>1992</v>
      </c>
      <c r="E46" s="103">
        <v>5</v>
      </c>
      <c r="F46" s="103">
        <v>31</v>
      </c>
      <c r="G46" s="99">
        <v>4.5</v>
      </c>
      <c r="H46" s="100" t="s">
        <v>26</v>
      </c>
      <c r="I46" s="103">
        <v>33</v>
      </c>
      <c r="J46" s="103">
        <v>1</v>
      </c>
      <c r="K46" s="103">
        <v>47</v>
      </c>
      <c r="L46" s="104" t="s">
        <v>27</v>
      </c>
    </row>
    <row r="47" spans="1:12" x14ac:dyDescent="0.3">
      <c r="A47" s="95">
        <v>46</v>
      </c>
      <c r="B47" s="102">
        <v>71.543300000000002</v>
      </c>
      <c r="C47" s="102">
        <v>20.7271</v>
      </c>
      <c r="D47" s="103">
        <v>1993</v>
      </c>
      <c r="E47" s="103">
        <v>8</v>
      </c>
      <c r="F47" s="103">
        <v>24</v>
      </c>
      <c r="G47" s="99">
        <v>5.4239999999999995</v>
      </c>
      <c r="H47" s="100" t="s">
        <v>26</v>
      </c>
      <c r="I47" s="103">
        <v>23.9</v>
      </c>
      <c r="J47" s="103">
        <v>17</v>
      </c>
      <c r="K47" s="103">
        <v>47</v>
      </c>
      <c r="L47" s="104" t="s">
        <v>10</v>
      </c>
    </row>
    <row r="48" spans="1:12" x14ac:dyDescent="0.3">
      <c r="A48" s="95">
        <v>47</v>
      </c>
      <c r="B48" s="102">
        <v>76.62</v>
      </c>
      <c r="C48" s="102">
        <v>18.7</v>
      </c>
      <c r="D48" s="103">
        <v>1993</v>
      </c>
      <c r="E48" s="103">
        <v>9</v>
      </c>
      <c r="F48" s="103">
        <v>30</v>
      </c>
      <c r="G48" s="99">
        <v>6.3</v>
      </c>
      <c r="H48" s="100" t="s">
        <v>26</v>
      </c>
      <c r="I48" s="103">
        <v>12</v>
      </c>
      <c r="J48" s="103">
        <v>3</v>
      </c>
      <c r="K48" s="103">
        <v>55</v>
      </c>
      <c r="L48" s="104" t="s">
        <v>27</v>
      </c>
    </row>
    <row r="49" spans="1:12" x14ac:dyDescent="0.3">
      <c r="A49" s="95">
        <v>48</v>
      </c>
      <c r="B49" s="102">
        <v>80</v>
      </c>
      <c r="C49" s="102">
        <v>23</v>
      </c>
      <c r="D49" s="103">
        <v>1993</v>
      </c>
      <c r="E49" s="103">
        <v>10</v>
      </c>
      <c r="F49" s="103">
        <v>31</v>
      </c>
      <c r="G49" s="99">
        <v>4.7</v>
      </c>
      <c r="H49" s="100" t="s">
        <v>26</v>
      </c>
      <c r="I49" s="103"/>
      <c r="J49" s="103">
        <v>9</v>
      </c>
      <c r="K49" s="103">
        <v>17</v>
      </c>
      <c r="L49" s="104" t="s">
        <v>27</v>
      </c>
    </row>
    <row r="50" spans="1:12" x14ac:dyDescent="0.3">
      <c r="A50" s="95">
        <v>49</v>
      </c>
      <c r="B50" s="102">
        <v>72.739999999999995</v>
      </c>
      <c r="C50" s="102">
        <v>21.117000000000001</v>
      </c>
      <c r="D50" s="103">
        <v>1993</v>
      </c>
      <c r="E50" s="103">
        <v>12</v>
      </c>
      <c r="F50" s="103">
        <v>31</v>
      </c>
      <c r="G50" s="99">
        <v>4.48644</v>
      </c>
      <c r="H50" s="100" t="s">
        <v>26</v>
      </c>
      <c r="I50" s="103">
        <v>33</v>
      </c>
      <c r="J50" s="103">
        <v>13</v>
      </c>
      <c r="K50" s="103">
        <v>32</v>
      </c>
      <c r="L50" s="104" t="s">
        <v>25</v>
      </c>
    </row>
    <row r="51" spans="1:12" x14ac:dyDescent="0.3">
      <c r="A51" s="95">
        <v>50</v>
      </c>
      <c r="B51" s="102">
        <v>78.566000000000003</v>
      </c>
      <c r="C51" s="102">
        <v>25.850999999999999</v>
      </c>
      <c r="D51" s="103">
        <v>1994</v>
      </c>
      <c r="E51" s="103">
        <v>8</v>
      </c>
      <c r="F51" s="103">
        <v>31</v>
      </c>
      <c r="G51" s="99">
        <v>5.1896100000000001</v>
      </c>
      <c r="H51" s="100" t="s">
        <v>26</v>
      </c>
      <c r="I51" s="103">
        <v>33</v>
      </c>
      <c r="J51" s="103">
        <v>23</v>
      </c>
      <c r="K51" s="103">
        <v>29</v>
      </c>
      <c r="L51" s="104" t="s">
        <v>25</v>
      </c>
    </row>
    <row r="52" spans="1:12" x14ac:dyDescent="0.3">
      <c r="A52" s="95">
        <v>51</v>
      </c>
      <c r="B52" s="102">
        <v>78.3</v>
      </c>
      <c r="C52" s="102">
        <v>22.7</v>
      </c>
      <c r="D52" s="103">
        <v>1995</v>
      </c>
      <c r="E52" s="103">
        <v>5</v>
      </c>
      <c r="F52" s="103">
        <v>2</v>
      </c>
      <c r="G52" s="99">
        <v>4.4000000000000004</v>
      </c>
      <c r="H52" s="100" t="s">
        <v>26</v>
      </c>
      <c r="I52" s="103">
        <v>33</v>
      </c>
      <c r="J52" s="103">
        <v>6</v>
      </c>
      <c r="K52" s="103">
        <v>16</v>
      </c>
      <c r="L52" s="104" t="s">
        <v>27</v>
      </c>
    </row>
    <row r="53" spans="1:12" x14ac:dyDescent="0.3">
      <c r="A53" s="95">
        <v>52</v>
      </c>
      <c r="B53" s="102">
        <v>73.3</v>
      </c>
      <c r="C53" s="102">
        <v>24.7</v>
      </c>
      <c r="D53" s="103">
        <v>1996</v>
      </c>
      <c r="E53" s="103">
        <v>1</v>
      </c>
      <c r="F53" s="103">
        <v>4</v>
      </c>
      <c r="G53" s="99">
        <v>4.3</v>
      </c>
      <c r="H53" s="100" t="s">
        <v>26</v>
      </c>
      <c r="I53" s="103">
        <v>33</v>
      </c>
      <c r="J53" s="103">
        <v>13</v>
      </c>
      <c r="K53" s="103">
        <v>0</v>
      </c>
      <c r="L53" s="104" t="s">
        <v>27</v>
      </c>
    </row>
    <row r="54" spans="1:12" x14ac:dyDescent="0.3">
      <c r="A54" s="95">
        <v>53</v>
      </c>
      <c r="B54" s="102">
        <v>77.644499999999994</v>
      </c>
      <c r="C54" s="102">
        <v>22.251899999999999</v>
      </c>
      <c r="D54" s="103">
        <v>1996</v>
      </c>
      <c r="E54" s="103">
        <v>1</v>
      </c>
      <c r="F54" s="103">
        <v>10</v>
      </c>
      <c r="G54" s="99">
        <v>4.7208299999999994</v>
      </c>
      <c r="H54" s="100" t="s">
        <v>26</v>
      </c>
      <c r="I54" s="103">
        <v>35</v>
      </c>
      <c r="J54" s="103">
        <v>10</v>
      </c>
      <c r="K54" s="103">
        <v>37</v>
      </c>
      <c r="L54" s="104" t="s">
        <v>10</v>
      </c>
    </row>
    <row r="55" spans="1:12" x14ac:dyDescent="0.3">
      <c r="A55" s="95">
        <v>54</v>
      </c>
      <c r="B55" s="102">
        <v>76.099999999999994</v>
      </c>
      <c r="C55" s="102">
        <v>24.1</v>
      </c>
      <c r="D55" s="103">
        <v>1996</v>
      </c>
      <c r="E55" s="103">
        <v>2</v>
      </c>
      <c r="F55" s="103">
        <v>13</v>
      </c>
      <c r="G55" s="99">
        <v>3.6</v>
      </c>
      <c r="H55" s="100" t="s">
        <v>26</v>
      </c>
      <c r="I55" s="103">
        <v>33</v>
      </c>
      <c r="J55" s="103">
        <v>1</v>
      </c>
      <c r="K55" s="103">
        <v>50</v>
      </c>
      <c r="L55" s="104" t="s">
        <v>27</v>
      </c>
    </row>
    <row r="56" spans="1:12" x14ac:dyDescent="0.3">
      <c r="A56" s="95">
        <v>55</v>
      </c>
      <c r="B56" s="96">
        <v>72.62</v>
      </c>
      <c r="C56" s="96">
        <v>26.82</v>
      </c>
      <c r="D56" s="97">
        <v>1996</v>
      </c>
      <c r="E56" s="97">
        <v>2</v>
      </c>
      <c r="F56" s="97">
        <v>27</v>
      </c>
      <c r="G56" s="99">
        <v>4.3</v>
      </c>
      <c r="H56" s="100" t="s">
        <v>26</v>
      </c>
      <c r="I56" s="97">
        <v>0</v>
      </c>
      <c r="J56" s="97">
        <v>9</v>
      </c>
      <c r="K56" s="97">
        <v>4</v>
      </c>
      <c r="L56" s="98">
        <v>1</v>
      </c>
    </row>
    <row r="57" spans="1:12" x14ac:dyDescent="0.3">
      <c r="A57" s="95">
        <v>56</v>
      </c>
      <c r="B57" s="102">
        <v>74.5</v>
      </c>
      <c r="C57" s="102">
        <v>22.1</v>
      </c>
      <c r="D57" s="103">
        <v>1996</v>
      </c>
      <c r="E57" s="103">
        <v>3</v>
      </c>
      <c r="F57" s="103">
        <v>12</v>
      </c>
      <c r="G57" s="99">
        <v>3.5</v>
      </c>
      <c r="H57" s="100" t="s">
        <v>26</v>
      </c>
      <c r="I57" s="103">
        <v>33</v>
      </c>
      <c r="J57" s="103">
        <v>9</v>
      </c>
      <c r="K57" s="103">
        <v>38</v>
      </c>
      <c r="L57" s="104" t="s">
        <v>27</v>
      </c>
    </row>
    <row r="58" spans="1:12" x14ac:dyDescent="0.3">
      <c r="A58" s="95">
        <v>57</v>
      </c>
      <c r="B58" s="102">
        <v>77.2</v>
      </c>
      <c r="C58" s="102">
        <v>26.5</v>
      </c>
      <c r="D58" s="103">
        <v>1996</v>
      </c>
      <c r="E58" s="103">
        <v>7</v>
      </c>
      <c r="F58" s="103">
        <v>29</v>
      </c>
      <c r="G58" s="99">
        <v>3.5</v>
      </c>
      <c r="H58" s="100" t="s">
        <v>26</v>
      </c>
      <c r="I58" s="103">
        <v>0</v>
      </c>
      <c r="J58" s="103">
        <v>2</v>
      </c>
      <c r="K58" s="103">
        <v>24</v>
      </c>
      <c r="L58" s="104" t="s">
        <v>27</v>
      </c>
    </row>
    <row r="59" spans="1:12" x14ac:dyDescent="0.3">
      <c r="A59" s="95">
        <v>58</v>
      </c>
      <c r="B59" s="102">
        <v>76.727000000000004</v>
      </c>
      <c r="C59" s="102">
        <v>18.238600000000002</v>
      </c>
      <c r="D59" s="103">
        <v>1996</v>
      </c>
      <c r="E59" s="103">
        <v>11</v>
      </c>
      <c r="F59" s="103">
        <v>10</v>
      </c>
      <c r="G59" s="99">
        <v>4.8770899999999999</v>
      </c>
      <c r="H59" s="100" t="s">
        <v>26</v>
      </c>
      <c r="I59" s="103">
        <v>35</v>
      </c>
      <c r="J59" s="103">
        <v>9</v>
      </c>
      <c r="K59" s="103">
        <v>0</v>
      </c>
      <c r="L59" s="104" t="s">
        <v>10</v>
      </c>
    </row>
    <row r="60" spans="1:12" x14ac:dyDescent="0.3">
      <c r="A60" s="95">
        <v>59</v>
      </c>
      <c r="B60" s="102">
        <v>73.042000000000002</v>
      </c>
      <c r="C60" s="102">
        <v>21.471</v>
      </c>
      <c r="D60" s="103">
        <v>1996</v>
      </c>
      <c r="E60" s="103">
        <v>11</v>
      </c>
      <c r="F60" s="103">
        <v>17</v>
      </c>
      <c r="G60" s="99">
        <v>4.7989600000000001</v>
      </c>
      <c r="H60" s="100" t="s">
        <v>26</v>
      </c>
      <c r="I60" s="103">
        <v>10</v>
      </c>
      <c r="J60" s="103">
        <v>18</v>
      </c>
      <c r="K60" s="103">
        <v>12</v>
      </c>
      <c r="L60" s="104" t="s">
        <v>25</v>
      </c>
    </row>
    <row r="61" spans="1:12" x14ac:dyDescent="0.3">
      <c r="A61" s="95">
        <v>60</v>
      </c>
      <c r="B61" s="96">
        <v>80.14</v>
      </c>
      <c r="C61" s="96">
        <v>23.08</v>
      </c>
      <c r="D61" s="97">
        <v>1997</v>
      </c>
      <c r="E61" s="97">
        <v>5</v>
      </c>
      <c r="F61" s="97">
        <v>21</v>
      </c>
      <c r="G61" s="99">
        <v>6.1</v>
      </c>
      <c r="H61" s="100" t="s">
        <v>26</v>
      </c>
      <c r="I61" s="97">
        <v>36</v>
      </c>
      <c r="J61" s="97">
        <v>22</v>
      </c>
      <c r="K61" s="97">
        <v>51</v>
      </c>
      <c r="L61" s="98">
        <v>2</v>
      </c>
    </row>
    <row r="62" spans="1:12" x14ac:dyDescent="0.3">
      <c r="A62" s="95">
        <v>61</v>
      </c>
      <c r="B62" s="102">
        <v>79.928899999999999</v>
      </c>
      <c r="C62" s="102">
        <v>23.1023</v>
      </c>
      <c r="D62" s="103">
        <v>1997</v>
      </c>
      <c r="E62" s="103">
        <v>6</v>
      </c>
      <c r="F62" s="103">
        <v>4</v>
      </c>
      <c r="G62" s="99">
        <v>4.48644</v>
      </c>
      <c r="H62" s="100" t="s">
        <v>26</v>
      </c>
      <c r="I62" s="103">
        <v>35</v>
      </c>
      <c r="J62" s="103">
        <v>19</v>
      </c>
      <c r="K62" s="103">
        <v>29</v>
      </c>
      <c r="L62" s="104" t="s">
        <v>10</v>
      </c>
    </row>
    <row r="63" spans="1:12" x14ac:dyDescent="0.3">
      <c r="A63" s="95">
        <v>62</v>
      </c>
      <c r="B63" s="102">
        <v>73.599999999999994</v>
      </c>
      <c r="C63" s="102">
        <v>25</v>
      </c>
      <c r="D63" s="103">
        <v>1997</v>
      </c>
      <c r="E63" s="103">
        <v>7</v>
      </c>
      <c r="F63" s="103">
        <v>29</v>
      </c>
      <c r="G63" s="99">
        <v>4.5999999999999996</v>
      </c>
      <c r="H63" s="100" t="s">
        <v>26</v>
      </c>
      <c r="I63" s="103">
        <v>33</v>
      </c>
      <c r="J63" s="103">
        <v>15</v>
      </c>
      <c r="K63" s="103">
        <v>13</v>
      </c>
      <c r="L63" s="104" t="s">
        <v>27</v>
      </c>
    </row>
    <row r="64" spans="1:12" x14ac:dyDescent="0.3">
      <c r="A64" s="95">
        <v>63</v>
      </c>
      <c r="B64" s="102">
        <v>75.25</v>
      </c>
      <c r="C64" s="102">
        <v>21.55</v>
      </c>
      <c r="D64" s="103">
        <v>1997</v>
      </c>
      <c r="E64" s="103">
        <v>11</v>
      </c>
      <c r="F64" s="103">
        <v>13</v>
      </c>
      <c r="G64" s="99">
        <v>4.8770899999999999</v>
      </c>
      <c r="H64" s="100" t="s">
        <v>26</v>
      </c>
      <c r="I64" s="103">
        <v>8</v>
      </c>
      <c r="J64" s="103">
        <v>20</v>
      </c>
      <c r="K64" s="103">
        <v>17</v>
      </c>
      <c r="L64" s="104" t="s">
        <v>12</v>
      </c>
    </row>
    <row r="65" spans="1:12" x14ac:dyDescent="0.3">
      <c r="A65" s="95">
        <v>64</v>
      </c>
      <c r="B65" s="102">
        <v>78.016000000000005</v>
      </c>
      <c r="C65" s="102">
        <v>22.486999999999998</v>
      </c>
      <c r="D65" s="103">
        <v>1998</v>
      </c>
      <c r="E65" s="103">
        <v>3</v>
      </c>
      <c r="F65" s="103">
        <v>9</v>
      </c>
      <c r="G65" s="99">
        <v>4.8770899999999999</v>
      </c>
      <c r="H65" s="100" t="s">
        <v>26</v>
      </c>
      <c r="I65" s="103">
        <v>10</v>
      </c>
      <c r="J65" s="103">
        <v>7</v>
      </c>
      <c r="K65" s="103">
        <v>41</v>
      </c>
      <c r="L65" s="104" t="s">
        <v>25</v>
      </c>
    </row>
    <row r="66" spans="1:12" x14ac:dyDescent="0.3">
      <c r="A66" s="95">
        <v>65</v>
      </c>
      <c r="B66" s="96">
        <v>79.260000000000005</v>
      </c>
      <c r="C66" s="96">
        <v>22.51</v>
      </c>
      <c r="D66" s="97">
        <v>1998</v>
      </c>
      <c r="E66" s="97">
        <v>3</v>
      </c>
      <c r="F66" s="97">
        <v>29</v>
      </c>
      <c r="G66" s="99">
        <v>4.3</v>
      </c>
      <c r="H66" s="100" t="s">
        <v>26</v>
      </c>
      <c r="I66" s="97">
        <v>0</v>
      </c>
      <c r="J66" s="97">
        <v>18</v>
      </c>
      <c r="K66" s="97">
        <v>54</v>
      </c>
      <c r="L66" s="98">
        <v>1</v>
      </c>
    </row>
    <row r="67" spans="1:12" x14ac:dyDescent="0.3">
      <c r="A67" s="95">
        <v>66</v>
      </c>
      <c r="B67" s="96">
        <v>71.8</v>
      </c>
      <c r="C67" s="96">
        <v>27.1</v>
      </c>
      <c r="D67" s="97">
        <v>1998</v>
      </c>
      <c r="E67" s="97">
        <v>5</v>
      </c>
      <c r="F67" s="97">
        <v>11</v>
      </c>
      <c r="G67" s="99">
        <v>5.2</v>
      </c>
      <c r="H67" s="100" t="s">
        <v>26</v>
      </c>
      <c r="I67" s="97">
        <v>0</v>
      </c>
      <c r="J67" s="97">
        <v>10</v>
      </c>
      <c r="K67" s="97">
        <v>13</v>
      </c>
      <c r="L67" s="98">
        <v>2</v>
      </c>
    </row>
    <row r="68" spans="1:12" x14ac:dyDescent="0.3">
      <c r="A68" s="95">
        <v>67</v>
      </c>
      <c r="B68" s="102">
        <v>73.900000000000006</v>
      </c>
      <c r="C68" s="102">
        <v>19.2</v>
      </c>
      <c r="D68" s="103">
        <v>1998</v>
      </c>
      <c r="E68" s="103">
        <v>5</v>
      </c>
      <c r="F68" s="103">
        <v>31</v>
      </c>
      <c r="G68" s="99">
        <v>3.6</v>
      </c>
      <c r="H68" s="100" t="s">
        <v>26</v>
      </c>
      <c r="I68" s="103">
        <v>10</v>
      </c>
      <c r="J68" s="103">
        <v>18</v>
      </c>
      <c r="K68" s="103">
        <v>58</v>
      </c>
      <c r="L68" s="104" t="s">
        <v>27</v>
      </c>
    </row>
    <row r="69" spans="1:12" x14ac:dyDescent="0.3">
      <c r="A69" s="95">
        <v>68</v>
      </c>
      <c r="B69" s="102">
        <v>78.2</v>
      </c>
      <c r="C69" s="102">
        <v>22.39</v>
      </c>
      <c r="D69" s="103">
        <v>1998</v>
      </c>
      <c r="E69" s="103">
        <v>7</v>
      </c>
      <c r="F69" s="103">
        <v>19</v>
      </c>
      <c r="G69" s="99">
        <v>4.9552200000000006</v>
      </c>
      <c r="H69" s="100" t="s">
        <v>26</v>
      </c>
      <c r="I69" s="103">
        <v>33</v>
      </c>
      <c r="J69" s="103">
        <v>18</v>
      </c>
      <c r="K69" s="103">
        <v>27</v>
      </c>
      <c r="L69" s="104" t="s">
        <v>27</v>
      </c>
    </row>
    <row r="70" spans="1:12" x14ac:dyDescent="0.3">
      <c r="A70" s="95">
        <v>69</v>
      </c>
      <c r="B70" s="102">
        <v>76.680000000000007</v>
      </c>
      <c r="C70" s="102">
        <v>18.8</v>
      </c>
      <c r="D70" s="103">
        <v>1998</v>
      </c>
      <c r="E70" s="103">
        <v>8</v>
      </c>
      <c r="F70" s="103">
        <v>10</v>
      </c>
      <c r="G70" s="99">
        <v>4.1402000000000001</v>
      </c>
      <c r="H70" s="100" t="s">
        <v>26</v>
      </c>
      <c r="I70" s="103">
        <v>10</v>
      </c>
      <c r="J70" s="103">
        <v>22</v>
      </c>
      <c r="K70" s="103">
        <v>50</v>
      </c>
      <c r="L70" s="104" t="s">
        <v>27</v>
      </c>
    </row>
    <row r="71" spans="1:12" x14ac:dyDescent="0.3">
      <c r="A71" s="95">
        <v>70</v>
      </c>
      <c r="B71" s="102">
        <v>72.099999999999994</v>
      </c>
      <c r="C71" s="102">
        <v>20.46</v>
      </c>
      <c r="D71" s="103">
        <v>1998</v>
      </c>
      <c r="E71" s="103">
        <v>9</v>
      </c>
      <c r="F71" s="103">
        <v>3</v>
      </c>
      <c r="G71" s="99">
        <v>3.9314</v>
      </c>
      <c r="H71" s="100" t="s">
        <v>26</v>
      </c>
      <c r="I71" s="103">
        <v>13</v>
      </c>
      <c r="J71" s="103">
        <v>4</v>
      </c>
      <c r="K71" s="103">
        <v>28</v>
      </c>
      <c r="L71" s="104" t="s">
        <v>27</v>
      </c>
    </row>
    <row r="72" spans="1:12" x14ac:dyDescent="0.3">
      <c r="A72" s="95">
        <v>71</v>
      </c>
      <c r="B72" s="102">
        <v>75.75</v>
      </c>
      <c r="C72" s="102">
        <v>22.11</v>
      </c>
      <c r="D72" s="103">
        <v>1998</v>
      </c>
      <c r="E72" s="103">
        <v>9</v>
      </c>
      <c r="F72" s="103">
        <v>14</v>
      </c>
      <c r="G72" s="99">
        <v>3.6688899999999998</v>
      </c>
      <c r="H72" s="100" t="s">
        <v>26</v>
      </c>
      <c r="I72" s="103">
        <v>15</v>
      </c>
      <c r="J72" s="103">
        <v>2</v>
      </c>
      <c r="K72" s="103">
        <v>12</v>
      </c>
      <c r="L72" s="104" t="s">
        <v>27</v>
      </c>
    </row>
    <row r="73" spans="1:12" x14ac:dyDescent="0.3">
      <c r="A73" s="95">
        <v>72</v>
      </c>
      <c r="B73" s="102">
        <v>75.92</v>
      </c>
      <c r="C73" s="102">
        <v>21.87</v>
      </c>
      <c r="D73" s="103">
        <v>1998</v>
      </c>
      <c r="E73" s="103">
        <v>10</v>
      </c>
      <c r="F73" s="103">
        <v>11</v>
      </c>
      <c r="G73" s="99">
        <v>3.8618000000000001</v>
      </c>
      <c r="H73" s="100" t="s">
        <v>26</v>
      </c>
      <c r="I73" s="103">
        <v>1</v>
      </c>
      <c r="J73" s="103">
        <v>17</v>
      </c>
      <c r="K73" s="103">
        <v>51</v>
      </c>
      <c r="L73" s="104" t="s">
        <v>27</v>
      </c>
    </row>
    <row r="74" spans="1:12" x14ac:dyDescent="0.3">
      <c r="A74" s="95">
        <v>73</v>
      </c>
      <c r="B74" s="102">
        <v>76.900000000000006</v>
      </c>
      <c r="C74" s="102">
        <v>21.69</v>
      </c>
      <c r="D74" s="103">
        <v>1998</v>
      </c>
      <c r="E74" s="103">
        <v>10</v>
      </c>
      <c r="F74" s="103">
        <v>20</v>
      </c>
      <c r="G74" s="99">
        <v>4.1402000000000001</v>
      </c>
      <c r="H74" s="100" t="s">
        <v>26</v>
      </c>
      <c r="I74" s="103">
        <v>2</v>
      </c>
      <c r="J74" s="103">
        <v>14</v>
      </c>
      <c r="K74" s="103">
        <v>35</v>
      </c>
      <c r="L74" s="104" t="s">
        <v>27</v>
      </c>
    </row>
    <row r="75" spans="1:12" x14ac:dyDescent="0.3">
      <c r="A75" s="95">
        <v>74</v>
      </c>
      <c r="B75" s="102">
        <v>76.38</v>
      </c>
      <c r="C75" s="102">
        <v>21.63</v>
      </c>
      <c r="D75" s="103">
        <v>1998</v>
      </c>
      <c r="E75" s="103">
        <v>11</v>
      </c>
      <c r="F75" s="103">
        <v>5</v>
      </c>
      <c r="G75" s="99">
        <v>4.0705999999999998</v>
      </c>
      <c r="H75" s="100" t="s">
        <v>26</v>
      </c>
      <c r="I75" s="103">
        <v>10</v>
      </c>
      <c r="J75" s="103">
        <v>11</v>
      </c>
      <c r="K75" s="103">
        <v>12</v>
      </c>
      <c r="L75" s="104" t="s">
        <v>27</v>
      </c>
    </row>
    <row r="76" spans="1:12" x14ac:dyDescent="0.3">
      <c r="A76" s="95">
        <v>75</v>
      </c>
      <c r="B76" s="102">
        <v>71.599999999999994</v>
      </c>
      <c r="C76" s="102">
        <v>21.94</v>
      </c>
      <c r="D76" s="103">
        <v>1998</v>
      </c>
      <c r="E76" s="103">
        <v>11</v>
      </c>
      <c r="F76" s="103">
        <v>28</v>
      </c>
      <c r="G76" s="99">
        <v>4.0009999999999994</v>
      </c>
      <c r="H76" s="100" t="s">
        <v>26</v>
      </c>
      <c r="I76" s="103">
        <v>15</v>
      </c>
      <c r="J76" s="103">
        <v>22</v>
      </c>
      <c r="K76" s="103">
        <v>29</v>
      </c>
      <c r="L76" s="104" t="s">
        <v>27</v>
      </c>
    </row>
    <row r="77" spans="1:12" x14ac:dyDescent="0.3">
      <c r="A77" s="95">
        <v>76</v>
      </c>
      <c r="B77" s="102">
        <v>73.64</v>
      </c>
      <c r="C77" s="102">
        <v>24.88</v>
      </c>
      <c r="D77" s="103">
        <v>1998</v>
      </c>
      <c r="E77" s="103">
        <v>12</v>
      </c>
      <c r="F77" s="103">
        <v>27</v>
      </c>
      <c r="G77" s="99">
        <v>4.0705999999999998</v>
      </c>
      <c r="H77" s="100" t="s">
        <v>26</v>
      </c>
      <c r="I77" s="103">
        <v>5</v>
      </c>
      <c r="J77" s="103">
        <v>1</v>
      </c>
      <c r="K77" s="103">
        <v>44</v>
      </c>
      <c r="L77" s="104" t="s">
        <v>27</v>
      </c>
    </row>
    <row r="78" spans="1:12" x14ac:dyDescent="0.3">
      <c r="A78" s="95">
        <v>77</v>
      </c>
      <c r="B78" s="102">
        <v>76.5</v>
      </c>
      <c r="C78" s="102">
        <v>18.3</v>
      </c>
      <c r="D78" s="103">
        <v>1999</v>
      </c>
      <c r="E78" s="103">
        <v>2</v>
      </c>
      <c r="F78" s="103">
        <v>20</v>
      </c>
      <c r="G78" s="99">
        <v>4.48644</v>
      </c>
      <c r="H78" s="100" t="s">
        <v>26</v>
      </c>
      <c r="I78" s="103">
        <v>10</v>
      </c>
      <c r="J78" s="103">
        <v>16</v>
      </c>
      <c r="K78" s="103">
        <v>50</v>
      </c>
      <c r="L78" s="104" t="s">
        <v>27</v>
      </c>
    </row>
    <row r="79" spans="1:12" x14ac:dyDescent="0.3">
      <c r="A79" s="95">
        <v>78</v>
      </c>
      <c r="B79" s="102">
        <v>78.55</v>
      </c>
      <c r="C79" s="102">
        <v>21.46</v>
      </c>
      <c r="D79" s="103">
        <v>1999</v>
      </c>
      <c r="E79" s="103">
        <v>2</v>
      </c>
      <c r="F79" s="103">
        <v>27</v>
      </c>
      <c r="G79" s="99">
        <v>4.4185999999999996</v>
      </c>
      <c r="H79" s="100" t="s">
        <v>26</v>
      </c>
      <c r="I79" s="103">
        <v>34</v>
      </c>
      <c r="J79" s="103">
        <v>3</v>
      </c>
      <c r="K79" s="103">
        <v>37</v>
      </c>
      <c r="L79" s="104" t="s">
        <v>27</v>
      </c>
    </row>
    <row r="80" spans="1:12" x14ac:dyDescent="0.3">
      <c r="A80" s="95">
        <v>79</v>
      </c>
      <c r="B80" s="102">
        <v>78.099999999999994</v>
      </c>
      <c r="C80" s="102">
        <v>23.54</v>
      </c>
      <c r="D80" s="103">
        <v>1999</v>
      </c>
      <c r="E80" s="103">
        <v>4</v>
      </c>
      <c r="F80" s="103">
        <v>3</v>
      </c>
      <c r="G80" s="99">
        <v>4.6213600000000001</v>
      </c>
      <c r="H80" s="100" t="s">
        <v>26</v>
      </c>
      <c r="I80" s="103">
        <v>30</v>
      </c>
      <c r="J80" s="103">
        <v>15</v>
      </c>
      <c r="K80" s="103">
        <v>8</v>
      </c>
      <c r="L80" s="104" t="s">
        <v>27</v>
      </c>
    </row>
    <row r="81" spans="1:12" x14ac:dyDescent="0.3">
      <c r="A81" s="95">
        <v>80</v>
      </c>
      <c r="B81" s="102">
        <v>77.19</v>
      </c>
      <c r="C81" s="102">
        <v>22.12</v>
      </c>
      <c r="D81" s="103">
        <v>1999</v>
      </c>
      <c r="E81" s="103">
        <v>5</v>
      </c>
      <c r="F81" s="103">
        <v>11</v>
      </c>
      <c r="G81" s="99">
        <v>3.7921999999999998</v>
      </c>
      <c r="H81" s="100" t="s">
        <v>26</v>
      </c>
      <c r="I81" s="103">
        <v>5</v>
      </c>
      <c r="J81" s="103">
        <v>7</v>
      </c>
      <c r="K81" s="103">
        <v>26</v>
      </c>
      <c r="L81" s="104" t="s">
        <v>27</v>
      </c>
    </row>
    <row r="82" spans="1:12" x14ac:dyDescent="0.3">
      <c r="A82" s="95">
        <v>81</v>
      </c>
      <c r="B82" s="102">
        <v>76.45</v>
      </c>
      <c r="C82" s="102">
        <v>26.4</v>
      </c>
      <c r="D82" s="103">
        <v>1999</v>
      </c>
      <c r="E82" s="103">
        <v>7</v>
      </c>
      <c r="F82" s="103">
        <v>3</v>
      </c>
      <c r="G82" s="99">
        <v>4.2097999999999995</v>
      </c>
      <c r="H82" s="100" t="s">
        <v>26</v>
      </c>
      <c r="I82" s="103">
        <v>10</v>
      </c>
      <c r="J82" s="103">
        <v>21</v>
      </c>
      <c r="K82" s="103">
        <v>29</v>
      </c>
      <c r="L82" s="104" t="s">
        <v>27</v>
      </c>
    </row>
    <row r="83" spans="1:12" x14ac:dyDescent="0.3">
      <c r="A83" s="95">
        <v>82</v>
      </c>
      <c r="B83" s="102">
        <v>74.16</v>
      </c>
      <c r="C83" s="102">
        <v>21.84</v>
      </c>
      <c r="D83" s="103">
        <v>1999</v>
      </c>
      <c r="E83" s="103">
        <v>7</v>
      </c>
      <c r="F83" s="103">
        <v>18</v>
      </c>
      <c r="G83" s="99">
        <v>3.8618000000000001</v>
      </c>
      <c r="H83" s="100" t="s">
        <v>26</v>
      </c>
      <c r="I83" s="103">
        <v>5</v>
      </c>
      <c r="J83" s="103">
        <v>3</v>
      </c>
      <c r="K83" s="103">
        <v>18</v>
      </c>
      <c r="L83" s="104" t="s">
        <v>27</v>
      </c>
    </row>
    <row r="84" spans="1:12" x14ac:dyDescent="0.3">
      <c r="A84" s="95">
        <v>83</v>
      </c>
      <c r="B84" s="102">
        <v>71.930000000000007</v>
      </c>
      <c r="C84" s="102">
        <v>21.81</v>
      </c>
      <c r="D84" s="103">
        <v>1999</v>
      </c>
      <c r="E84" s="103">
        <v>9</v>
      </c>
      <c r="F84" s="103">
        <v>21</v>
      </c>
      <c r="G84" s="99">
        <v>3.8618000000000001</v>
      </c>
      <c r="H84" s="100" t="s">
        <v>26</v>
      </c>
      <c r="I84" s="103">
        <v>2</v>
      </c>
      <c r="J84" s="103">
        <v>11</v>
      </c>
      <c r="K84" s="103">
        <v>53</v>
      </c>
      <c r="L84" s="104" t="s">
        <v>27</v>
      </c>
    </row>
    <row r="85" spans="1:12" x14ac:dyDescent="0.3">
      <c r="A85" s="95">
        <v>84</v>
      </c>
      <c r="B85" s="102">
        <v>77.457999999999998</v>
      </c>
      <c r="C85" s="102">
        <v>19.178000000000001</v>
      </c>
      <c r="D85" s="103">
        <v>1999</v>
      </c>
      <c r="E85" s="103">
        <v>10</v>
      </c>
      <c r="F85" s="103">
        <v>9</v>
      </c>
      <c r="G85" s="99">
        <v>3.6688899999999998</v>
      </c>
      <c r="H85" s="100" t="s">
        <v>26</v>
      </c>
      <c r="I85" s="103">
        <v>15</v>
      </c>
      <c r="J85" s="103">
        <v>5</v>
      </c>
      <c r="K85" s="103">
        <v>58</v>
      </c>
      <c r="L85" s="104" t="s">
        <v>12</v>
      </c>
    </row>
    <row r="86" spans="1:12" x14ac:dyDescent="0.3">
      <c r="A86" s="95">
        <v>85</v>
      </c>
      <c r="B86" s="102">
        <v>77.739999999999995</v>
      </c>
      <c r="C86" s="102">
        <v>19.63</v>
      </c>
      <c r="D86" s="103">
        <v>2000</v>
      </c>
      <c r="E86" s="103">
        <v>3</v>
      </c>
      <c r="F86" s="103">
        <v>27</v>
      </c>
      <c r="G86" s="99">
        <v>3.5630600000000001</v>
      </c>
      <c r="H86" s="100" t="s">
        <v>26</v>
      </c>
      <c r="I86" s="103">
        <v>15</v>
      </c>
      <c r="J86" s="103">
        <v>15</v>
      </c>
      <c r="K86" s="103">
        <v>29</v>
      </c>
      <c r="L86" s="104" t="s">
        <v>27</v>
      </c>
    </row>
    <row r="87" spans="1:12" x14ac:dyDescent="0.3">
      <c r="A87" s="95">
        <v>86</v>
      </c>
      <c r="B87" s="102">
        <v>74.510000000000005</v>
      </c>
      <c r="C87" s="102">
        <v>21.86</v>
      </c>
      <c r="D87" s="103">
        <v>2000</v>
      </c>
      <c r="E87" s="103">
        <v>4</v>
      </c>
      <c r="F87" s="103">
        <v>15</v>
      </c>
      <c r="G87" s="99">
        <v>3.7747199999999999</v>
      </c>
      <c r="H87" s="100" t="s">
        <v>26</v>
      </c>
      <c r="I87" s="103">
        <v>10</v>
      </c>
      <c r="J87" s="103">
        <v>3</v>
      </c>
      <c r="K87" s="103">
        <v>11</v>
      </c>
      <c r="L87" s="104" t="s">
        <v>27</v>
      </c>
    </row>
    <row r="88" spans="1:12" x14ac:dyDescent="0.3">
      <c r="A88" s="95">
        <v>87</v>
      </c>
      <c r="B88" s="102">
        <v>79</v>
      </c>
      <c r="C88" s="102">
        <v>22.54</v>
      </c>
      <c r="D88" s="103">
        <v>2000</v>
      </c>
      <c r="E88" s="103">
        <v>5</v>
      </c>
      <c r="F88" s="103">
        <v>2</v>
      </c>
      <c r="G88" s="99">
        <v>3.9314</v>
      </c>
      <c r="H88" s="100" t="s">
        <v>26</v>
      </c>
      <c r="I88" s="103">
        <v>15</v>
      </c>
      <c r="J88" s="103">
        <v>14</v>
      </c>
      <c r="K88" s="103">
        <v>55</v>
      </c>
      <c r="L88" s="104" t="s">
        <v>27</v>
      </c>
    </row>
    <row r="89" spans="1:12" x14ac:dyDescent="0.3">
      <c r="A89" s="95">
        <v>88</v>
      </c>
      <c r="B89" s="102">
        <v>78.81</v>
      </c>
      <c r="C89" s="102">
        <v>19.84</v>
      </c>
      <c r="D89" s="103">
        <v>2000</v>
      </c>
      <c r="E89" s="103">
        <v>6</v>
      </c>
      <c r="F89" s="103">
        <v>22</v>
      </c>
      <c r="G89" s="99">
        <v>4.6970000000000001</v>
      </c>
      <c r="H89" s="100" t="s">
        <v>26</v>
      </c>
      <c r="I89" s="103">
        <v>5</v>
      </c>
      <c r="J89" s="103">
        <v>15</v>
      </c>
      <c r="K89" s="103">
        <v>40</v>
      </c>
      <c r="L89" s="104" t="s">
        <v>27</v>
      </c>
    </row>
    <row r="90" spans="1:12" x14ac:dyDescent="0.3">
      <c r="A90" s="95">
        <v>89</v>
      </c>
      <c r="B90" s="102">
        <v>78.87</v>
      </c>
      <c r="C90" s="102">
        <v>21.95</v>
      </c>
      <c r="D90" s="103">
        <v>2000</v>
      </c>
      <c r="E90" s="103">
        <v>6</v>
      </c>
      <c r="F90" s="103">
        <v>30</v>
      </c>
      <c r="G90" s="99">
        <v>4.0705999999999998</v>
      </c>
      <c r="H90" s="100" t="s">
        <v>26</v>
      </c>
      <c r="I90" s="103">
        <v>15</v>
      </c>
      <c r="J90" s="103">
        <v>19</v>
      </c>
      <c r="K90" s="103">
        <v>27</v>
      </c>
      <c r="L90" s="104" t="s">
        <v>27</v>
      </c>
    </row>
    <row r="91" spans="1:12" x14ac:dyDescent="0.3">
      <c r="A91" s="95">
        <v>90</v>
      </c>
      <c r="B91" s="102">
        <v>75.510000000000005</v>
      </c>
      <c r="C91" s="102">
        <v>21.51</v>
      </c>
      <c r="D91" s="103">
        <v>2000</v>
      </c>
      <c r="E91" s="103">
        <v>7</v>
      </c>
      <c r="F91" s="103">
        <v>10</v>
      </c>
      <c r="G91" s="99">
        <v>4.0705999999999998</v>
      </c>
      <c r="H91" s="100" t="s">
        <v>26</v>
      </c>
      <c r="I91" s="103">
        <v>20</v>
      </c>
      <c r="J91" s="103">
        <v>17</v>
      </c>
      <c r="K91" s="103">
        <v>36</v>
      </c>
      <c r="L91" s="104" t="s">
        <v>27</v>
      </c>
    </row>
    <row r="92" spans="1:12" x14ac:dyDescent="0.3">
      <c r="A92" s="95">
        <v>91</v>
      </c>
      <c r="B92" s="102">
        <v>75.17</v>
      </c>
      <c r="C92" s="102">
        <v>21.72</v>
      </c>
      <c r="D92" s="103">
        <v>2000</v>
      </c>
      <c r="E92" s="103">
        <v>7</v>
      </c>
      <c r="F92" s="103">
        <v>24</v>
      </c>
      <c r="G92" s="99">
        <v>3.8618000000000001</v>
      </c>
      <c r="H92" s="100" t="s">
        <v>26</v>
      </c>
      <c r="I92" s="103">
        <v>15</v>
      </c>
      <c r="J92" s="103">
        <v>14</v>
      </c>
      <c r="K92" s="103">
        <v>49</v>
      </c>
      <c r="L92" s="104" t="s">
        <v>27</v>
      </c>
    </row>
    <row r="93" spans="1:12" x14ac:dyDescent="0.3">
      <c r="A93" s="95">
        <v>92</v>
      </c>
      <c r="B93" s="102">
        <v>72.19</v>
      </c>
      <c r="C93" s="102">
        <v>21.81</v>
      </c>
      <c r="D93" s="103">
        <v>2000</v>
      </c>
      <c r="E93" s="103">
        <v>8</v>
      </c>
      <c r="F93" s="103">
        <v>13</v>
      </c>
      <c r="G93" s="99">
        <v>3.9314</v>
      </c>
      <c r="H93" s="100" t="s">
        <v>26</v>
      </c>
      <c r="I93" s="103">
        <v>27</v>
      </c>
      <c r="J93" s="103">
        <v>9</v>
      </c>
      <c r="K93" s="103">
        <v>54</v>
      </c>
      <c r="L93" s="104" t="s">
        <v>27</v>
      </c>
    </row>
    <row r="94" spans="1:12" x14ac:dyDescent="0.3">
      <c r="A94" s="95">
        <v>93</v>
      </c>
      <c r="B94" s="102">
        <v>79.085999999999999</v>
      </c>
      <c r="C94" s="102">
        <v>22.356999999999999</v>
      </c>
      <c r="D94" s="103">
        <v>2000</v>
      </c>
      <c r="E94" s="103">
        <v>9</v>
      </c>
      <c r="F94" s="103">
        <v>12</v>
      </c>
      <c r="G94" s="99">
        <v>4.5155299999999992</v>
      </c>
      <c r="H94" s="100" t="s">
        <v>26</v>
      </c>
      <c r="I94" s="103">
        <v>8.9</v>
      </c>
      <c r="J94" s="103">
        <v>2</v>
      </c>
      <c r="K94" s="103">
        <v>46</v>
      </c>
      <c r="L94" s="104" t="s">
        <v>12</v>
      </c>
    </row>
    <row r="95" spans="1:12" x14ac:dyDescent="0.3">
      <c r="A95" s="95">
        <v>94</v>
      </c>
      <c r="B95" s="102">
        <v>72.150000000000006</v>
      </c>
      <c r="C95" s="102">
        <v>21.7</v>
      </c>
      <c r="D95" s="103">
        <v>2000</v>
      </c>
      <c r="E95" s="103">
        <v>9</v>
      </c>
      <c r="F95" s="103">
        <v>13</v>
      </c>
      <c r="G95" s="99">
        <v>4.0009999999999994</v>
      </c>
      <c r="H95" s="100" t="s">
        <v>26</v>
      </c>
      <c r="I95" s="103">
        <v>5</v>
      </c>
      <c r="J95" s="103">
        <v>18</v>
      </c>
      <c r="K95" s="103">
        <v>10</v>
      </c>
      <c r="L95" s="104" t="s">
        <v>27</v>
      </c>
    </row>
    <row r="96" spans="1:12" x14ac:dyDescent="0.3">
      <c r="A96" s="95">
        <v>95</v>
      </c>
      <c r="B96" s="102">
        <v>79.2</v>
      </c>
      <c r="C96" s="102">
        <v>25.69</v>
      </c>
      <c r="D96" s="103">
        <v>2000</v>
      </c>
      <c r="E96" s="103">
        <v>10</v>
      </c>
      <c r="F96" s="103">
        <v>7</v>
      </c>
      <c r="G96" s="99">
        <v>4.1402000000000001</v>
      </c>
      <c r="H96" s="100" t="s">
        <v>26</v>
      </c>
      <c r="I96" s="103">
        <v>33</v>
      </c>
      <c r="J96" s="103">
        <v>21</v>
      </c>
      <c r="K96" s="103">
        <v>2</v>
      </c>
      <c r="L96" s="104" t="s">
        <v>27</v>
      </c>
    </row>
    <row r="97" spans="1:12" x14ac:dyDescent="0.3">
      <c r="A97" s="95">
        <v>96</v>
      </c>
      <c r="B97" s="102">
        <v>80.33</v>
      </c>
      <c r="C97" s="102">
        <v>23.22</v>
      </c>
      <c r="D97" s="103">
        <v>2000</v>
      </c>
      <c r="E97" s="103">
        <v>10</v>
      </c>
      <c r="F97" s="103">
        <v>17</v>
      </c>
      <c r="G97" s="99">
        <v>5.3929999999999998</v>
      </c>
      <c r="H97" s="100" t="s">
        <v>26</v>
      </c>
      <c r="I97" s="103">
        <v>33</v>
      </c>
      <c r="J97" s="103">
        <v>4</v>
      </c>
      <c r="K97" s="103">
        <v>3</v>
      </c>
      <c r="L97" s="104" t="s">
        <v>27</v>
      </c>
    </row>
    <row r="98" spans="1:12" x14ac:dyDescent="0.3">
      <c r="A98" s="95">
        <v>97</v>
      </c>
      <c r="B98" s="102">
        <v>79.510000000000005</v>
      </c>
      <c r="C98" s="102">
        <v>22.47</v>
      </c>
      <c r="D98" s="103">
        <v>2001</v>
      </c>
      <c r="E98" s="103">
        <v>1</v>
      </c>
      <c r="F98" s="103">
        <v>3</v>
      </c>
      <c r="G98" s="99">
        <v>3.8618000000000001</v>
      </c>
      <c r="H98" s="100" t="s">
        <v>26</v>
      </c>
      <c r="I98" s="103">
        <v>33</v>
      </c>
      <c r="J98" s="103">
        <v>22</v>
      </c>
      <c r="K98" s="103">
        <v>15</v>
      </c>
      <c r="L98" s="104" t="s">
        <v>27</v>
      </c>
    </row>
    <row r="99" spans="1:12" x14ac:dyDescent="0.3">
      <c r="A99" s="95">
        <v>98</v>
      </c>
      <c r="B99" s="96">
        <v>80.22</v>
      </c>
      <c r="C99" s="96">
        <v>26.71</v>
      </c>
      <c r="D99" s="97">
        <v>2001</v>
      </c>
      <c r="E99" s="97">
        <v>1</v>
      </c>
      <c r="F99" s="97">
        <v>8</v>
      </c>
      <c r="G99" s="99">
        <v>3.9</v>
      </c>
      <c r="H99" s="100" t="s">
        <v>26</v>
      </c>
      <c r="I99" s="97">
        <v>33</v>
      </c>
      <c r="J99" s="97">
        <v>15</v>
      </c>
      <c r="K99" s="97">
        <v>44</v>
      </c>
      <c r="L99" s="98">
        <v>2</v>
      </c>
    </row>
    <row r="100" spans="1:12" x14ac:dyDescent="0.3">
      <c r="A100" s="95">
        <v>99</v>
      </c>
      <c r="B100" s="102">
        <v>75.400000000000006</v>
      </c>
      <c r="C100" s="102">
        <v>22.73</v>
      </c>
      <c r="D100" s="103">
        <v>2001</v>
      </c>
      <c r="E100" s="103">
        <v>1</v>
      </c>
      <c r="F100" s="103">
        <v>13</v>
      </c>
      <c r="G100" s="99">
        <v>4.0705999999999998</v>
      </c>
      <c r="H100" s="100" t="s">
        <v>26</v>
      </c>
      <c r="I100" s="103">
        <v>2</v>
      </c>
      <c r="J100" s="103">
        <v>5</v>
      </c>
      <c r="K100" s="103">
        <v>6</v>
      </c>
      <c r="L100" s="104" t="s">
        <v>27</v>
      </c>
    </row>
    <row r="101" spans="1:12" x14ac:dyDescent="0.3">
      <c r="A101" s="95">
        <v>100</v>
      </c>
      <c r="B101" s="102">
        <v>71.165000000000006</v>
      </c>
      <c r="C101" s="102">
        <v>23.222999999999999</v>
      </c>
      <c r="D101" s="103">
        <v>2001</v>
      </c>
      <c r="E101" s="103">
        <v>1</v>
      </c>
      <c r="F101" s="103">
        <v>26</v>
      </c>
      <c r="G101" s="99">
        <v>5.1896100000000001</v>
      </c>
      <c r="H101" s="100" t="s">
        <v>26</v>
      </c>
      <c r="I101" s="103">
        <v>10</v>
      </c>
      <c r="J101" s="103">
        <v>8</v>
      </c>
      <c r="K101" s="103">
        <v>42</v>
      </c>
      <c r="L101" s="104" t="s">
        <v>25</v>
      </c>
    </row>
    <row r="102" spans="1:12" x14ac:dyDescent="0.3">
      <c r="A102" s="95">
        <v>101</v>
      </c>
      <c r="B102" s="102">
        <v>80.31</v>
      </c>
      <c r="C102" s="102">
        <v>22.68</v>
      </c>
      <c r="D102" s="103">
        <v>2001</v>
      </c>
      <c r="E102" s="103">
        <v>2</v>
      </c>
      <c r="F102" s="103">
        <v>21</v>
      </c>
      <c r="G102" s="99">
        <v>3.9314</v>
      </c>
      <c r="H102" s="100" t="s">
        <v>26</v>
      </c>
      <c r="I102" s="103">
        <v>33</v>
      </c>
      <c r="J102" s="103">
        <v>23</v>
      </c>
      <c r="K102" s="103">
        <v>52</v>
      </c>
      <c r="L102" s="104" t="s">
        <v>27</v>
      </c>
    </row>
    <row r="103" spans="1:12" x14ac:dyDescent="0.3">
      <c r="A103" s="95">
        <v>102</v>
      </c>
      <c r="B103" s="102">
        <v>71.58</v>
      </c>
      <c r="C103" s="102">
        <v>21.4</v>
      </c>
      <c r="D103" s="103">
        <v>2001</v>
      </c>
      <c r="E103" s="103">
        <v>2</v>
      </c>
      <c r="F103" s="103">
        <v>27</v>
      </c>
      <c r="G103" s="99">
        <v>4.0922100000000006</v>
      </c>
      <c r="H103" s="100" t="s">
        <v>26</v>
      </c>
      <c r="I103" s="103">
        <v>7</v>
      </c>
      <c r="J103" s="103">
        <v>7</v>
      </c>
      <c r="K103" s="103">
        <v>56</v>
      </c>
      <c r="L103" s="104" t="s">
        <v>27</v>
      </c>
    </row>
    <row r="104" spans="1:12" x14ac:dyDescent="0.3">
      <c r="A104" s="95">
        <v>103</v>
      </c>
      <c r="B104" s="102">
        <v>71.81</v>
      </c>
      <c r="C104" s="102">
        <v>24.18</v>
      </c>
      <c r="D104" s="103">
        <v>2001</v>
      </c>
      <c r="E104" s="103">
        <v>3</v>
      </c>
      <c r="F104" s="103">
        <v>15</v>
      </c>
      <c r="G104" s="99">
        <v>3.9314</v>
      </c>
      <c r="H104" s="100" t="s">
        <v>26</v>
      </c>
      <c r="I104" s="103">
        <v>15</v>
      </c>
      <c r="J104" s="103">
        <v>8</v>
      </c>
      <c r="K104" s="103">
        <v>33</v>
      </c>
      <c r="L104" s="104" t="s">
        <v>27</v>
      </c>
    </row>
    <row r="105" spans="1:12" x14ac:dyDescent="0.3">
      <c r="A105" s="95">
        <v>104</v>
      </c>
      <c r="B105" s="102">
        <v>71.400000000000006</v>
      </c>
      <c r="C105" s="102">
        <v>23.74</v>
      </c>
      <c r="D105" s="103">
        <v>2001</v>
      </c>
      <c r="E105" s="103">
        <v>3</v>
      </c>
      <c r="F105" s="103">
        <v>30</v>
      </c>
      <c r="G105" s="99">
        <v>3.9314</v>
      </c>
      <c r="H105" s="100" t="s">
        <v>26</v>
      </c>
      <c r="I105" s="103">
        <v>15</v>
      </c>
      <c r="J105" s="103">
        <v>19</v>
      </c>
      <c r="K105" s="103">
        <v>17</v>
      </c>
      <c r="L105" s="104" t="s">
        <v>27</v>
      </c>
    </row>
    <row r="106" spans="1:12" x14ac:dyDescent="0.3">
      <c r="A106" s="95">
        <v>105</v>
      </c>
      <c r="B106" s="102">
        <v>76.37</v>
      </c>
      <c r="C106" s="102">
        <v>18.7</v>
      </c>
      <c r="D106" s="103">
        <v>2001</v>
      </c>
      <c r="E106" s="103">
        <v>5</v>
      </c>
      <c r="F106" s="103">
        <v>15</v>
      </c>
      <c r="G106" s="99">
        <v>4.0009999999999994</v>
      </c>
      <c r="H106" s="100" t="s">
        <v>26</v>
      </c>
      <c r="I106" s="103">
        <v>9</v>
      </c>
      <c r="J106" s="103">
        <v>22</v>
      </c>
      <c r="K106" s="103">
        <v>35</v>
      </c>
      <c r="L106" s="104" t="s">
        <v>27</v>
      </c>
    </row>
    <row r="107" spans="1:12" x14ac:dyDescent="0.3">
      <c r="A107" s="95">
        <v>106</v>
      </c>
      <c r="B107" s="102">
        <v>70.97</v>
      </c>
      <c r="C107" s="102">
        <v>22.89</v>
      </c>
      <c r="D107" s="103">
        <v>2001</v>
      </c>
      <c r="E107" s="103">
        <v>8</v>
      </c>
      <c r="F107" s="103">
        <v>7</v>
      </c>
      <c r="G107" s="99">
        <v>4.0009999999999994</v>
      </c>
      <c r="H107" s="100" t="s">
        <v>26</v>
      </c>
      <c r="I107" s="103">
        <v>4</v>
      </c>
      <c r="J107" s="103">
        <v>16</v>
      </c>
      <c r="K107" s="103">
        <v>44</v>
      </c>
      <c r="L107" s="104" t="s">
        <v>27</v>
      </c>
    </row>
    <row r="108" spans="1:12" x14ac:dyDescent="0.3">
      <c r="A108" s="95">
        <v>107</v>
      </c>
      <c r="B108" s="102">
        <v>76.73</v>
      </c>
      <c r="C108" s="102">
        <v>19.7</v>
      </c>
      <c r="D108" s="103">
        <v>2001</v>
      </c>
      <c r="E108" s="103">
        <v>11</v>
      </c>
      <c r="F108" s="103">
        <v>6</v>
      </c>
      <c r="G108" s="99">
        <v>3.93953</v>
      </c>
      <c r="H108" s="100" t="s">
        <v>26</v>
      </c>
      <c r="I108" s="103">
        <v>15</v>
      </c>
      <c r="J108" s="103">
        <v>4</v>
      </c>
      <c r="K108" s="103">
        <v>1</v>
      </c>
      <c r="L108" s="104" t="s">
        <v>27</v>
      </c>
    </row>
    <row r="109" spans="1:12" x14ac:dyDescent="0.3">
      <c r="A109" s="95">
        <v>108</v>
      </c>
      <c r="B109" s="102">
        <v>72.760000000000005</v>
      </c>
      <c r="C109" s="102">
        <v>19.73</v>
      </c>
      <c r="D109" s="103">
        <v>2001</v>
      </c>
      <c r="E109" s="103">
        <v>12</v>
      </c>
      <c r="F109" s="103">
        <v>22</v>
      </c>
      <c r="G109" s="99">
        <v>4.0705999999999998</v>
      </c>
      <c r="H109" s="100" t="s">
        <v>26</v>
      </c>
      <c r="I109" s="103">
        <v>10</v>
      </c>
      <c r="J109" s="103">
        <v>18</v>
      </c>
      <c r="K109" s="103">
        <v>25</v>
      </c>
      <c r="L109" s="104" t="s">
        <v>27</v>
      </c>
    </row>
    <row r="110" spans="1:12" x14ac:dyDescent="0.3">
      <c r="A110" s="95">
        <v>109</v>
      </c>
      <c r="B110" s="102">
        <v>73.568600000000004</v>
      </c>
      <c r="C110" s="102">
        <v>24.917999999999999</v>
      </c>
      <c r="D110" s="103">
        <v>2002</v>
      </c>
      <c r="E110" s="103">
        <v>1</v>
      </c>
      <c r="F110" s="103">
        <v>22</v>
      </c>
      <c r="G110" s="99">
        <v>4.5155299999999992</v>
      </c>
      <c r="H110" s="100" t="s">
        <v>26</v>
      </c>
      <c r="I110" s="103">
        <v>10</v>
      </c>
      <c r="J110" s="103">
        <v>11</v>
      </c>
      <c r="K110" s="103">
        <v>29</v>
      </c>
      <c r="L110" s="104" t="s">
        <v>12</v>
      </c>
    </row>
    <row r="111" spans="1:12" x14ac:dyDescent="0.3">
      <c r="A111" s="95">
        <v>110</v>
      </c>
      <c r="B111" s="102">
        <v>74.78</v>
      </c>
      <c r="C111" s="102">
        <v>20.63</v>
      </c>
      <c r="D111" s="103">
        <v>2002</v>
      </c>
      <c r="E111" s="103">
        <v>2</v>
      </c>
      <c r="F111" s="103">
        <v>6</v>
      </c>
      <c r="G111" s="99">
        <v>3.8618000000000001</v>
      </c>
      <c r="H111" s="100" t="s">
        <v>26</v>
      </c>
      <c r="I111" s="103">
        <v>5</v>
      </c>
      <c r="J111" s="103">
        <v>9</v>
      </c>
      <c r="K111" s="103">
        <v>45</v>
      </c>
      <c r="L111" s="104" t="s">
        <v>27</v>
      </c>
    </row>
    <row r="112" spans="1:12" x14ac:dyDescent="0.3">
      <c r="A112" s="95">
        <v>111</v>
      </c>
      <c r="B112" s="102">
        <v>79.31</v>
      </c>
      <c r="C112" s="102">
        <v>22.31</v>
      </c>
      <c r="D112" s="103">
        <v>2002</v>
      </c>
      <c r="E112" s="103">
        <v>3</v>
      </c>
      <c r="F112" s="103">
        <v>7</v>
      </c>
      <c r="G112" s="99">
        <v>3.8618000000000001</v>
      </c>
      <c r="H112" s="100" t="s">
        <v>26</v>
      </c>
      <c r="I112" s="103">
        <v>37</v>
      </c>
      <c r="J112" s="103">
        <v>0</v>
      </c>
      <c r="K112" s="103">
        <v>54</v>
      </c>
      <c r="L112" s="104" t="s">
        <v>27</v>
      </c>
    </row>
    <row r="113" spans="1:12" x14ac:dyDescent="0.3">
      <c r="A113" s="95">
        <v>112</v>
      </c>
      <c r="B113" s="102">
        <v>72.459999999999994</v>
      </c>
      <c r="C113" s="102">
        <v>25.19</v>
      </c>
      <c r="D113" s="103">
        <v>2002</v>
      </c>
      <c r="E113" s="103">
        <v>3</v>
      </c>
      <c r="F113" s="103">
        <v>14</v>
      </c>
      <c r="G113" s="99">
        <v>4.3490000000000002</v>
      </c>
      <c r="H113" s="100" t="s">
        <v>26</v>
      </c>
      <c r="I113" s="103">
        <v>15</v>
      </c>
      <c r="J113" s="103">
        <v>1</v>
      </c>
      <c r="K113" s="103">
        <v>6</v>
      </c>
      <c r="L113" s="104" t="s">
        <v>27</v>
      </c>
    </row>
    <row r="114" spans="1:12" x14ac:dyDescent="0.3">
      <c r="A114" s="95">
        <v>113</v>
      </c>
      <c r="B114" s="102">
        <v>79.48</v>
      </c>
      <c r="C114" s="102">
        <v>22.6</v>
      </c>
      <c r="D114" s="103">
        <v>2002</v>
      </c>
      <c r="E114" s="103">
        <v>4</v>
      </c>
      <c r="F114" s="103">
        <v>17</v>
      </c>
      <c r="G114" s="99">
        <v>4.0009999999999994</v>
      </c>
      <c r="H114" s="100" t="s">
        <v>26</v>
      </c>
      <c r="I114" s="103">
        <v>18</v>
      </c>
      <c r="J114" s="103">
        <v>9</v>
      </c>
      <c r="K114" s="103">
        <v>17</v>
      </c>
      <c r="L114" s="104" t="s">
        <v>27</v>
      </c>
    </row>
    <row r="115" spans="1:12" x14ac:dyDescent="0.3">
      <c r="A115" s="95">
        <v>114</v>
      </c>
      <c r="B115" s="102">
        <v>72.89</v>
      </c>
      <c r="C115" s="102">
        <v>21.14</v>
      </c>
      <c r="D115" s="103">
        <v>2002</v>
      </c>
      <c r="E115" s="103">
        <v>5</v>
      </c>
      <c r="F115" s="103">
        <v>5</v>
      </c>
      <c r="G115" s="99">
        <v>3.7225999999999999</v>
      </c>
      <c r="H115" s="100" t="s">
        <v>26</v>
      </c>
      <c r="I115" s="103">
        <v>15</v>
      </c>
      <c r="J115" s="103">
        <v>16</v>
      </c>
      <c r="K115" s="103">
        <v>2</v>
      </c>
      <c r="L115" s="104" t="s">
        <v>27</v>
      </c>
    </row>
    <row r="116" spans="1:12" x14ac:dyDescent="0.3">
      <c r="A116" s="95">
        <v>115</v>
      </c>
      <c r="B116" s="102">
        <v>75.209999999999994</v>
      </c>
      <c r="C116" s="102">
        <v>21.37</v>
      </c>
      <c r="D116" s="103">
        <v>2002</v>
      </c>
      <c r="E116" s="103">
        <v>5</v>
      </c>
      <c r="F116" s="103">
        <v>20</v>
      </c>
      <c r="G116" s="99">
        <v>4.3490000000000002</v>
      </c>
      <c r="H116" s="100" t="s">
        <v>26</v>
      </c>
      <c r="I116" s="103">
        <v>15</v>
      </c>
      <c r="J116" s="103">
        <v>0</v>
      </c>
      <c r="K116" s="103">
        <v>55</v>
      </c>
      <c r="L116" s="104" t="s">
        <v>27</v>
      </c>
    </row>
    <row r="117" spans="1:12" x14ac:dyDescent="0.3">
      <c r="A117" s="95">
        <v>116</v>
      </c>
      <c r="B117" s="102">
        <v>75.66</v>
      </c>
      <c r="C117" s="102">
        <v>21.37</v>
      </c>
      <c r="D117" s="103">
        <v>2002</v>
      </c>
      <c r="E117" s="103">
        <v>8</v>
      </c>
      <c r="F117" s="103">
        <v>31</v>
      </c>
      <c r="G117" s="99">
        <v>3.8618000000000001</v>
      </c>
      <c r="H117" s="100" t="s">
        <v>26</v>
      </c>
      <c r="I117" s="103">
        <v>10</v>
      </c>
      <c r="J117" s="103">
        <v>17</v>
      </c>
      <c r="K117" s="103">
        <v>12</v>
      </c>
      <c r="L117" s="104" t="s">
        <v>27</v>
      </c>
    </row>
    <row r="118" spans="1:12" x14ac:dyDescent="0.3">
      <c r="A118" s="95">
        <v>117</v>
      </c>
      <c r="B118" s="102">
        <v>73.709999999999994</v>
      </c>
      <c r="C118" s="102">
        <v>24.68</v>
      </c>
      <c r="D118" s="103">
        <v>2002</v>
      </c>
      <c r="E118" s="103">
        <v>9</v>
      </c>
      <c r="F118" s="103">
        <v>13</v>
      </c>
      <c r="G118" s="99">
        <v>4.1402000000000001</v>
      </c>
      <c r="H118" s="100" t="s">
        <v>26</v>
      </c>
      <c r="I118" s="103">
        <v>10</v>
      </c>
      <c r="J118" s="103">
        <v>19</v>
      </c>
      <c r="K118" s="103">
        <v>5</v>
      </c>
      <c r="L118" s="104" t="s">
        <v>27</v>
      </c>
    </row>
    <row r="119" spans="1:12" x14ac:dyDescent="0.3">
      <c r="A119" s="95">
        <v>118</v>
      </c>
      <c r="B119" s="102">
        <v>80.400000000000006</v>
      </c>
      <c r="C119" s="102">
        <v>23.75</v>
      </c>
      <c r="D119" s="103">
        <v>2002</v>
      </c>
      <c r="E119" s="103">
        <v>9</v>
      </c>
      <c r="F119" s="103">
        <v>21</v>
      </c>
      <c r="G119" s="99">
        <v>4.0705999999999998</v>
      </c>
      <c r="H119" s="100" t="s">
        <v>26</v>
      </c>
      <c r="I119" s="103">
        <v>10</v>
      </c>
      <c r="J119" s="103">
        <v>16</v>
      </c>
      <c r="K119" s="103">
        <v>17</v>
      </c>
      <c r="L119" s="104" t="s">
        <v>27</v>
      </c>
    </row>
    <row r="120" spans="1:12" x14ac:dyDescent="0.3">
      <c r="A120" s="95">
        <v>119</v>
      </c>
      <c r="B120" s="102">
        <v>78.28</v>
      </c>
      <c r="C120" s="102">
        <v>19.64</v>
      </c>
      <c r="D120" s="103">
        <v>2002</v>
      </c>
      <c r="E120" s="103">
        <v>9</v>
      </c>
      <c r="F120" s="103">
        <v>24</v>
      </c>
      <c r="G120" s="99">
        <v>3.8618000000000001</v>
      </c>
      <c r="H120" s="100" t="s">
        <v>26</v>
      </c>
      <c r="I120" s="103">
        <v>10</v>
      </c>
      <c r="J120" s="103">
        <v>22</v>
      </c>
      <c r="K120" s="103">
        <v>49</v>
      </c>
      <c r="L120" s="104" t="s">
        <v>27</v>
      </c>
    </row>
    <row r="121" spans="1:12" x14ac:dyDescent="0.3">
      <c r="A121" s="95">
        <v>120</v>
      </c>
      <c r="B121" s="102">
        <v>76.36</v>
      </c>
      <c r="C121" s="102">
        <v>21.28</v>
      </c>
      <c r="D121" s="103">
        <v>2002</v>
      </c>
      <c r="E121" s="103">
        <v>11</v>
      </c>
      <c r="F121" s="103">
        <v>3</v>
      </c>
      <c r="G121" s="99">
        <v>3.7921999999999998</v>
      </c>
      <c r="H121" s="100" t="s">
        <v>26</v>
      </c>
      <c r="I121" s="103">
        <v>10</v>
      </c>
      <c r="J121" s="103">
        <v>3</v>
      </c>
      <c r="K121" s="103">
        <v>27</v>
      </c>
      <c r="L121" s="104" t="s">
        <v>27</v>
      </c>
    </row>
    <row r="122" spans="1:12" x14ac:dyDescent="0.3">
      <c r="A122" s="95">
        <v>121</v>
      </c>
      <c r="B122" s="102">
        <v>73.62</v>
      </c>
      <c r="C122" s="102">
        <v>20.71</v>
      </c>
      <c r="D122" s="103">
        <v>2002</v>
      </c>
      <c r="E122" s="103">
        <v>12</v>
      </c>
      <c r="F122" s="103">
        <v>1</v>
      </c>
      <c r="G122" s="99">
        <v>3.8618000000000001</v>
      </c>
      <c r="H122" s="100" t="s">
        <v>26</v>
      </c>
      <c r="I122" s="103">
        <v>1</v>
      </c>
      <c r="J122" s="103">
        <v>13</v>
      </c>
      <c r="K122" s="103">
        <v>3</v>
      </c>
      <c r="L122" s="104" t="s">
        <v>27</v>
      </c>
    </row>
    <row r="123" spans="1:12" x14ac:dyDescent="0.3">
      <c r="A123" s="95">
        <v>122</v>
      </c>
      <c r="B123" s="102">
        <v>77.264499999999998</v>
      </c>
      <c r="C123" s="102">
        <v>21.372299999999999</v>
      </c>
      <c r="D123" s="103">
        <v>2003</v>
      </c>
      <c r="E123" s="103">
        <v>3</v>
      </c>
      <c r="F123" s="103">
        <v>10</v>
      </c>
      <c r="G123" s="99">
        <v>4.6426999999999996</v>
      </c>
      <c r="H123" s="100" t="s">
        <v>26</v>
      </c>
      <c r="I123" s="103">
        <v>23.9</v>
      </c>
      <c r="J123" s="103">
        <v>22</v>
      </c>
      <c r="K123" s="103">
        <v>45</v>
      </c>
      <c r="L123" s="104" t="s">
        <v>10</v>
      </c>
    </row>
    <row r="124" spans="1:12" x14ac:dyDescent="0.3">
      <c r="A124" s="95">
        <v>123</v>
      </c>
      <c r="B124" s="102">
        <v>74.344999999999999</v>
      </c>
      <c r="C124" s="102">
        <v>21.830500000000001</v>
      </c>
      <c r="D124" s="103">
        <v>2003</v>
      </c>
      <c r="E124" s="103">
        <v>7</v>
      </c>
      <c r="F124" s="103">
        <v>27</v>
      </c>
      <c r="G124" s="99">
        <v>4.5645699999999998</v>
      </c>
      <c r="H124" s="100" t="s">
        <v>26</v>
      </c>
      <c r="I124" s="103">
        <v>19.5</v>
      </c>
      <c r="J124" s="103">
        <v>4</v>
      </c>
      <c r="K124" s="103">
        <v>35</v>
      </c>
      <c r="L124" s="104" t="s">
        <v>10</v>
      </c>
    </row>
    <row r="125" spans="1:12" x14ac:dyDescent="0.3">
      <c r="A125" s="95">
        <v>124</v>
      </c>
      <c r="B125" s="102">
        <v>76.038600000000002</v>
      </c>
      <c r="C125" s="102">
        <v>21.5685</v>
      </c>
      <c r="D125" s="103">
        <v>2003</v>
      </c>
      <c r="E125" s="103">
        <v>11</v>
      </c>
      <c r="F125" s="103">
        <v>22</v>
      </c>
      <c r="G125" s="99">
        <v>4.3301800000000004</v>
      </c>
      <c r="H125" s="100" t="s">
        <v>26</v>
      </c>
      <c r="I125" s="103">
        <v>35</v>
      </c>
      <c r="J125" s="103">
        <v>0</v>
      </c>
      <c r="K125" s="103">
        <v>18</v>
      </c>
      <c r="L125" s="104" t="s">
        <v>10</v>
      </c>
    </row>
    <row r="126" spans="1:12" x14ac:dyDescent="0.3">
      <c r="A126" s="95">
        <v>125</v>
      </c>
      <c r="B126" s="102">
        <v>80.239999999999995</v>
      </c>
      <c r="C126" s="102">
        <v>21.24</v>
      </c>
      <c r="D126" s="103">
        <v>2003</v>
      </c>
      <c r="E126" s="103">
        <v>11</v>
      </c>
      <c r="F126" s="103">
        <v>29</v>
      </c>
      <c r="G126" s="99">
        <v>3.9314</v>
      </c>
      <c r="H126" s="100" t="s">
        <v>26</v>
      </c>
      <c r="I126" s="103">
        <v>13</v>
      </c>
      <c r="J126" s="103">
        <v>12</v>
      </c>
      <c r="K126" s="103">
        <v>35</v>
      </c>
      <c r="L126" s="104" t="s">
        <v>27</v>
      </c>
    </row>
    <row r="127" spans="1:12" x14ac:dyDescent="0.3">
      <c r="A127" s="95">
        <v>126</v>
      </c>
      <c r="B127" s="102">
        <v>74.55</v>
      </c>
      <c r="C127" s="102">
        <v>22.1</v>
      </c>
      <c r="D127" s="103">
        <v>2003</v>
      </c>
      <c r="E127" s="103">
        <v>12</v>
      </c>
      <c r="F127" s="103">
        <v>24</v>
      </c>
      <c r="G127" s="99">
        <v>4.1402000000000001</v>
      </c>
      <c r="H127" s="100" t="s">
        <v>26</v>
      </c>
      <c r="I127" s="103">
        <v>5</v>
      </c>
      <c r="J127" s="103">
        <v>0</v>
      </c>
      <c r="K127" s="103">
        <v>39</v>
      </c>
      <c r="L127" s="104" t="s">
        <v>27</v>
      </c>
    </row>
    <row r="128" spans="1:12" x14ac:dyDescent="0.3">
      <c r="A128" s="95">
        <v>127</v>
      </c>
      <c r="B128" s="102">
        <v>72.66</v>
      </c>
      <c r="C128" s="102">
        <v>25.3</v>
      </c>
      <c r="D128" s="103">
        <v>2004</v>
      </c>
      <c r="E128" s="103">
        <v>2</v>
      </c>
      <c r="F128" s="103">
        <v>19</v>
      </c>
      <c r="G128" s="99">
        <v>4.6273999999999997</v>
      </c>
      <c r="H128" s="100" t="s">
        <v>26</v>
      </c>
      <c r="I128" s="103">
        <v>7</v>
      </c>
      <c r="J128" s="103">
        <v>8</v>
      </c>
      <c r="K128" s="103">
        <v>10</v>
      </c>
      <c r="L128" s="104" t="s">
        <v>27</v>
      </c>
    </row>
    <row r="129" spans="1:12" x14ac:dyDescent="0.3">
      <c r="A129" s="95">
        <v>128</v>
      </c>
      <c r="B129" s="102">
        <v>75.8</v>
      </c>
      <c r="C129" s="102">
        <v>21.69</v>
      </c>
      <c r="D129" s="103">
        <v>2004</v>
      </c>
      <c r="E129" s="103">
        <v>3</v>
      </c>
      <c r="F129" s="103">
        <v>1</v>
      </c>
      <c r="G129" s="99">
        <v>3.8618000000000001</v>
      </c>
      <c r="H129" s="100" t="s">
        <v>26</v>
      </c>
      <c r="I129" s="103">
        <v>10</v>
      </c>
      <c r="J129" s="103">
        <v>12</v>
      </c>
      <c r="K129" s="103">
        <v>8</v>
      </c>
      <c r="L129" s="104" t="s">
        <v>27</v>
      </c>
    </row>
    <row r="130" spans="1:12" x14ac:dyDescent="0.3">
      <c r="A130" s="95">
        <v>129</v>
      </c>
      <c r="B130" s="102">
        <v>73.61</v>
      </c>
      <c r="C130" s="102">
        <v>24.94</v>
      </c>
      <c r="D130" s="103">
        <v>2004</v>
      </c>
      <c r="E130" s="103">
        <v>6</v>
      </c>
      <c r="F130" s="103">
        <v>17</v>
      </c>
      <c r="G130" s="99">
        <v>4.4882</v>
      </c>
      <c r="H130" s="100" t="s">
        <v>26</v>
      </c>
      <c r="I130" s="103">
        <v>6</v>
      </c>
      <c r="J130" s="103">
        <v>14</v>
      </c>
      <c r="K130" s="103">
        <v>11</v>
      </c>
      <c r="L130" s="104" t="s">
        <v>27</v>
      </c>
    </row>
    <row r="131" spans="1:12" x14ac:dyDescent="0.3">
      <c r="A131" s="95">
        <v>130</v>
      </c>
      <c r="B131" s="102">
        <v>71.569999999999993</v>
      </c>
      <c r="C131" s="102">
        <v>23.905000000000001</v>
      </c>
      <c r="D131" s="103">
        <v>2004</v>
      </c>
      <c r="E131" s="103">
        <v>7</v>
      </c>
      <c r="F131" s="103">
        <v>17</v>
      </c>
      <c r="G131" s="99">
        <v>4.48644</v>
      </c>
      <c r="H131" s="100" t="s">
        <v>26</v>
      </c>
      <c r="I131" s="103">
        <v>10</v>
      </c>
      <c r="J131" s="103">
        <v>18</v>
      </c>
      <c r="K131" s="103">
        <v>21</v>
      </c>
      <c r="L131" s="104" t="s">
        <v>25</v>
      </c>
    </row>
    <row r="132" spans="1:12" x14ac:dyDescent="0.3">
      <c r="A132" s="95">
        <v>131</v>
      </c>
      <c r="B132" s="102">
        <v>75.323999999999998</v>
      </c>
      <c r="C132" s="102">
        <v>21.858000000000001</v>
      </c>
      <c r="D132" s="103">
        <v>2004</v>
      </c>
      <c r="E132" s="103">
        <v>10</v>
      </c>
      <c r="F132" s="103">
        <v>28</v>
      </c>
      <c r="G132" s="99">
        <v>3.5630600000000001</v>
      </c>
      <c r="H132" s="100" t="s">
        <v>26</v>
      </c>
      <c r="I132" s="103">
        <v>13.4</v>
      </c>
      <c r="J132" s="103">
        <v>23</v>
      </c>
      <c r="K132" s="103">
        <v>41</v>
      </c>
      <c r="L132" s="104" t="s">
        <v>12</v>
      </c>
    </row>
    <row r="133" spans="1:12" x14ac:dyDescent="0.3">
      <c r="A133" s="95">
        <v>132</v>
      </c>
      <c r="B133" s="102">
        <v>77.930000000000007</v>
      </c>
      <c r="C133" s="102">
        <v>20.14</v>
      </c>
      <c r="D133" s="103">
        <v>2004</v>
      </c>
      <c r="E133" s="103">
        <v>12</v>
      </c>
      <c r="F133" s="103">
        <v>2</v>
      </c>
      <c r="G133" s="99">
        <v>3.9314</v>
      </c>
      <c r="H133" s="100" t="s">
        <v>26</v>
      </c>
      <c r="I133" s="103">
        <v>19</v>
      </c>
      <c r="J133" s="103">
        <v>15</v>
      </c>
      <c r="K133" s="103">
        <v>18</v>
      </c>
      <c r="L133" s="104" t="s">
        <v>27</v>
      </c>
    </row>
    <row r="134" spans="1:12" x14ac:dyDescent="0.3">
      <c r="A134" s="95">
        <v>133</v>
      </c>
      <c r="B134" s="102">
        <v>71.650000000000006</v>
      </c>
      <c r="C134" s="102">
        <v>22.81</v>
      </c>
      <c r="D134" s="103">
        <v>2005</v>
      </c>
      <c r="E134" s="103">
        <v>1</v>
      </c>
      <c r="F134" s="103">
        <v>3</v>
      </c>
      <c r="G134" s="99">
        <v>3.9314</v>
      </c>
      <c r="H134" s="100" t="s">
        <v>26</v>
      </c>
      <c r="I134" s="103">
        <v>20</v>
      </c>
      <c r="J134" s="103">
        <v>6</v>
      </c>
      <c r="K134" s="103">
        <v>6</v>
      </c>
      <c r="L134" s="104" t="s">
        <v>27</v>
      </c>
    </row>
    <row r="135" spans="1:12" x14ac:dyDescent="0.3">
      <c r="A135" s="95">
        <v>134</v>
      </c>
      <c r="B135" s="96">
        <v>79.38</v>
      </c>
      <c r="C135" s="96">
        <v>26.36</v>
      </c>
      <c r="D135" s="97">
        <v>2005</v>
      </c>
      <c r="E135" s="97">
        <v>1</v>
      </c>
      <c r="F135" s="97">
        <v>14</v>
      </c>
      <c r="G135" s="99">
        <v>4.2</v>
      </c>
      <c r="H135" s="100" t="s">
        <v>26</v>
      </c>
      <c r="I135" s="97">
        <v>33</v>
      </c>
      <c r="J135" s="97">
        <v>5</v>
      </c>
      <c r="K135" s="97">
        <v>16</v>
      </c>
      <c r="L135" s="98">
        <v>2</v>
      </c>
    </row>
    <row r="136" spans="1:12" x14ac:dyDescent="0.3">
      <c r="A136" s="95">
        <v>135</v>
      </c>
      <c r="B136" s="102">
        <v>78.7</v>
      </c>
      <c r="C136" s="102">
        <v>22.46</v>
      </c>
      <c r="D136" s="103">
        <v>2005</v>
      </c>
      <c r="E136" s="103">
        <v>3</v>
      </c>
      <c r="F136" s="103">
        <v>25</v>
      </c>
      <c r="G136" s="99">
        <v>4.4185999999999996</v>
      </c>
      <c r="H136" s="100" t="s">
        <v>26</v>
      </c>
      <c r="I136" s="103">
        <v>10</v>
      </c>
      <c r="J136" s="103">
        <v>19</v>
      </c>
      <c r="K136" s="103">
        <v>33</v>
      </c>
      <c r="L136" s="104" t="s">
        <v>27</v>
      </c>
    </row>
    <row r="137" spans="1:12" x14ac:dyDescent="0.3">
      <c r="A137" s="95">
        <v>136</v>
      </c>
      <c r="B137" s="102">
        <v>76.28</v>
      </c>
      <c r="C137" s="102">
        <v>21.46</v>
      </c>
      <c r="D137" s="103">
        <v>2005</v>
      </c>
      <c r="E137" s="103">
        <v>4</v>
      </c>
      <c r="F137" s="103">
        <v>1</v>
      </c>
      <c r="G137" s="99">
        <v>4.0009999999999994</v>
      </c>
      <c r="H137" s="100" t="s">
        <v>26</v>
      </c>
      <c r="I137" s="103">
        <v>17</v>
      </c>
      <c r="J137" s="103">
        <v>22</v>
      </c>
      <c r="K137" s="103">
        <v>10</v>
      </c>
      <c r="L137" s="104" t="s">
        <v>27</v>
      </c>
    </row>
    <row r="138" spans="1:12" x14ac:dyDescent="0.3">
      <c r="A138" s="95">
        <v>137</v>
      </c>
      <c r="B138" s="102">
        <v>76.62</v>
      </c>
      <c r="C138" s="102">
        <v>18.600000000000001</v>
      </c>
      <c r="D138" s="103">
        <v>2005</v>
      </c>
      <c r="E138" s="103">
        <v>4</v>
      </c>
      <c r="F138" s="103">
        <v>13</v>
      </c>
      <c r="G138" s="99">
        <v>4.2097999999999995</v>
      </c>
      <c r="H138" s="100" t="s">
        <v>26</v>
      </c>
      <c r="I138" s="103">
        <v>5</v>
      </c>
      <c r="J138" s="103">
        <v>11</v>
      </c>
      <c r="K138" s="103">
        <v>37</v>
      </c>
      <c r="L138" s="104" t="s">
        <v>27</v>
      </c>
    </row>
    <row r="139" spans="1:12" x14ac:dyDescent="0.3">
      <c r="A139" s="95">
        <v>138</v>
      </c>
      <c r="B139" s="102">
        <v>75.403000000000006</v>
      </c>
      <c r="C139" s="102">
        <v>27.148</v>
      </c>
      <c r="D139" s="103">
        <v>2005</v>
      </c>
      <c r="E139" s="103">
        <v>4</v>
      </c>
      <c r="F139" s="103">
        <v>24</v>
      </c>
      <c r="G139" s="99">
        <v>4.0705999999999998</v>
      </c>
      <c r="H139" s="100" t="s">
        <v>26</v>
      </c>
      <c r="I139" s="103">
        <v>3.8</v>
      </c>
      <c r="J139" s="103">
        <v>14</v>
      </c>
      <c r="K139" s="103">
        <v>12</v>
      </c>
      <c r="L139" s="104" t="s">
        <v>12</v>
      </c>
    </row>
    <row r="140" spans="1:12" x14ac:dyDescent="0.3">
      <c r="A140" s="95">
        <v>139</v>
      </c>
      <c r="B140" s="102">
        <v>73.55</v>
      </c>
      <c r="C140" s="102">
        <v>25.3</v>
      </c>
      <c r="D140" s="103">
        <v>2005</v>
      </c>
      <c r="E140" s="103">
        <v>6</v>
      </c>
      <c r="F140" s="103">
        <v>1</v>
      </c>
      <c r="G140" s="99">
        <v>4.4185999999999996</v>
      </c>
      <c r="H140" s="100" t="s">
        <v>26</v>
      </c>
      <c r="I140" s="103">
        <v>10</v>
      </c>
      <c r="J140" s="103">
        <v>16</v>
      </c>
      <c r="K140" s="103">
        <v>58</v>
      </c>
      <c r="L140" s="104" t="s">
        <v>27</v>
      </c>
    </row>
    <row r="141" spans="1:12" x14ac:dyDescent="0.3">
      <c r="A141" s="95">
        <v>140</v>
      </c>
      <c r="B141" s="102">
        <v>73.209999999999994</v>
      </c>
      <c r="C141" s="102">
        <v>19.14</v>
      </c>
      <c r="D141" s="103">
        <v>2005</v>
      </c>
      <c r="E141" s="103">
        <v>6</v>
      </c>
      <c r="F141" s="103">
        <v>18</v>
      </c>
      <c r="G141" s="99">
        <v>3.9314</v>
      </c>
      <c r="H141" s="100" t="s">
        <v>26</v>
      </c>
      <c r="I141" s="103">
        <v>5</v>
      </c>
      <c r="J141" s="103">
        <v>8</v>
      </c>
      <c r="K141" s="103">
        <v>38</v>
      </c>
      <c r="L141" s="104" t="s">
        <v>27</v>
      </c>
    </row>
    <row r="142" spans="1:12" x14ac:dyDescent="0.3">
      <c r="A142" s="95">
        <v>141</v>
      </c>
      <c r="B142" s="102">
        <v>73.41</v>
      </c>
      <c r="C142" s="102">
        <v>20.18</v>
      </c>
      <c r="D142" s="103">
        <v>2005</v>
      </c>
      <c r="E142" s="103">
        <v>11</v>
      </c>
      <c r="F142" s="103">
        <v>4</v>
      </c>
      <c r="G142" s="99">
        <v>3.9314</v>
      </c>
      <c r="H142" s="100" t="s">
        <v>26</v>
      </c>
      <c r="I142" s="103">
        <v>5</v>
      </c>
      <c r="J142" s="103">
        <v>17</v>
      </c>
      <c r="K142" s="103">
        <v>3</v>
      </c>
      <c r="L142" s="104" t="s">
        <v>27</v>
      </c>
    </row>
    <row r="143" spans="1:12" x14ac:dyDescent="0.3">
      <c r="A143" s="95">
        <v>142</v>
      </c>
      <c r="B143" s="102">
        <v>73.680000000000007</v>
      </c>
      <c r="C143" s="102">
        <v>25.12</v>
      </c>
      <c r="D143" s="103">
        <v>2005</v>
      </c>
      <c r="E143" s="103">
        <v>11</v>
      </c>
      <c r="F143" s="103">
        <v>29</v>
      </c>
      <c r="G143" s="99">
        <v>3.8618000000000001</v>
      </c>
      <c r="H143" s="100" t="s">
        <v>26</v>
      </c>
      <c r="I143" s="103">
        <v>3</v>
      </c>
      <c r="J143" s="103">
        <v>1</v>
      </c>
      <c r="K143" s="103">
        <v>57</v>
      </c>
      <c r="L143" s="104" t="s">
        <v>27</v>
      </c>
    </row>
    <row r="144" spans="1:12" x14ac:dyDescent="0.3">
      <c r="A144" s="95">
        <v>143</v>
      </c>
      <c r="B144" s="102">
        <v>76.39</v>
      </c>
      <c r="C144" s="102">
        <v>18.22</v>
      </c>
      <c r="D144" s="103">
        <v>2006</v>
      </c>
      <c r="E144" s="103">
        <v>1</v>
      </c>
      <c r="F144" s="103">
        <v>4</v>
      </c>
      <c r="G144" s="99">
        <v>4.2097999999999995</v>
      </c>
      <c r="H144" s="100" t="s">
        <v>26</v>
      </c>
      <c r="I144" s="103">
        <v>7</v>
      </c>
      <c r="J144" s="103">
        <v>16</v>
      </c>
      <c r="K144" s="103">
        <v>31</v>
      </c>
      <c r="L144" s="104" t="s">
        <v>27</v>
      </c>
    </row>
    <row r="145" spans="1:12" x14ac:dyDescent="0.3">
      <c r="A145" s="95">
        <v>144</v>
      </c>
      <c r="B145" s="102">
        <v>77.77</v>
      </c>
      <c r="C145" s="102">
        <v>22.43</v>
      </c>
      <c r="D145" s="103">
        <v>2006</v>
      </c>
      <c r="E145" s="103">
        <v>3</v>
      </c>
      <c r="F145" s="103">
        <v>7</v>
      </c>
      <c r="G145" s="99">
        <v>3.9314</v>
      </c>
      <c r="H145" s="100" t="s">
        <v>26</v>
      </c>
      <c r="I145" s="103">
        <v>15</v>
      </c>
      <c r="J145" s="103">
        <v>10</v>
      </c>
      <c r="K145" s="103">
        <v>9</v>
      </c>
      <c r="L145" s="104" t="s">
        <v>27</v>
      </c>
    </row>
    <row r="146" spans="1:12" x14ac:dyDescent="0.3">
      <c r="A146" s="95">
        <v>145</v>
      </c>
      <c r="B146" s="102">
        <v>72.27</v>
      </c>
      <c r="C146" s="102">
        <v>24.2</v>
      </c>
      <c r="D146" s="103">
        <v>2006</v>
      </c>
      <c r="E146" s="103">
        <v>5</v>
      </c>
      <c r="F146" s="103">
        <v>7</v>
      </c>
      <c r="G146" s="99">
        <v>4.4185999999999996</v>
      </c>
      <c r="H146" s="100" t="s">
        <v>26</v>
      </c>
      <c r="I146" s="103">
        <v>5</v>
      </c>
      <c r="J146" s="103">
        <v>10</v>
      </c>
      <c r="K146" s="103">
        <v>54</v>
      </c>
      <c r="L146" s="104" t="s">
        <v>27</v>
      </c>
    </row>
    <row r="147" spans="1:12" x14ac:dyDescent="0.3">
      <c r="A147" s="95">
        <v>146</v>
      </c>
      <c r="B147" s="102">
        <v>73.980599999999995</v>
      </c>
      <c r="C147" s="102">
        <v>26.745000000000001</v>
      </c>
      <c r="D147" s="103">
        <v>2006</v>
      </c>
      <c r="E147" s="103">
        <v>7</v>
      </c>
      <c r="F147" s="103">
        <v>19</v>
      </c>
      <c r="G147" s="99">
        <v>4.6426999999999996</v>
      </c>
      <c r="H147" s="100" t="s">
        <v>26</v>
      </c>
      <c r="I147" s="103">
        <v>0</v>
      </c>
      <c r="J147" s="103">
        <v>16</v>
      </c>
      <c r="K147" s="103">
        <v>41</v>
      </c>
      <c r="L147" s="104" t="s">
        <v>22</v>
      </c>
    </row>
    <row r="148" spans="1:12" x14ac:dyDescent="0.3">
      <c r="A148" s="95">
        <v>147</v>
      </c>
      <c r="B148" s="102">
        <v>79.39</v>
      </c>
      <c r="C148" s="102">
        <v>22.3</v>
      </c>
      <c r="D148" s="103">
        <v>2006</v>
      </c>
      <c r="E148" s="103">
        <v>8</v>
      </c>
      <c r="F148" s="103">
        <v>5</v>
      </c>
      <c r="G148" s="99">
        <v>4.1402000000000001</v>
      </c>
      <c r="H148" s="100" t="s">
        <v>26</v>
      </c>
      <c r="I148" s="103">
        <v>10</v>
      </c>
      <c r="J148" s="103">
        <v>8</v>
      </c>
      <c r="K148" s="103">
        <v>27</v>
      </c>
      <c r="L148" s="104" t="s">
        <v>27</v>
      </c>
    </row>
    <row r="149" spans="1:12" x14ac:dyDescent="0.3">
      <c r="A149" s="95">
        <v>148</v>
      </c>
      <c r="B149" s="102">
        <v>76.153999999999996</v>
      </c>
      <c r="C149" s="102">
        <v>26.881</v>
      </c>
      <c r="D149" s="103">
        <v>2006</v>
      </c>
      <c r="E149" s="103">
        <v>12</v>
      </c>
      <c r="F149" s="103">
        <v>24</v>
      </c>
      <c r="G149" s="99">
        <v>4.7989600000000001</v>
      </c>
      <c r="H149" s="100" t="s">
        <v>26</v>
      </c>
      <c r="I149" s="103">
        <v>10</v>
      </c>
      <c r="J149" s="103">
        <v>22</v>
      </c>
      <c r="K149" s="103">
        <v>43</v>
      </c>
      <c r="L149" s="104" t="s">
        <v>25</v>
      </c>
    </row>
    <row r="150" spans="1:12" x14ac:dyDescent="0.3">
      <c r="A150" s="95">
        <v>149</v>
      </c>
      <c r="B150" s="102">
        <v>78.66</v>
      </c>
      <c r="C150" s="102">
        <v>22.77</v>
      </c>
      <c r="D150" s="103">
        <v>2007</v>
      </c>
      <c r="E150" s="103">
        <v>6</v>
      </c>
      <c r="F150" s="103">
        <v>6</v>
      </c>
      <c r="G150" s="99">
        <v>4.0705999999999998</v>
      </c>
      <c r="H150" s="100" t="s">
        <v>26</v>
      </c>
      <c r="I150" s="103">
        <v>8</v>
      </c>
      <c r="J150" s="103">
        <v>13</v>
      </c>
      <c r="K150" s="103">
        <v>45</v>
      </c>
      <c r="L150" s="104" t="s">
        <v>27</v>
      </c>
    </row>
    <row r="151" spans="1:12" x14ac:dyDescent="0.3">
      <c r="A151" s="95">
        <v>150</v>
      </c>
      <c r="B151" s="102">
        <v>76.66</v>
      </c>
      <c r="C151" s="102">
        <v>18.7</v>
      </c>
      <c r="D151" s="103">
        <v>2007</v>
      </c>
      <c r="E151" s="103">
        <v>9</v>
      </c>
      <c r="F151" s="103">
        <v>6</v>
      </c>
      <c r="G151" s="99">
        <v>4.4185999999999996</v>
      </c>
      <c r="H151" s="100" t="s">
        <v>26</v>
      </c>
      <c r="I151" s="103">
        <v>10</v>
      </c>
      <c r="J151" s="103">
        <v>12</v>
      </c>
      <c r="K151" s="103">
        <v>39</v>
      </c>
      <c r="L151" s="104" t="s">
        <v>27</v>
      </c>
    </row>
    <row r="152" spans="1:12" x14ac:dyDescent="0.3">
      <c r="A152" s="95">
        <v>151</v>
      </c>
      <c r="B152" s="102">
        <v>78.67</v>
      </c>
      <c r="C152" s="102">
        <v>22.79</v>
      </c>
      <c r="D152" s="103">
        <v>2008</v>
      </c>
      <c r="E152" s="103">
        <v>1</v>
      </c>
      <c r="F152" s="103">
        <v>11</v>
      </c>
      <c r="G152" s="99">
        <v>4.0705999999999998</v>
      </c>
      <c r="H152" s="100" t="s">
        <v>26</v>
      </c>
      <c r="I152" s="103">
        <v>10</v>
      </c>
      <c r="J152" s="103">
        <v>5</v>
      </c>
      <c r="K152" s="103">
        <v>18</v>
      </c>
      <c r="L152" s="104" t="s">
        <v>27</v>
      </c>
    </row>
    <row r="153" spans="1:12" x14ac:dyDescent="0.3">
      <c r="A153" s="95">
        <v>152</v>
      </c>
      <c r="B153" s="102">
        <v>72.932699999999997</v>
      </c>
      <c r="C153" s="102">
        <v>21.289400000000001</v>
      </c>
      <c r="D153" s="103">
        <v>2008</v>
      </c>
      <c r="E153" s="103">
        <v>5</v>
      </c>
      <c r="F153" s="103">
        <v>2</v>
      </c>
      <c r="G153" s="99">
        <v>4.2520500000000006</v>
      </c>
      <c r="H153" s="100" t="s">
        <v>26</v>
      </c>
      <c r="I153" s="103">
        <v>35</v>
      </c>
      <c r="J153" s="103">
        <v>21</v>
      </c>
      <c r="K153" s="103">
        <v>53</v>
      </c>
      <c r="L153" s="104" t="s">
        <v>10</v>
      </c>
    </row>
    <row r="154" spans="1:12" x14ac:dyDescent="0.3">
      <c r="A154" s="95">
        <v>153</v>
      </c>
      <c r="B154" s="102">
        <v>72.84</v>
      </c>
      <c r="C154" s="102">
        <v>21.5</v>
      </c>
      <c r="D154" s="103">
        <v>2008</v>
      </c>
      <c r="E154" s="103">
        <v>5</v>
      </c>
      <c r="F154" s="103">
        <v>20</v>
      </c>
      <c r="G154" s="99">
        <v>3.9314</v>
      </c>
      <c r="H154" s="100" t="s">
        <v>26</v>
      </c>
      <c r="I154" s="103">
        <v>10</v>
      </c>
      <c r="J154" s="103">
        <v>14</v>
      </c>
      <c r="K154" s="103">
        <v>27</v>
      </c>
      <c r="L154" s="104" t="s">
        <v>27</v>
      </c>
    </row>
    <row r="155" spans="1:12" x14ac:dyDescent="0.3">
      <c r="A155" s="95">
        <v>154</v>
      </c>
      <c r="B155" s="102">
        <v>73.63</v>
      </c>
      <c r="C155" s="102">
        <v>25.8</v>
      </c>
      <c r="D155" s="103">
        <v>2008</v>
      </c>
      <c r="E155" s="103">
        <v>6</v>
      </c>
      <c r="F155" s="103">
        <v>27</v>
      </c>
      <c r="G155" s="99">
        <v>4.3490000000000002</v>
      </c>
      <c r="H155" s="100" t="s">
        <v>26</v>
      </c>
      <c r="I155" s="103">
        <v>12</v>
      </c>
      <c r="J155" s="103">
        <v>13</v>
      </c>
      <c r="K155" s="103">
        <v>23</v>
      </c>
      <c r="L155" s="104" t="s">
        <v>27</v>
      </c>
    </row>
    <row r="156" spans="1:12" x14ac:dyDescent="0.3">
      <c r="A156" s="95">
        <v>155</v>
      </c>
      <c r="B156" s="102">
        <v>74.23</v>
      </c>
      <c r="C156" s="102">
        <v>25.76</v>
      </c>
      <c r="D156" s="103">
        <v>2008</v>
      </c>
      <c r="E156" s="103">
        <v>7</v>
      </c>
      <c r="F156" s="103">
        <v>5</v>
      </c>
      <c r="G156" s="99">
        <v>4.2793999999999999</v>
      </c>
      <c r="H156" s="100" t="s">
        <v>26</v>
      </c>
      <c r="I156" s="103">
        <v>9</v>
      </c>
      <c r="J156" s="103">
        <v>17</v>
      </c>
      <c r="K156" s="103">
        <v>29</v>
      </c>
      <c r="L156" s="104" t="s">
        <v>27</v>
      </c>
    </row>
    <row r="157" spans="1:12" x14ac:dyDescent="0.3">
      <c r="A157" s="95">
        <v>156</v>
      </c>
      <c r="B157" s="96">
        <v>71.73</v>
      </c>
      <c r="C157" s="96">
        <v>26.43</v>
      </c>
      <c r="D157" s="97">
        <v>2008</v>
      </c>
      <c r="E157" s="97">
        <v>10</v>
      </c>
      <c r="F157" s="97">
        <v>29</v>
      </c>
      <c r="G157" s="99">
        <v>6.8</v>
      </c>
      <c r="H157" s="100" t="s">
        <v>26</v>
      </c>
      <c r="I157" s="97">
        <v>0</v>
      </c>
      <c r="J157" s="97">
        <v>11</v>
      </c>
      <c r="K157" s="97">
        <v>32</v>
      </c>
      <c r="L157" s="98">
        <v>1</v>
      </c>
    </row>
    <row r="158" spans="1:12" ht="15" customHeight="1" x14ac:dyDescent="0.3">
      <c r="A158" s="95">
        <v>157</v>
      </c>
      <c r="B158" s="102">
        <v>72</v>
      </c>
      <c r="C158" s="102">
        <v>23</v>
      </c>
      <c r="D158" s="103">
        <v>2008</v>
      </c>
      <c r="E158" s="103">
        <v>12</v>
      </c>
      <c r="F158" s="103">
        <v>27</v>
      </c>
      <c r="G158" s="99">
        <v>4.0009999999999994</v>
      </c>
      <c r="H158" s="100" t="s">
        <v>26</v>
      </c>
      <c r="I158" s="103">
        <v>10</v>
      </c>
      <c r="J158" s="103">
        <v>7</v>
      </c>
      <c r="K158" s="103">
        <v>42</v>
      </c>
      <c r="L158" s="104" t="s">
        <v>27</v>
      </c>
    </row>
    <row r="159" spans="1:12" x14ac:dyDescent="0.3">
      <c r="A159" s="95">
        <v>158</v>
      </c>
      <c r="B159" s="102">
        <v>75.331999999999994</v>
      </c>
      <c r="C159" s="102">
        <v>21.585000000000001</v>
      </c>
      <c r="D159" s="103">
        <v>2009</v>
      </c>
      <c r="E159" s="103">
        <v>1</v>
      </c>
      <c r="F159" s="103">
        <v>4</v>
      </c>
      <c r="G159" s="99">
        <v>4.7208299999999994</v>
      </c>
      <c r="H159" s="100" t="s">
        <v>26</v>
      </c>
      <c r="I159" s="103">
        <v>10</v>
      </c>
      <c r="J159" s="103">
        <v>5</v>
      </c>
      <c r="K159" s="103">
        <v>20</v>
      </c>
      <c r="L159" s="104" t="s">
        <v>25</v>
      </c>
    </row>
    <row r="160" spans="1:12" x14ac:dyDescent="0.3">
      <c r="A160" s="95">
        <v>159</v>
      </c>
      <c r="B160" s="102">
        <v>79.7</v>
      </c>
      <c r="C160" s="102">
        <v>22.3</v>
      </c>
      <c r="D160" s="103">
        <v>2009</v>
      </c>
      <c r="E160" s="103">
        <v>8</v>
      </c>
      <c r="F160" s="103">
        <v>2</v>
      </c>
      <c r="G160" s="99">
        <v>4.2097999999999995</v>
      </c>
      <c r="H160" s="100" t="s">
        <v>26</v>
      </c>
      <c r="I160" s="103">
        <v>10</v>
      </c>
      <c r="J160" s="103">
        <v>0</v>
      </c>
      <c r="K160" s="103">
        <v>19</v>
      </c>
      <c r="L160" s="104" t="s">
        <v>27</v>
      </c>
    </row>
    <row r="161" spans="1:12" x14ac:dyDescent="0.3">
      <c r="A161" s="95">
        <v>160</v>
      </c>
      <c r="B161" s="102">
        <v>76.930000000000007</v>
      </c>
      <c r="C161" s="102">
        <v>21.56</v>
      </c>
      <c r="D161" s="103">
        <v>2010</v>
      </c>
      <c r="E161" s="103">
        <v>1</v>
      </c>
      <c r="F161" s="103">
        <v>25</v>
      </c>
      <c r="G161" s="99">
        <v>4.0009999999999994</v>
      </c>
      <c r="H161" s="100" t="s">
        <v>26</v>
      </c>
      <c r="I161" s="103">
        <v>10</v>
      </c>
      <c r="J161" s="103">
        <v>22</v>
      </c>
      <c r="K161" s="103">
        <v>30</v>
      </c>
      <c r="L161" s="104" t="s">
        <v>27</v>
      </c>
    </row>
    <row r="162" spans="1:12" x14ac:dyDescent="0.3">
      <c r="A162" s="95">
        <v>161</v>
      </c>
      <c r="B162" s="102">
        <v>74.31</v>
      </c>
      <c r="C162" s="102">
        <v>18.690000000000001</v>
      </c>
      <c r="D162" s="103">
        <v>2010</v>
      </c>
      <c r="E162" s="103">
        <v>4</v>
      </c>
      <c r="F162" s="103">
        <v>16</v>
      </c>
      <c r="G162" s="99">
        <v>4.0705999999999998</v>
      </c>
      <c r="H162" s="100" t="s">
        <v>26</v>
      </c>
      <c r="I162" s="103">
        <v>10</v>
      </c>
      <c r="J162" s="103">
        <v>1</v>
      </c>
      <c r="K162" s="103">
        <v>52</v>
      </c>
      <c r="L162" s="104" t="s">
        <v>27</v>
      </c>
    </row>
    <row r="163" spans="1:12" x14ac:dyDescent="0.3">
      <c r="A163" s="95">
        <v>162</v>
      </c>
      <c r="B163" s="102">
        <v>74.34</v>
      </c>
      <c r="C163" s="102">
        <v>26.43</v>
      </c>
      <c r="D163" s="103">
        <v>2010</v>
      </c>
      <c r="E163" s="103">
        <v>8</v>
      </c>
      <c r="F163" s="103">
        <v>15</v>
      </c>
      <c r="G163" s="99">
        <v>4.5578000000000003</v>
      </c>
      <c r="H163" s="100" t="s">
        <v>26</v>
      </c>
      <c r="I163" s="103">
        <v>10</v>
      </c>
      <c r="J163" s="103">
        <v>11</v>
      </c>
      <c r="K163" s="103">
        <v>38</v>
      </c>
      <c r="L163" s="104" t="s">
        <v>27</v>
      </c>
    </row>
    <row r="164" spans="1:12" x14ac:dyDescent="0.3">
      <c r="A164" s="95">
        <v>163</v>
      </c>
      <c r="B164" s="102">
        <v>71.897999999999996</v>
      </c>
      <c r="C164" s="102">
        <v>23.625</v>
      </c>
      <c r="D164" s="103">
        <v>2010</v>
      </c>
      <c r="E164" s="103">
        <v>9</v>
      </c>
      <c r="F164" s="103">
        <v>2</v>
      </c>
      <c r="G164" s="99">
        <v>4.6426999999999996</v>
      </c>
      <c r="H164" s="100" t="s">
        <v>26</v>
      </c>
      <c r="I164" s="103">
        <v>10</v>
      </c>
      <c r="J164" s="103">
        <v>3</v>
      </c>
      <c r="K164" s="103">
        <v>9</v>
      </c>
      <c r="L164" s="104" t="s">
        <v>25</v>
      </c>
    </row>
    <row r="165" spans="1:12" x14ac:dyDescent="0.3">
      <c r="A165" s="95">
        <v>164</v>
      </c>
      <c r="B165" s="102">
        <v>72.53</v>
      </c>
      <c r="C165" s="102">
        <v>24.61</v>
      </c>
      <c r="D165" s="103">
        <v>2010</v>
      </c>
      <c r="E165" s="103">
        <v>11</v>
      </c>
      <c r="F165" s="103">
        <v>5</v>
      </c>
      <c r="G165" s="99">
        <v>3.8618000000000001</v>
      </c>
      <c r="H165" s="100" t="s">
        <v>26</v>
      </c>
      <c r="I165" s="103">
        <v>10</v>
      </c>
      <c r="J165" s="103">
        <v>21</v>
      </c>
      <c r="K165" s="103">
        <v>27</v>
      </c>
      <c r="L165" s="104" t="s">
        <v>27</v>
      </c>
    </row>
    <row r="166" spans="1:12" x14ac:dyDescent="0.3">
      <c r="A166" s="95">
        <v>165</v>
      </c>
      <c r="B166" s="102">
        <v>73.649000000000001</v>
      </c>
      <c r="C166" s="102">
        <v>25.23</v>
      </c>
      <c r="D166" s="103">
        <v>2010</v>
      </c>
      <c r="E166" s="103">
        <v>11</v>
      </c>
      <c r="F166" s="103">
        <v>9</v>
      </c>
      <c r="G166" s="99">
        <v>5.1114800000000002</v>
      </c>
      <c r="H166" s="100" t="s">
        <v>26</v>
      </c>
      <c r="I166" s="103">
        <v>13.5</v>
      </c>
      <c r="J166" s="103">
        <v>22</v>
      </c>
      <c r="K166" s="103">
        <v>46</v>
      </c>
      <c r="L166" s="104" t="s">
        <v>25</v>
      </c>
    </row>
    <row r="167" spans="1:12" x14ac:dyDescent="0.3">
      <c r="A167" s="95">
        <v>166</v>
      </c>
      <c r="B167" s="102">
        <v>79.8</v>
      </c>
      <c r="C167" s="102">
        <v>22.66</v>
      </c>
      <c r="D167" s="103">
        <v>2011</v>
      </c>
      <c r="E167" s="103">
        <v>2</v>
      </c>
      <c r="F167" s="103">
        <v>8</v>
      </c>
      <c r="G167" s="99">
        <v>4.2097999999999995</v>
      </c>
      <c r="H167" s="100" t="s">
        <v>26</v>
      </c>
      <c r="I167" s="103">
        <v>10</v>
      </c>
      <c r="J167" s="103">
        <v>12</v>
      </c>
      <c r="K167" s="103">
        <v>53</v>
      </c>
      <c r="L167" s="104" t="s">
        <v>27</v>
      </c>
    </row>
    <row r="168" spans="1:12" x14ac:dyDescent="0.3">
      <c r="A168" s="95">
        <v>167</v>
      </c>
      <c r="B168" s="102">
        <v>78.86</v>
      </c>
      <c r="C168" s="102">
        <v>22.32</v>
      </c>
      <c r="D168" s="103">
        <v>2012</v>
      </c>
      <c r="E168" s="103">
        <v>6</v>
      </c>
      <c r="F168" s="103">
        <v>12</v>
      </c>
      <c r="G168" s="99">
        <v>4.1402000000000001</v>
      </c>
      <c r="H168" s="100" t="s">
        <v>26</v>
      </c>
      <c r="I168" s="103">
        <v>15</v>
      </c>
      <c r="J168" s="103">
        <v>6</v>
      </c>
      <c r="K168" s="103">
        <v>39</v>
      </c>
      <c r="L168" s="104" t="s">
        <v>27</v>
      </c>
    </row>
    <row r="169" spans="1:12" x14ac:dyDescent="0.3">
      <c r="A169" s="95">
        <v>168</v>
      </c>
      <c r="B169" s="102">
        <v>72.8</v>
      </c>
      <c r="C169" s="102">
        <v>21.23</v>
      </c>
      <c r="D169" s="103">
        <v>2012</v>
      </c>
      <c r="E169" s="103">
        <v>7</v>
      </c>
      <c r="F169" s="103">
        <v>30</v>
      </c>
      <c r="G169" s="99">
        <v>4.0009999999999994</v>
      </c>
      <c r="H169" s="100" t="s">
        <v>26</v>
      </c>
      <c r="I169" s="103">
        <v>11</v>
      </c>
      <c r="J169" s="103">
        <v>13</v>
      </c>
      <c r="K169" s="103">
        <v>33</v>
      </c>
      <c r="L169" s="104" t="s">
        <v>27</v>
      </c>
    </row>
    <row r="170" spans="1:12" x14ac:dyDescent="0.3">
      <c r="A170" s="95">
        <v>169</v>
      </c>
      <c r="B170" s="102">
        <v>76.510000000000005</v>
      </c>
      <c r="C170" s="102">
        <v>21.3</v>
      </c>
      <c r="D170" s="103">
        <v>2012</v>
      </c>
      <c r="E170" s="103">
        <v>9</v>
      </c>
      <c r="F170" s="103">
        <v>12</v>
      </c>
      <c r="G170" s="99">
        <v>3.8618000000000001</v>
      </c>
      <c r="H170" s="100" t="s">
        <v>26</v>
      </c>
      <c r="I170" s="103">
        <v>20</v>
      </c>
      <c r="J170" s="103">
        <v>22</v>
      </c>
      <c r="K170" s="103">
        <v>4</v>
      </c>
      <c r="L170" s="104" t="s">
        <v>27</v>
      </c>
    </row>
    <row r="171" spans="1:12" x14ac:dyDescent="0.3">
      <c r="A171" s="95">
        <v>170</v>
      </c>
      <c r="B171" s="102">
        <v>76.3</v>
      </c>
      <c r="C171" s="102">
        <v>22.6</v>
      </c>
      <c r="D171" s="103">
        <v>2012</v>
      </c>
      <c r="E171" s="103">
        <v>11</v>
      </c>
      <c r="F171" s="103">
        <v>20</v>
      </c>
      <c r="G171" s="99">
        <v>4.0705999999999998</v>
      </c>
      <c r="H171" s="100" t="s">
        <v>26</v>
      </c>
      <c r="I171" s="103">
        <v>15</v>
      </c>
      <c r="J171" s="103">
        <v>9</v>
      </c>
      <c r="K171" s="103">
        <v>45</v>
      </c>
      <c r="L171" s="104" t="s">
        <v>27</v>
      </c>
    </row>
    <row r="172" spans="1:12" x14ac:dyDescent="0.3">
      <c r="A172" s="95">
        <v>171</v>
      </c>
      <c r="B172" s="102">
        <v>76.599999999999994</v>
      </c>
      <c r="C172" s="102">
        <v>26.19</v>
      </c>
      <c r="D172" s="103">
        <v>2013</v>
      </c>
      <c r="E172" s="103">
        <v>2</v>
      </c>
      <c r="F172" s="103">
        <v>24</v>
      </c>
      <c r="G172" s="99">
        <v>4.6273999999999997</v>
      </c>
      <c r="H172" s="100" t="s">
        <v>26</v>
      </c>
      <c r="I172" s="103">
        <v>10</v>
      </c>
      <c r="J172" s="103">
        <v>6</v>
      </c>
      <c r="K172" s="103">
        <v>27</v>
      </c>
      <c r="L172" s="104" t="s">
        <v>27</v>
      </c>
    </row>
    <row r="173" spans="1:12" x14ac:dyDescent="0.3">
      <c r="A173" s="95">
        <v>172</v>
      </c>
      <c r="B173" s="102">
        <v>73.38</v>
      </c>
      <c r="C173" s="102">
        <v>19.8</v>
      </c>
      <c r="D173" s="103">
        <v>2013</v>
      </c>
      <c r="E173" s="103">
        <v>2</v>
      </c>
      <c r="F173" s="103">
        <v>25</v>
      </c>
      <c r="G173" s="99">
        <v>3.8618000000000001</v>
      </c>
      <c r="H173" s="100" t="s">
        <v>26</v>
      </c>
      <c r="I173" s="103">
        <v>10</v>
      </c>
      <c r="J173" s="103">
        <v>22</v>
      </c>
      <c r="K173" s="103">
        <v>51</v>
      </c>
      <c r="L173" s="104" t="s">
        <v>27</v>
      </c>
    </row>
    <row r="174" spans="1:12" s="68" customFormat="1" x14ac:dyDescent="0.3">
      <c r="A174" s="95">
        <v>173</v>
      </c>
      <c r="B174" s="102">
        <v>71.019099999999995</v>
      </c>
      <c r="C174" s="102">
        <v>23.416899999999998</v>
      </c>
      <c r="D174" s="103">
        <v>2013</v>
      </c>
      <c r="E174" s="103">
        <v>4</v>
      </c>
      <c r="F174" s="103">
        <v>25</v>
      </c>
      <c r="G174" s="99">
        <v>4.2520500000000006</v>
      </c>
      <c r="H174" s="100" t="s">
        <v>26</v>
      </c>
      <c r="I174" s="103">
        <v>10</v>
      </c>
      <c r="J174" s="103">
        <v>5</v>
      </c>
      <c r="K174" s="103">
        <v>57</v>
      </c>
      <c r="L174" s="104" t="s">
        <v>10</v>
      </c>
    </row>
    <row r="175" spans="1:12" s="68" customFormat="1" x14ac:dyDescent="0.3">
      <c r="A175" s="95">
        <v>174</v>
      </c>
      <c r="B175" s="102">
        <v>74.83</v>
      </c>
      <c r="C175" s="102">
        <v>21.99</v>
      </c>
      <c r="D175" s="103">
        <v>2013</v>
      </c>
      <c r="E175" s="103">
        <v>6</v>
      </c>
      <c r="F175" s="103">
        <v>30</v>
      </c>
      <c r="G175" s="99">
        <v>4.0705999999999998</v>
      </c>
      <c r="H175" s="100" t="s">
        <v>26</v>
      </c>
      <c r="I175" s="103">
        <v>19</v>
      </c>
      <c r="J175" s="103">
        <v>8</v>
      </c>
      <c r="K175" s="103">
        <v>14</v>
      </c>
      <c r="L175" s="104" t="s">
        <v>27</v>
      </c>
    </row>
    <row r="176" spans="1:12" x14ac:dyDescent="0.3">
      <c r="A176" s="95">
        <v>175</v>
      </c>
      <c r="B176" s="102">
        <v>75.52</v>
      </c>
      <c r="C176" s="102">
        <v>26.62</v>
      </c>
      <c r="D176" s="103">
        <v>2013</v>
      </c>
      <c r="E176" s="103">
        <v>9</v>
      </c>
      <c r="F176" s="103">
        <v>5</v>
      </c>
      <c r="G176" s="99">
        <v>3.9314</v>
      </c>
      <c r="H176" s="100" t="s">
        <v>26</v>
      </c>
      <c r="I176" s="103">
        <v>11</v>
      </c>
      <c r="J176" s="103">
        <v>16</v>
      </c>
      <c r="K176" s="103">
        <v>59</v>
      </c>
      <c r="L176" s="104" t="s">
        <v>27</v>
      </c>
    </row>
    <row r="177" spans="1:12" x14ac:dyDescent="0.3">
      <c r="A177" s="95">
        <v>176</v>
      </c>
      <c r="B177" s="102">
        <v>73.099999999999994</v>
      </c>
      <c r="C177" s="102">
        <v>20.7</v>
      </c>
      <c r="D177" s="103">
        <v>2014</v>
      </c>
      <c r="E177" s="103">
        <v>1</v>
      </c>
      <c r="F177" s="103">
        <v>7</v>
      </c>
      <c r="G177" s="99">
        <v>4.2097999999999995</v>
      </c>
      <c r="H177" s="100" t="s">
        <v>26</v>
      </c>
      <c r="I177" s="103">
        <v>15</v>
      </c>
      <c r="J177" s="103">
        <v>19</v>
      </c>
      <c r="K177" s="103">
        <v>20</v>
      </c>
      <c r="L177" s="104" t="s">
        <v>27</v>
      </c>
    </row>
    <row r="178" spans="1:12" x14ac:dyDescent="0.3">
      <c r="A178" s="95">
        <v>177</v>
      </c>
      <c r="B178" s="102">
        <v>73.420199999999994</v>
      </c>
      <c r="C178" s="102">
        <v>21.4255</v>
      </c>
      <c r="D178" s="103">
        <v>2014</v>
      </c>
      <c r="E178" s="103">
        <v>6</v>
      </c>
      <c r="F178" s="103">
        <v>21</v>
      </c>
      <c r="G178" s="99">
        <v>4.4083100000000002</v>
      </c>
      <c r="H178" s="100" t="s">
        <v>26</v>
      </c>
      <c r="I178" s="103">
        <v>35</v>
      </c>
      <c r="J178" s="103">
        <v>15</v>
      </c>
      <c r="K178" s="103">
        <v>59</v>
      </c>
      <c r="L178" s="104" t="s">
        <v>10</v>
      </c>
    </row>
    <row r="179" spans="1:12" s="68" customFormat="1" x14ac:dyDescent="0.3">
      <c r="A179" s="95">
        <v>178</v>
      </c>
      <c r="B179" s="102">
        <v>75.14</v>
      </c>
      <c r="C179" s="102">
        <v>21.87</v>
      </c>
      <c r="D179" s="103">
        <v>2014</v>
      </c>
      <c r="E179" s="103">
        <v>8</v>
      </c>
      <c r="F179" s="103">
        <v>20</v>
      </c>
      <c r="G179" s="99">
        <v>4.2097999999999995</v>
      </c>
      <c r="H179" s="100" t="s">
        <v>26</v>
      </c>
      <c r="I179" s="103">
        <v>6</v>
      </c>
      <c r="J179" s="103">
        <v>6</v>
      </c>
      <c r="K179" s="103">
        <v>59</v>
      </c>
      <c r="L179" s="104" t="s">
        <v>27</v>
      </c>
    </row>
    <row r="180" spans="1:12" s="68" customFormat="1" x14ac:dyDescent="0.3">
      <c r="A180" s="95">
        <v>179</v>
      </c>
      <c r="B180" s="102">
        <v>79.889899999999997</v>
      </c>
      <c r="C180" s="102">
        <v>23.041899999999998</v>
      </c>
      <c r="D180" s="103">
        <v>2014</v>
      </c>
      <c r="E180" s="103">
        <v>10</v>
      </c>
      <c r="F180" s="103">
        <v>22</v>
      </c>
      <c r="G180" s="99">
        <v>4.3301800000000004</v>
      </c>
      <c r="H180" s="100" t="s">
        <v>26</v>
      </c>
      <c r="I180" s="103">
        <v>10</v>
      </c>
      <c r="J180" s="103">
        <v>5</v>
      </c>
      <c r="K180" s="103">
        <v>18</v>
      </c>
      <c r="L180" s="104" t="s">
        <v>10</v>
      </c>
    </row>
    <row r="181" spans="1:12" x14ac:dyDescent="0.3">
      <c r="A181" s="95">
        <v>180</v>
      </c>
      <c r="B181" s="102">
        <v>72.400000000000006</v>
      </c>
      <c r="C181" s="102">
        <v>24.41</v>
      </c>
      <c r="D181" s="103">
        <v>2014</v>
      </c>
      <c r="E181" s="103">
        <v>11</v>
      </c>
      <c r="F181" s="103">
        <v>19</v>
      </c>
      <c r="G181" s="99">
        <v>4.2097999999999995</v>
      </c>
      <c r="H181" s="100" t="s">
        <v>26</v>
      </c>
      <c r="I181" s="103">
        <v>10</v>
      </c>
      <c r="J181" s="103">
        <v>20</v>
      </c>
      <c r="K181" s="103">
        <v>56</v>
      </c>
      <c r="L181" s="104" t="s">
        <v>27</v>
      </c>
    </row>
    <row r="182" spans="1:12" x14ac:dyDescent="0.3">
      <c r="A182" s="95">
        <v>181</v>
      </c>
      <c r="B182" s="102">
        <v>72.72</v>
      </c>
      <c r="C182" s="102">
        <v>24.2</v>
      </c>
      <c r="D182" s="103">
        <v>2015</v>
      </c>
      <c r="E182" s="103">
        <v>3</v>
      </c>
      <c r="F182" s="103">
        <v>19</v>
      </c>
      <c r="G182" s="99">
        <v>4.2793999999999999</v>
      </c>
      <c r="H182" s="100" t="s">
        <v>26</v>
      </c>
      <c r="I182" s="103">
        <v>10</v>
      </c>
      <c r="J182" s="103">
        <v>15</v>
      </c>
      <c r="K182" s="103">
        <v>11</v>
      </c>
      <c r="L182" s="104" t="s">
        <v>27</v>
      </c>
    </row>
    <row r="183" spans="1:12" s="68" customFormat="1" x14ac:dyDescent="0.3">
      <c r="A183" s="95">
        <v>182</v>
      </c>
      <c r="B183" s="102">
        <v>80.11</v>
      </c>
      <c r="C183" s="102">
        <v>21.35</v>
      </c>
      <c r="D183" s="103">
        <v>2015</v>
      </c>
      <c r="E183" s="103">
        <v>7</v>
      </c>
      <c r="F183" s="103">
        <v>23</v>
      </c>
      <c r="G183" s="99">
        <v>4.5578000000000003</v>
      </c>
      <c r="H183" s="100" t="s">
        <v>26</v>
      </c>
      <c r="I183" s="103">
        <v>10</v>
      </c>
      <c r="J183" s="103">
        <v>20</v>
      </c>
      <c r="K183" s="103">
        <v>6</v>
      </c>
      <c r="L183" s="104" t="s">
        <v>27</v>
      </c>
    </row>
    <row r="184" spans="1:12" s="68" customFormat="1" x14ac:dyDescent="0.3">
      <c r="A184" s="95">
        <v>183</v>
      </c>
      <c r="B184" s="102">
        <v>73</v>
      </c>
      <c r="C184" s="102">
        <v>20.43</v>
      </c>
      <c r="D184" s="103">
        <v>2015</v>
      </c>
      <c r="E184" s="103">
        <v>11</v>
      </c>
      <c r="F184" s="103">
        <v>3</v>
      </c>
      <c r="G184" s="99">
        <v>3.8618000000000001</v>
      </c>
      <c r="H184" s="100" t="s">
        <v>26</v>
      </c>
      <c r="I184" s="103">
        <v>18</v>
      </c>
      <c r="J184" s="103">
        <v>2</v>
      </c>
      <c r="K184" s="103">
        <v>9</v>
      </c>
      <c r="L184" s="104" t="s">
        <v>27</v>
      </c>
    </row>
    <row r="185" spans="1:12" x14ac:dyDescent="0.3">
      <c r="A185" s="95">
        <v>184</v>
      </c>
      <c r="B185" s="102">
        <v>75.400000000000006</v>
      </c>
      <c r="C185" s="102">
        <v>27.12</v>
      </c>
      <c r="D185" s="103">
        <v>2016</v>
      </c>
      <c r="E185" s="103">
        <v>1</v>
      </c>
      <c r="F185" s="103">
        <v>29</v>
      </c>
      <c r="G185" s="99">
        <v>4.3490000000000002</v>
      </c>
      <c r="H185" s="100" t="s">
        <v>26</v>
      </c>
      <c r="I185" s="103">
        <v>10</v>
      </c>
      <c r="J185" s="103">
        <v>4</v>
      </c>
      <c r="K185" s="103">
        <v>17</v>
      </c>
      <c r="L185" s="104" t="s">
        <v>27</v>
      </c>
    </row>
    <row r="186" spans="1:12" s="68" customFormat="1" x14ac:dyDescent="0.3">
      <c r="A186" s="95">
        <v>185</v>
      </c>
      <c r="B186" s="102">
        <v>72.19</v>
      </c>
      <c r="C186" s="102">
        <v>24.84</v>
      </c>
      <c r="D186" s="103">
        <v>2016</v>
      </c>
      <c r="E186" s="103">
        <v>2</v>
      </c>
      <c r="F186" s="103">
        <v>24</v>
      </c>
      <c r="G186" s="99">
        <v>4.0705999999999998</v>
      </c>
      <c r="H186" s="100" t="s">
        <v>26</v>
      </c>
      <c r="I186" s="103">
        <v>10</v>
      </c>
      <c r="J186" s="103">
        <v>7</v>
      </c>
      <c r="K186" s="103">
        <v>36</v>
      </c>
      <c r="L186" s="104" t="s">
        <v>27</v>
      </c>
    </row>
    <row r="187" spans="1:12" x14ac:dyDescent="0.3">
      <c r="A187" s="95">
        <v>186</v>
      </c>
      <c r="B187" s="102">
        <v>73.209999999999994</v>
      </c>
      <c r="C187" s="102">
        <v>25.81</v>
      </c>
      <c r="D187" s="103">
        <v>2016</v>
      </c>
      <c r="E187" s="103">
        <v>3</v>
      </c>
      <c r="F187" s="103">
        <v>18</v>
      </c>
      <c r="G187" s="99">
        <v>4.2793999999999999</v>
      </c>
      <c r="H187" s="100" t="s">
        <v>26</v>
      </c>
      <c r="I187" s="103">
        <v>7</v>
      </c>
      <c r="J187" s="103">
        <v>9</v>
      </c>
      <c r="K187" s="103">
        <v>7</v>
      </c>
      <c r="L187" s="104" t="s">
        <v>27</v>
      </c>
    </row>
    <row r="188" spans="1:12" x14ac:dyDescent="0.3">
      <c r="A188" s="95">
        <v>187</v>
      </c>
      <c r="B188" s="102">
        <v>75.25</v>
      </c>
      <c r="C188" s="102">
        <v>26.94</v>
      </c>
      <c r="D188" s="103">
        <v>2016</v>
      </c>
      <c r="E188" s="103">
        <v>4</v>
      </c>
      <c r="F188" s="103">
        <v>8</v>
      </c>
      <c r="G188" s="99">
        <v>4.1402000000000001</v>
      </c>
      <c r="H188" s="100" t="s">
        <v>26</v>
      </c>
      <c r="I188" s="103">
        <v>10</v>
      </c>
      <c r="J188" s="103">
        <v>1</v>
      </c>
      <c r="K188" s="103">
        <v>33</v>
      </c>
      <c r="L188" s="104" t="s">
        <v>27</v>
      </c>
    </row>
    <row r="189" spans="1:12" x14ac:dyDescent="0.3">
      <c r="A189" s="95">
        <v>188</v>
      </c>
      <c r="B189" s="102">
        <v>72.58</v>
      </c>
      <c r="C189" s="102">
        <v>24.36</v>
      </c>
      <c r="D189" s="103">
        <v>2016</v>
      </c>
      <c r="E189" s="103">
        <v>5</v>
      </c>
      <c r="F189" s="103">
        <v>12</v>
      </c>
      <c r="G189" s="99">
        <v>3.9314</v>
      </c>
      <c r="H189" s="100" t="s">
        <v>26</v>
      </c>
      <c r="I189" s="103">
        <v>39</v>
      </c>
      <c r="J189" s="103">
        <v>22</v>
      </c>
      <c r="K189" s="103">
        <v>29</v>
      </c>
      <c r="L189" s="104" t="s">
        <v>27</v>
      </c>
    </row>
    <row r="190" spans="1:12" x14ac:dyDescent="0.3">
      <c r="A190" s="95">
        <v>189</v>
      </c>
      <c r="B190" s="102">
        <v>71.552599999999998</v>
      </c>
      <c r="C190" s="102">
        <v>21.427600000000002</v>
      </c>
      <c r="D190" s="103">
        <v>2016</v>
      </c>
      <c r="E190" s="103">
        <v>7</v>
      </c>
      <c r="F190" s="103">
        <v>17</v>
      </c>
      <c r="G190" s="99">
        <v>4.7208299999999994</v>
      </c>
      <c r="H190" s="100" t="s">
        <v>26</v>
      </c>
      <c r="I190" s="103">
        <v>10</v>
      </c>
      <c r="J190" s="103">
        <v>3</v>
      </c>
      <c r="K190" s="103">
        <v>54</v>
      </c>
      <c r="L190" s="104" t="s">
        <v>25</v>
      </c>
    </row>
    <row r="191" spans="1:12" x14ac:dyDescent="0.3">
      <c r="A191" s="95">
        <v>190</v>
      </c>
      <c r="B191" s="102">
        <v>74.239999999999995</v>
      </c>
      <c r="C191" s="102">
        <v>25.73</v>
      </c>
      <c r="D191" s="103">
        <v>2016</v>
      </c>
      <c r="E191" s="103">
        <v>12</v>
      </c>
      <c r="F191" s="103">
        <v>26</v>
      </c>
      <c r="G191" s="99">
        <v>4.0705999999999998</v>
      </c>
      <c r="H191" s="100" t="s">
        <v>26</v>
      </c>
      <c r="I191" s="103">
        <v>10</v>
      </c>
      <c r="J191" s="103">
        <v>21</v>
      </c>
      <c r="K191" s="103">
        <v>47</v>
      </c>
      <c r="L191" s="104" t="s">
        <v>27</v>
      </c>
    </row>
    <row r="192" spans="1:12" x14ac:dyDescent="0.3">
      <c r="A192" s="95">
        <v>191</v>
      </c>
      <c r="B192" s="102">
        <v>72.900000000000006</v>
      </c>
      <c r="C192" s="102">
        <v>24.54</v>
      </c>
      <c r="D192" s="103">
        <v>2017</v>
      </c>
      <c r="E192" s="103">
        <v>3</v>
      </c>
      <c r="F192" s="103">
        <v>13</v>
      </c>
      <c r="G192" s="99">
        <v>4.7665999999999995</v>
      </c>
      <c r="H192" s="100" t="s">
        <v>26</v>
      </c>
      <c r="I192" s="103">
        <v>10</v>
      </c>
      <c r="J192" s="103">
        <v>15</v>
      </c>
      <c r="K192" s="103">
        <v>52</v>
      </c>
      <c r="L192" s="104" t="s">
        <v>27</v>
      </c>
    </row>
    <row r="193" spans="1:12" x14ac:dyDescent="0.3">
      <c r="A193" s="95">
        <v>192</v>
      </c>
      <c r="B193" s="102">
        <v>77.13</v>
      </c>
      <c r="C193" s="102">
        <v>19.510000000000002</v>
      </c>
      <c r="D193" s="103">
        <v>2017</v>
      </c>
      <c r="E193" s="103">
        <v>8</v>
      </c>
      <c r="F193" s="103">
        <v>16</v>
      </c>
      <c r="G193" s="99">
        <v>3.8618000000000001</v>
      </c>
      <c r="H193" s="100" t="s">
        <v>26</v>
      </c>
      <c r="I193" s="103">
        <v>10</v>
      </c>
      <c r="J193" s="103">
        <v>12</v>
      </c>
      <c r="K193" s="103">
        <v>5</v>
      </c>
      <c r="L193" s="104" t="s">
        <v>27</v>
      </c>
    </row>
    <row r="194" spans="1:12" x14ac:dyDescent="0.3">
      <c r="A194" s="95">
        <v>193</v>
      </c>
      <c r="B194" s="102">
        <v>73.86</v>
      </c>
      <c r="C194" s="102">
        <v>26.29</v>
      </c>
      <c r="D194" s="103">
        <v>2017</v>
      </c>
      <c r="E194" s="103">
        <v>11</v>
      </c>
      <c r="F194" s="103">
        <v>18</v>
      </c>
      <c r="G194" s="99">
        <v>4.4882</v>
      </c>
      <c r="H194" s="100" t="s">
        <v>26</v>
      </c>
      <c r="I194" s="103">
        <v>12</v>
      </c>
      <c r="J194" s="103">
        <v>15</v>
      </c>
      <c r="K194" s="103">
        <v>21</v>
      </c>
      <c r="L194" s="104" t="s">
        <v>27</v>
      </c>
    </row>
    <row r="195" spans="1:12" x14ac:dyDescent="0.3">
      <c r="A195" s="95">
        <v>194</v>
      </c>
      <c r="B195" s="102">
        <v>73.19</v>
      </c>
      <c r="C195" s="102">
        <v>19.8</v>
      </c>
      <c r="D195" s="103">
        <v>2017</v>
      </c>
      <c r="E195" s="103">
        <v>12</v>
      </c>
      <c r="F195" s="103">
        <v>25</v>
      </c>
      <c r="G195" s="99">
        <v>3.8618000000000001</v>
      </c>
      <c r="H195" s="100" t="s">
        <v>26</v>
      </c>
      <c r="I195" s="103">
        <v>10</v>
      </c>
      <c r="J195" s="103">
        <v>9</v>
      </c>
      <c r="K195" s="103">
        <v>44</v>
      </c>
      <c r="L195" s="104" t="s">
        <v>27</v>
      </c>
    </row>
    <row r="196" spans="1:12" x14ac:dyDescent="0.3">
      <c r="A196" s="95">
        <v>195</v>
      </c>
      <c r="B196" s="102">
        <v>73.27</v>
      </c>
      <c r="C196" s="102">
        <v>19.829999999999998</v>
      </c>
      <c r="D196" s="103">
        <v>2018</v>
      </c>
      <c r="E196" s="103">
        <v>1</v>
      </c>
      <c r="F196" s="103">
        <v>2</v>
      </c>
      <c r="G196" s="99">
        <v>3.5</v>
      </c>
      <c r="H196" s="100" t="s">
        <v>26</v>
      </c>
      <c r="I196" s="103">
        <v>10</v>
      </c>
      <c r="J196" s="103">
        <v>2</v>
      </c>
      <c r="K196" s="103">
        <v>21</v>
      </c>
      <c r="L196" s="104" t="s">
        <v>27</v>
      </c>
    </row>
    <row r="197" spans="1:12" x14ac:dyDescent="0.3">
      <c r="A197" s="95">
        <v>196</v>
      </c>
      <c r="B197" s="102">
        <v>73.17</v>
      </c>
      <c r="C197" s="102">
        <v>21.59</v>
      </c>
      <c r="D197" s="103">
        <v>2018</v>
      </c>
      <c r="E197" s="103">
        <v>4</v>
      </c>
      <c r="F197" s="103">
        <v>21</v>
      </c>
      <c r="G197" s="99">
        <v>3.8</v>
      </c>
      <c r="H197" s="100" t="s">
        <v>26</v>
      </c>
      <c r="I197" s="103">
        <v>6</v>
      </c>
      <c r="J197" s="103">
        <v>16</v>
      </c>
      <c r="K197" s="103">
        <v>56</v>
      </c>
      <c r="L197" s="104" t="s">
        <v>27</v>
      </c>
    </row>
    <row r="198" spans="1:12" x14ac:dyDescent="0.3">
      <c r="A198" s="95">
        <v>197</v>
      </c>
      <c r="B198" s="102">
        <v>72.73</v>
      </c>
      <c r="C198" s="102">
        <v>19.98</v>
      </c>
      <c r="D198" s="103">
        <v>2018</v>
      </c>
      <c r="E198" s="103">
        <v>11</v>
      </c>
      <c r="F198" s="103">
        <v>11</v>
      </c>
      <c r="G198" s="99">
        <v>4.2097999999999995</v>
      </c>
      <c r="H198" s="100" t="s">
        <v>26</v>
      </c>
      <c r="I198" s="103">
        <v>10</v>
      </c>
      <c r="J198" s="103">
        <v>18</v>
      </c>
      <c r="K198" s="103">
        <v>25</v>
      </c>
      <c r="L198" s="104" t="s">
        <v>27</v>
      </c>
    </row>
    <row r="199" spans="1:12" x14ac:dyDescent="0.3">
      <c r="A199" s="95">
        <v>198</v>
      </c>
      <c r="B199" s="102">
        <v>72.872</v>
      </c>
      <c r="C199" s="102">
        <v>19.89</v>
      </c>
      <c r="D199" s="103">
        <v>2018</v>
      </c>
      <c r="E199" s="103">
        <v>12</v>
      </c>
      <c r="F199" s="103">
        <v>1</v>
      </c>
      <c r="G199" s="99">
        <v>3.8618000000000001</v>
      </c>
      <c r="H199" s="100" t="s">
        <v>26</v>
      </c>
      <c r="I199" s="103">
        <v>5</v>
      </c>
      <c r="J199" s="103">
        <v>20</v>
      </c>
      <c r="K199" s="103">
        <v>35</v>
      </c>
      <c r="L199" s="104" t="s">
        <v>12</v>
      </c>
    </row>
    <row r="200" spans="1:12" x14ac:dyDescent="0.3">
      <c r="A200" s="95">
        <v>199</v>
      </c>
      <c r="B200" s="102">
        <v>72.98</v>
      </c>
      <c r="C200" s="102">
        <v>20.100000000000001</v>
      </c>
      <c r="D200" s="103">
        <v>2019</v>
      </c>
      <c r="E200" s="103">
        <v>1</v>
      </c>
      <c r="F200" s="103">
        <v>20</v>
      </c>
      <c r="G200" s="99">
        <v>3.6</v>
      </c>
      <c r="H200" s="100" t="s">
        <v>26</v>
      </c>
      <c r="I200" s="103">
        <v>10</v>
      </c>
      <c r="J200" s="103">
        <v>18</v>
      </c>
      <c r="K200" s="103">
        <v>38</v>
      </c>
      <c r="L200" s="104" t="s">
        <v>27</v>
      </c>
    </row>
    <row r="201" spans="1:12" x14ac:dyDescent="0.3">
      <c r="A201" s="95">
        <v>200</v>
      </c>
      <c r="B201" s="102">
        <v>72.760000000000005</v>
      </c>
      <c r="C201" s="102">
        <v>19.920000000000002</v>
      </c>
      <c r="D201" s="103">
        <v>2019</v>
      </c>
      <c r="E201" s="103">
        <v>2</v>
      </c>
      <c r="F201" s="103">
        <v>1</v>
      </c>
      <c r="G201" s="99">
        <v>3.7</v>
      </c>
      <c r="H201" s="100" t="s">
        <v>26</v>
      </c>
      <c r="I201" s="103">
        <v>9</v>
      </c>
      <c r="J201" s="103">
        <v>15</v>
      </c>
      <c r="K201" s="103">
        <v>53</v>
      </c>
      <c r="L201" s="104" t="s">
        <v>27</v>
      </c>
    </row>
    <row r="202" spans="1:12" x14ac:dyDescent="0.3">
      <c r="A202" s="95">
        <v>201</v>
      </c>
      <c r="B202" s="102">
        <v>72.819999999999993</v>
      </c>
      <c r="C202" s="102">
        <v>19.93</v>
      </c>
      <c r="D202" s="103">
        <v>2019</v>
      </c>
      <c r="E202" s="103">
        <v>2</v>
      </c>
      <c r="F202" s="103">
        <v>20</v>
      </c>
      <c r="G202" s="99">
        <v>3.7</v>
      </c>
      <c r="H202" s="100" t="s">
        <v>26</v>
      </c>
      <c r="I202" s="103">
        <v>10</v>
      </c>
      <c r="J202" s="103">
        <v>13</v>
      </c>
      <c r="K202" s="103">
        <v>28</v>
      </c>
      <c r="L202" s="104" t="s">
        <v>27</v>
      </c>
    </row>
    <row r="203" spans="1:12" x14ac:dyDescent="0.3">
      <c r="A203" s="95">
        <v>202</v>
      </c>
      <c r="B203" s="102">
        <v>72.894300000000001</v>
      </c>
      <c r="C203" s="102">
        <v>20.234400000000001</v>
      </c>
      <c r="D203" s="103">
        <v>2019</v>
      </c>
      <c r="E203" s="103">
        <v>3</v>
      </c>
      <c r="F203" s="103">
        <v>1</v>
      </c>
      <c r="G203" s="99">
        <v>4.6426999999999996</v>
      </c>
      <c r="H203" s="100" t="s">
        <v>26</v>
      </c>
      <c r="I203" s="103">
        <v>10</v>
      </c>
      <c r="J203" s="103">
        <v>5</v>
      </c>
      <c r="K203" s="103">
        <v>44</v>
      </c>
      <c r="L203" s="104" t="s">
        <v>25</v>
      </c>
    </row>
    <row r="204" spans="1:12" x14ac:dyDescent="0.3">
      <c r="A204" s="95">
        <v>203</v>
      </c>
      <c r="B204" s="102">
        <v>72.28</v>
      </c>
      <c r="C204" s="102">
        <v>20.7</v>
      </c>
      <c r="D204" s="103">
        <v>2019</v>
      </c>
      <c r="E204" s="103">
        <v>4</v>
      </c>
      <c r="F204" s="103">
        <v>2</v>
      </c>
      <c r="G204" s="99">
        <v>3.5</v>
      </c>
      <c r="H204" s="100" t="s">
        <v>26</v>
      </c>
      <c r="I204" s="103">
        <v>5</v>
      </c>
      <c r="J204" s="103">
        <v>14</v>
      </c>
      <c r="K204" s="103">
        <v>2</v>
      </c>
      <c r="L204" s="104" t="s">
        <v>27</v>
      </c>
    </row>
    <row r="205" spans="1:12" x14ac:dyDescent="0.3">
      <c r="A205" s="95">
        <v>204</v>
      </c>
      <c r="B205" s="102">
        <v>72.735699999999994</v>
      </c>
      <c r="C205" s="102">
        <v>24.536999999999999</v>
      </c>
      <c r="D205" s="103">
        <v>2019</v>
      </c>
      <c r="E205" s="103">
        <v>6</v>
      </c>
      <c r="F205" s="103">
        <v>5</v>
      </c>
      <c r="G205" s="99">
        <v>4.6426999999999996</v>
      </c>
      <c r="H205" s="100" t="s">
        <v>26</v>
      </c>
      <c r="I205" s="103">
        <v>10</v>
      </c>
      <c r="J205" s="103">
        <v>17</v>
      </c>
      <c r="K205" s="103">
        <v>1</v>
      </c>
      <c r="L205" s="104" t="s">
        <v>25</v>
      </c>
    </row>
    <row r="206" spans="1:12" x14ac:dyDescent="0.3">
      <c r="A206" s="95">
        <v>205</v>
      </c>
      <c r="B206" s="102">
        <v>78.150000000000006</v>
      </c>
      <c r="C206" s="102">
        <v>19.850000000000001</v>
      </c>
      <c r="D206" s="103">
        <v>2019</v>
      </c>
      <c r="E206" s="103">
        <v>6</v>
      </c>
      <c r="F206" s="103">
        <v>21</v>
      </c>
      <c r="G206" s="99">
        <v>3.6</v>
      </c>
      <c r="H206" s="100" t="s">
        <v>26</v>
      </c>
      <c r="I206" s="103">
        <v>7</v>
      </c>
      <c r="J206" s="103">
        <v>21</v>
      </c>
      <c r="K206" s="103">
        <v>12</v>
      </c>
      <c r="L206" s="104" t="s">
        <v>27</v>
      </c>
    </row>
    <row r="207" spans="1:12" x14ac:dyDescent="0.3">
      <c r="A207" s="95">
        <v>206</v>
      </c>
      <c r="B207" s="102">
        <v>72.507999999999996</v>
      </c>
      <c r="C207" s="102">
        <v>19.577999999999999</v>
      </c>
      <c r="D207" s="103">
        <v>2019</v>
      </c>
      <c r="E207" s="103">
        <v>7</v>
      </c>
      <c r="F207" s="103">
        <v>24</v>
      </c>
      <c r="G207" s="99">
        <v>4.7208299999999994</v>
      </c>
      <c r="H207" s="100" t="s">
        <v>26</v>
      </c>
      <c r="I207" s="103">
        <v>10</v>
      </c>
      <c r="J207" s="103">
        <v>19</v>
      </c>
      <c r="K207" s="103">
        <v>33</v>
      </c>
      <c r="L207" s="104" t="s">
        <v>25</v>
      </c>
    </row>
    <row r="208" spans="1:12" x14ac:dyDescent="0.3">
      <c r="A208" s="95">
        <v>207</v>
      </c>
      <c r="B208" s="102">
        <v>72.293999999999997</v>
      </c>
      <c r="C208" s="102">
        <v>19.88</v>
      </c>
      <c r="D208" s="103">
        <v>2019</v>
      </c>
      <c r="E208" s="103">
        <v>8</v>
      </c>
      <c r="F208" s="103">
        <v>13</v>
      </c>
      <c r="G208" s="99">
        <v>3.5</v>
      </c>
      <c r="H208" s="100" t="s">
        <v>26</v>
      </c>
      <c r="I208" s="103">
        <v>15.1</v>
      </c>
      <c r="J208" s="103">
        <v>0</v>
      </c>
      <c r="K208" s="103">
        <v>8</v>
      </c>
      <c r="L208" s="104" t="s">
        <v>12</v>
      </c>
    </row>
    <row r="209" spans="1:12" x14ac:dyDescent="0.3">
      <c r="A209" s="95">
        <v>208</v>
      </c>
      <c r="B209" s="102">
        <v>72.653999999999996</v>
      </c>
      <c r="C209" s="102">
        <v>19.946999999999999</v>
      </c>
      <c r="D209" s="103">
        <v>2019</v>
      </c>
      <c r="E209" s="103">
        <v>9</v>
      </c>
      <c r="F209" s="103">
        <v>24</v>
      </c>
      <c r="G209" s="99">
        <v>3.8618000000000001</v>
      </c>
      <c r="H209" s="100" t="s">
        <v>26</v>
      </c>
      <c r="I209" s="103">
        <v>10</v>
      </c>
      <c r="J209" s="103">
        <v>8</v>
      </c>
      <c r="K209" s="103">
        <v>47</v>
      </c>
      <c r="L209" s="104" t="s">
        <v>12</v>
      </c>
    </row>
    <row r="210" spans="1:12" x14ac:dyDescent="0.3">
      <c r="A210" s="95">
        <v>209</v>
      </c>
      <c r="B210" s="102">
        <v>72.822999999999993</v>
      </c>
      <c r="C210" s="102">
        <v>19.966000000000001</v>
      </c>
      <c r="D210" s="103">
        <v>2019</v>
      </c>
      <c r="E210" s="103">
        <v>11</v>
      </c>
      <c r="F210" s="103">
        <v>19</v>
      </c>
      <c r="G210" s="99">
        <v>3.8618000000000001</v>
      </c>
      <c r="H210" s="100" t="s">
        <v>26</v>
      </c>
      <c r="I210" s="103">
        <v>13.7</v>
      </c>
      <c r="J210" s="103">
        <v>20</v>
      </c>
      <c r="K210" s="103">
        <v>26</v>
      </c>
      <c r="L210" s="104" t="s">
        <v>12</v>
      </c>
    </row>
    <row r="211" spans="1:12" x14ac:dyDescent="0.3">
      <c r="A211" s="95">
        <v>210</v>
      </c>
      <c r="B211" s="102">
        <v>73.172899999999998</v>
      </c>
      <c r="C211" s="102">
        <v>20.082899999999999</v>
      </c>
      <c r="D211" s="103">
        <v>2019</v>
      </c>
      <c r="E211" s="103">
        <v>12</v>
      </c>
      <c r="F211" s="103">
        <v>13</v>
      </c>
      <c r="G211" s="99">
        <v>4.8770899999999999</v>
      </c>
      <c r="H211" s="100" t="s">
        <v>26</v>
      </c>
      <c r="I211" s="103">
        <v>10</v>
      </c>
      <c r="J211" s="103">
        <v>23</v>
      </c>
      <c r="K211" s="103">
        <v>52</v>
      </c>
      <c r="L211" s="104" t="s">
        <v>25</v>
      </c>
    </row>
    <row r="212" spans="1:12" x14ac:dyDescent="0.3">
      <c r="A212" s="95">
        <v>211</v>
      </c>
      <c r="B212" s="102">
        <v>72.81</v>
      </c>
      <c r="C212" s="102">
        <v>19.93</v>
      </c>
      <c r="D212" s="103">
        <v>2020</v>
      </c>
      <c r="E212" s="103">
        <v>3</v>
      </c>
      <c r="F212" s="103">
        <v>19</v>
      </c>
      <c r="G212" s="99">
        <v>3.5</v>
      </c>
      <c r="H212" s="100" t="s">
        <v>26</v>
      </c>
      <c r="I212" s="103">
        <v>21</v>
      </c>
      <c r="J212" s="103">
        <v>9</v>
      </c>
      <c r="K212" s="103">
        <v>19</v>
      </c>
      <c r="L212" s="104" t="s">
        <v>27</v>
      </c>
    </row>
    <row r="213" spans="1:12" x14ac:dyDescent="0.3">
      <c r="A213" s="95">
        <v>212</v>
      </c>
      <c r="B213" s="102">
        <v>70.992800000000003</v>
      </c>
      <c r="C213" s="102">
        <v>22.255800000000001</v>
      </c>
      <c r="D213" s="103">
        <v>2020</v>
      </c>
      <c r="E213" s="103">
        <v>7</v>
      </c>
      <c r="F213" s="103">
        <v>16</v>
      </c>
      <c r="G213" s="99">
        <v>4.7208299999999994</v>
      </c>
      <c r="H213" s="100" t="s">
        <v>26</v>
      </c>
      <c r="I213" s="103">
        <v>10</v>
      </c>
      <c r="J213" s="103">
        <v>2</v>
      </c>
      <c r="K213" s="103">
        <v>10</v>
      </c>
      <c r="L213" s="104" t="s">
        <v>25</v>
      </c>
    </row>
    <row r="214" spans="1:12" x14ac:dyDescent="0.3">
      <c r="A214" s="95">
        <v>213</v>
      </c>
      <c r="B214" s="102">
        <v>73.218999999999994</v>
      </c>
      <c r="C214" s="102">
        <v>21.5017</v>
      </c>
      <c r="D214" s="103">
        <v>2020</v>
      </c>
      <c r="E214" s="103">
        <v>11</v>
      </c>
      <c r="F214" s="103">
        <v>7</v>
      </c>
      <c r="G214" s="99">
        <v>4.5645699999999998</v>
      </c>
      <c r="H214" s="100" t="s">
        <v>26</v>
      </c>
      <c r="I214" s="103">
        <v>10</v>
      </c>
      <c r="J214" s="103">
        <v>10</v>
      </c>
      <c r="K214" s="103">
        <v>9</v>
      </c>
      <c r="L214" s="104" t="s">
        <v>25</v>
      </c>
    </row>
    <row r="215" spans="1:12" x14ac:dyDescent="0.3">
      <c r="A215" s="101">
        <v>214</v>
      </c>
      <c r="B215" s="105">
        <v>79.634200000000007</v>
      </c>
      <c r="C215" s="105">
        <v>22.140699999999999</v>
      </c>
      <c r="D215" s="106">
        <v>2020</v>
      </c>
      <c r="E215" s="106">
        <v>11</v>
      </c>
      <c r="F215" s="106">
        <v>21</v>
      </c>
      <c r="G215" s="107">
        <v>4.8770899999999999</v>
      </c>
      <c r="H215" s="108" t="s">
        <v>26</v>
      </c>
      <c r="I215" s="106">
        <v>10</v>
      </c>
      <c r="J215" s="106">
        <v>20</v>
      </c>
      <c r="K215" s="106">
        <v>15</v>
      </c>
      <c r="L215" s="109" t="s">
        <v>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63"/>
  <sheetViews>
    <sheetView workbookViewId="0">
      <pane ySplit="2" topLeftCell="A347" activePane="bottomLeft" state="frozen"/>
      <selection pane="bottomLeft" activeCell="F351" sqref="F351"/>
    </sheetView>
  </sheetViews>
  <sheetFormatPr defaultColWidth="9.109375" defaultRowHeight="14.4" x14ac:dyDescent="0.3"/>
  <cols>
    <col min="1" max="1" width="8.109375" customWidth="1"/>
    <col min="2" max="2" width="7.33203125" customWidth="1"/>
    <col min="3" max="3" width="4.88671875" customWidth="1"/>
    <col min="4" max="4" width="10.44140625" customWidth="1"/>
    <col min="5" max="5" width="9.44140625" customWidth="1"/>
    <col min="6" max="6" width="11.44140625" customWidth="1"/>
    <col min="7" max="7" width="7.21875" customWidth="1"/>
    <col min="8" max="16" width="4.88671875" customWidth="1"/>
  </cols>
  <sheetData>
    <row r="1" spans="1:18" x14ac:dyDescent="0.3">
      <c r="A1" s="135" t="s">
        <v>31</v>
      </c>
      <c r="B1" s="135" t="s">
        <v>26</v>
      </c>
      <c r="C1" s="134" t="s">
        <v>382</v>
      </c>
      <c r="D1" s="134"/>
      <c r="E1" s="134"/>
      <c r="F1" s="134"/>
      <c r="G1" s="134"/>
      <c r="H1" s="134"/>
      <c r="I1" s="134"/>
      <c r="J1" s="134" t="s">
        <v>383</v>
      </c>
      <c r="K1" s="134"/>
      <c r="L1" s="134"/>
      <c r="M1" s="134"/>
      <c r="N1" s="134"/>
      <c r="O1" s="134"/>
      <c r="P1" s="134"/>
    </row>
    <row r="2" spans="1:18" s="111" customFormat="1" ht="28.8" x14ac:dyDescent="0.3">
      <c r="A2" s="135"/>
      <c r="B2" s="135"/>
      <c r="C2" s="117" t="s">
        <v>32</v>
      </c>
      <c r="D2" s="117" t="s">
        <v>33</v>
      </c>
      <c r="E2" s="117" t="s">
        <v>34</v>
      </c>
      <c r="F2" s="117" t="s">
        <v>35</v>
      </c>
      <c r="G2" s="117" t="s">
        <v>36</v>
      </c>
      <c r="H2" s="117" t="s">
        <v>37</v>
      </c>
      <c r="I2" s="117" t="s">
        <v>38</v>
      </c>
      <c r="J2" s="117" t="s">
        <v>32</v>
      </c>
      <c r="K2" s="117" t="s">
        <v>33</v>
      </c>
      <c r="L2" s="117" t="s">
        <v>34</v>
      </c>
      <c r="M2" s="117" t="s">
        <v>35</v>
      </c>
      <c r="N2" s="117" t="s">
        <v>36</v>
      </c>
      <c r="O2" s="117" t="s">
        <v>37</v>
      </c>
      <c r="P2" s="117" t="s">
        <v>38</v>
      </c>
    </row>
    <row r="3" spans="1:18" x14ac:dyDescent="0.3">
      <c r="A3" s="112">
        <v>2020</v>
      </c>
      <c r="B3" s="113">
        <v>4.4000000000000004</v>
      </c>
      <c r="C3" s="114">
        <v>1</v>
      </c>
      <c r="D3" s="115">
        <v>0</v>
      </c>
      <c r="E3" s="115">
        <v>3</v>
      </c>
      <c r="F3" s="115">
        <v>0</v>
      </c>
      <c r="G3" s="115">
        <v>0</v>
      </c>
      <c r="H3" s="115">
        <v>0</v>
      </c>
      <c r="I3" s="116">
        <v>0</v>
      </c>
      <c r="J3" s="114">
        <f>C3</f>
        <v>1</v>
      </c>
      <c r="K3" s="115">
        <f t="shared" ref="K3:P3" si="0">D3</f>
        <v>0</v>
      </c>
      <c r="L3" s="115">
        <f t="shared" si="0"/>
        <v>3</v>
      </c>
      <c r="M3" s="115">
        <f t="shared" si="0"/>
        <v>0</v>
      </c>
      <c r="N3" s="115">
        <f t="shared" si="0"/>
        <v>0</v>
      </c>
      <c r="O3" s="115">
        <f t="shared" si="0"/>
        <v>0</v>
      </c>
      <c r="P3" s="116">
        <f t="shared" si="0"/>
        <v>0</v>
      </c>
      <c r="Q3" s="3"/>
      <c r="R3" s="3"/>
    </row>
    <row r="4" spans="1:18" x14ac:dyDescent="0.3">
      <c r="A4" s="59">
        <v>2019</v>
      </c>
      <c r="B4" s="61">
        <v>4</v>
      </c>
      <c r="C4" s="43">
        <v>8</v>
      </c>
      <c r="D4" s="42">
        <v>0</v>
      </c>
      <c r="E4" s="42">
        <v>4</v>
      </c>
      <c r="F4" s="42">
        <v>0</v>
      </c>
      <c r="G4" s="42">
        <v>0</v>
      </c>
      <c r="H4" s="42">
        <v>0</v>
      </c>
      <c r="I4" s="44">
        <v>0</v>
      </c>
      <c r="J4" s="43">
        <f t="shared" ref="J4:J67" si="1">J3+C4</f>
        <v>9</v>
      </c>
      <c r="K4" s="42">
        <f t="shared" ref="K4:K67" si="2">K3+D4</f>
        <v>0</v>
      </c>
      <c r="L4" s="42">
        <f t="shared" ref="L4:L67" si="3">L3+E4</f>
        <v>7</v>
      </c>
      <c r="M4" s="42">
        <f t="shared" ref="M4:M67" si="4">M3+F4</f>
        <v>0</v>
      </c>
      <c r="N4" s="42">
        <f t="shared" ref="N4:N67" si="5">N3+G4</f>
        <v>0</v>
      </c>
      <c r="O4" s="42">
        <f t="shared" ref="O4:O67" si="6">O3+H4</f>
        <v>0</v>
      </c>
      <c r="P4" s="44">
        <f t="shared" ref="P4:P67" si="7">P3+I4</f>
        <v>0</v>
      </c>
      <c r="Q4" s="3"/>
      <c r="R4" s="3"/>
    </row>
    <row r="5" spans="1:18" x14ac:dyDescent="0.3">
      <c r="A5" s="59">
        <v>2018</v>
      </c>
      <c r="B5" s="61">
        <v>3.9</v>
      </c>
      <c r="C5" s="43">
        <v>3</v>
      </c>
      <c r="D5" s="42">
        <v>1</v>
      </c>
      <c r="E5" s="42">
        <v>0</v>
      </c>
      <c r="F5" s="42">
        <v>0</v>
      </c>
      <c r="G5" s="42">
        <v>0</v>
      </c>
      <c r="H5" s="42">
        <v>0</v>
      </c>
      <c r="I5" s="44">
        <v>0</v>
      </c>
      <c r="J5" s="43">
        <f t="shared" si="1"/>
        <v>12</v>
      </c>
      <c r="K5" s="42">
        <f t="shared" si="2"/>
        <v>1</v>
      </c>
      <c r="L5" s="42">
        <f t="shared" si="3"/>
        <v>7</v>
      </c>
      <c r="M5" s="42">
        <f t="shared" si="4"/>
        <v>0</v>
      </c>
      <c r="N5" s="42">
        <f t="shared" si="5"/>
        <v>0</v>
      </c>
      <c r="O5" s="42">
        <f t="shared" si="6"/>
        <v>0</v>
      </c>
      <c r="P5" s="44">
        <f t="shared" si="7"/>
        <v>0</v>
      </c>
      <c r="Q5" s="3"/>
      <c r="R5" s="3"/>
    </row>
    <row r="6" spans="1:18" x14ac:dyDescent="0.3">
      <c r="A6" s="59">
        <v>2017</v>
      </c>
      <c r="B6" s="61">
        <v>4.3</v>
      </c>
      <c r="C6" s="43">
        <v>2</v>
      </c>
      <c r="D6" s="42">
        <v>0</v>
      </c>
      <c r="E6" s="42">
        <v>2</v>
      </c>
      <c r="F6" s="42">
        <v>0</v>
      </c>
      <c r="G6" s="42">
        <v>0</v>
      </c>
      <c r="H6" s="42">
        <v>0</v>
      </c>
      <c r="I6" s="44">
        <v>0</v>
      </c>
      <c r="J6" s="43">
        <f t="shared" si="1"/>
        <v>14</v>
      </c>
      <c r="K6" s="42">
        <f t="shared" si="2"/>
        <v>1</v>
      </c>
      <c r="L6" s="42">
        <f t="shared" si="3"/>
        <v>9</v>
      </c>
      <c r="M6" s="42">
        <f t="shared" si="4"/>
        <v>0</v>
      </c>
      <c r="N6" s="42">
        <f t="shared" si="5"/>
        <v>0</v>
      </c>
      <c r="O6" s="42">
        <f t="shared" si="6"/>
        <v>0</v>
      </c>
      <c r="P6" s="44">
        <f t="shared" si="7"/>
        <v>0</v>
      </c>
      <c r="Q6" s="3"/>
      <c r="R6" s="3"/>
    </row>
    <row r="7" spans="1:18" x14ac:dyDescent="0.3">
      <c r="A7" s="59">
        <v>2016</v>
      </c>
      <c r="B7" s="61">
        <v>4.2</v>
      </c>
      <c r="C7" s="43">
        <v>1</v>
      </c>
      <c r="D7" s="42">
        <v>5</v>
      </c>
      <c r="E7" s="42">
        <v>1</v>
      </c>
      <c r="F7" s="42">
        <v>0</v>
      </c>
      <c r="G7" s="42">
        <v>0</v>
      </c>
      <c r="H7" s="42">
        <v>0</v>
      </c>
      <c r="I7" s="44">
        <v>0</v>
      </c>
      <c r="J7" s="43">
        <f t="shared" si="1"/>
        <v>15</v>
      </c>
      <c r="K7" s="42">
        <f t="shared" si="2"/>
        <v>6</v>
      </c>
      <c r="L7" s="42">
        <f t="shared" si="3"/>
        <v>10</v>
      </c>
      <c r="M7" s="42">
        <f t="shared" si="4"/>
        <v>0</v>
      </c>
      <c r="N7" s="42">
        <f t="shared" si="5"/>
        <v>0</v>
      </c>
      <c r="O7" s="42">
        <f t="shared" si="6"/>
        <v>0</v>
      </c>
      <c r="P7" s="44">
        <f t="shared" si="7"/>
        <v>0</v>
      </c>
      <c r="Q7" s="3"/>
      <c r="R7" s="3"/>
    </row>
    <row r="8" spans="1:18" x14ac:dyDescent="0.3">
      <c r="A8" s="59">
        <v>2015</v>
      </c>
      <c r="B8" s="61">
        <v>4.3</v>
      </c>
      <c r="C8" s="43">
        <v>1</v>
      </c>
      <c r="D8" s="42">
        <v>1</v>
      </c>
      <c r="E8" s="42">
        <v>1</v>
      </c>
      <c r="F8" s="42">
        <v>0</v>
      </c>
      <c r="G8" s="42">
        <v>0</v>
      </c>
      <c r="H8" s="42">
        <v>0</v>
      </c>
      <c r="I8" s="44">
        <v>0</v>
      </c>
      <c r="J8" s="43">
        <f t="shared" si="1"/>
        <v>16</v>
      </c>
      <c r="K8" s="42">
        <f t="shared" si="2"/>
        <v>7</v>
      </c>
      <c r="L8" s="42">
        <f t="shared" si="3"/>
        <v>11</v>
      </c>
      <c r="M8" s="42">
        <f t="shared" si="4"/>
        <v>0</v>
      </c>
      <c r="N8" s="42">
        <f t="shared" si="5"/>
        <v>0</v>
      </c>
      <c r="O8" s="42">
        <f t="shared" si="6"/>
        <v>0</v>
      </c>
      <c r="P8" s="44">
        <f t="shared" si="7"/>
        <v>0</v>
      </c>
      <c r="Q8" s="3"/>
      <c r="R8" s="3"/>
    </row>
    <row r="9" spans="1:18" x14ac:dyDescent="0.3">
      <c r="A9" s="59">
        <v>2014</v>
      </c>
      <c r="B9" s="61">
        <v>4.3</v>
      </c>
      <c r="C9" s="43">
        <v>0</v>
      </c>
      <c r="D9" s="42">
        <v>5</v>
      </c>
      <c r="E9" s="42">
        <v>0</v>
      </c>
      <c r="F9" s="42">
        <v>0</v>
      </c>
      <c r="G9" s="42">
        <v>0</v>
      </c>
      <c r="H9" s="42">
        <v>0</v>
      </c>
      <c r="I9" s="44">
        <v>0</v>
      </c>
      <c r="J9" s="43">
        <f t="shared" si="1"/>
        <v>16</v>
      </c>
      <c r="K9" s="42">
        <f t="shared" si="2"/>
        <v>12</v>
      </c>
      <c r="L9" s="42">
        <f t="shared" si="3"/>
        <v>11</v>
      </c>
      <c r="M9" s="42">
        <f t="shared" si="4"/>
        <v>0</v>
      </c>
      <c r="N9" s="42">
        <f t="shared" si="5"/>
        <v>0</v>
      </c>
      <c r="O9" s="42">
        <f t="shared" si="6"/>
        <v>0</v>
      </c>
      <c r="P9" s="44">
        <f t="shared" si="7"/>
        <v>0</v>
      </c>
      <c r="Q9" s="3"/>
      <c r="R9" s="3"/>
    </row>
    <row r="10" spans="1:18" x14ac:dyDescent="0.3">
      <c r="A10" s="59">
        <v>2013</v>
      </c>
      <c r="B10" s="61">
        <v>4.2</v>
      </c>
      <c r="C10" s="43">
        <v>2</v>
      </c>
      <c r="D10" s="42">
        <v>2</v>
      </c>
      <c r="E10" s="42">
        <v>1</v>
      </c>
      <c r="F10" s="42">
        <v>0</v>
      </c>
      <c r="G10" s="42">
        <v>0</v>
      </c>
      <c r="H10" s="42">
        <v>0</v>
      </c>
      <c r="I10" s="44">
        <v>0</v>
      </c>
      <c r="J10" s="43">
        <f t="shared" si="1"/>
        <v>18</v>
      </c>
      <c r="K10" s="42">
        <f t="shared" si="2"/>
        <v>14</v>
      </c>
      <c r="L10" s="42">
        <f t="shared" si="3"/>
        <v>12</v>
      </c>
      <c r="M10" s="42">
        <f t="shared" si="4"/>
        <v>0</v>
      </c>
      <c r="N10" s="42">
        <f t="shared" si="5"/>
        <v>0</v>
      </c>
      <c r="O10" s="42">
        <f t="shared" si="6"/>
        <v>0</v>
      </c>
      <c r="P10" s="44">
        <f t="shared" si="7"/>
        <v>0</v>
      </c>
      <c r="Q10" s="3"/>
      <c r="R10" s="3"/>
    </row>
    <row r="11" spans="1:18" x14ac:dyDescent="0.3">
      <c r="A11" s="59">
        <v>2012</v>
      </c>
      <c r="B11" s="61">
        <v>4</v>
      </c>
      <c r="C11" s="43">
        <v>1</v>
      </c>
      <c r="D11" s="42">
        <v>3</v>
      </c>
      <c r="E11" s="42">
        <v>0</v>
      </c>
      <c r="F11" s="42">
        <v>0</v>
      </c>
      <c r="G11" s="42">
        <v>0</v>
      </c>
      <c r="H11" s="42">
        <v>0</v>
      </c>
      <c r="I11" s="44">
        <v>0</v>
      </c>
      <c r="J11" s="43">
        <f t="shared" si="1"/>
        <v>19</v>
      </c>
      <c r="K11" s="42">
        <f t="shared" si="2"/>
        <v>17</v>
      </c>
      <c r="L11" s="42">
        <f t="shared" si="3"/>
        <v>12</v>
      </c>
      <c r="M11" s="42">
        <f t="shared" si="4"/>
        <v>0</v>
      </c>
      <c r="N11" s="42">
        <f t="shared" si="5"/>
        <v>0</v>
      </c>
      <c r="O11" s="42">
        <f t="shared" si="6"/>
        <v>0</v>
      </c>
      <c r="P11" s="44">
        <f t="shared" si="7"/>
        <v>0</v>
      </c>
      <c r="Q11" s="3"/>
      <c r="R11" s="3"/>
    </row>
    <row r="12" spans="1:18" x14ac:dyDescent="0.3">
      <c r="A12" s="59">
        <v>2011</v>
      </c>
      <c r="B12" s="61">
        <v>4.2</v>
      </c>
      <c r="C12" s="43">
        <v>0</v>
      </c>
      <c r="D12" s="42">
        <v>1</v>
      </c>
      <c r="E12" s="42">
        <v>0</v>
      </c>
      <c r="F12" s="42">
        <v>0</v>
      </c>
      <c r="G12" s="42">
        <v>0</v>
      </c>
      <c r="H12" s="42">
        <v>0</v>
      </c>
      <c r="I12" s="44">
        <v>0</v>
      </c>
      <c r="J12" s="43">
        <f t="shared" si="1"/>
        <v>19</v>
      </c>
      <c r="K12" s="42">
        <f t="shared" si="2"/>
        <v>18</v>
      </c>
      <c r="L12" s="42">
        <f t="shared" si="3"/>
        <v>12</v>
      </c>
      <c r="M12" s="42">
        <f t="shared" si="4"/>
        <v>0</v>
      </c>
      <c r="N12" s="42">
        <f t="shared" si="5"/>
        <v>0</v>
      </c>
      <c r="O12" s="42">
        <f t="shared" si="6"/>
        <v>0</v>
      </c>
      <c r="P12" s="44">
        <f t="shared" si="7"/>
        <v>0</v>
      </c>
      <c r="Q12" s="3"/>
      <c r="R12" s="3"/>
    </row>
    <row r="13" spans="1:18" x14ac:dyDescent="0.3">
      <c r="A13" s="59">
        <v>2010</v>
      </c>
      <c r="B13" s="61">
        <v>4.4000000000000004</v>
      </c>
      <c r="C13" s="43">
        <v>1</v>
      </c>
      <c r="D13" s="42">
        <v>2</v>
      </c>
      <c r="E13" s="42">
        <v>2</v>
      </c>
      <c r="F13" s="42">
        <v>1</v>
      </c>
      <c r="G13" s="42">
        <v>0</v>
      </c>
      <c r="H13" s="42">
        <v>0</v>
      </c>
      <c r="I13" s="44">
        <v>0</v>
      </c>
      <c r="J13" s="43">
        <f t="shared" si="1"/>
        <v>20</v>
      </c>
      <c r="K13" s="42">
        <f t="shared" si="2"/>
        <v>20</v>
      </c>
      <c r="L13" s="42">
        <f t="shared" si="3"/>
        <v>14</v>
      </c>
      <c r="M13" s="42">
        <f t="shared" si="4"/>
        <v>1</v>
      </c>
      <c r="N13" s="42">
        <f t="shared" si="5"/>
        <v>0</v>
      </c>
      <c r="O13" s="42">
        <f t="shared" si="6"/>
        <v>0</v>
      </c>
      <c r="P13" s="44">
        <f t="shared" si="7"/>
        <v>0</v>
      </c>
      <c r="Q13" s="3"/>
      <c r="R13" s="3"/>
    </row>
    <row r="14" spans="1:18" x14ac:dyDescent="0.3">
      <c r="A14" s="59">
        <v>2009</v>
      </c>
      <c r="B14" s="61">
        <v>4.5</v>
      </c>
      <c r="C14" s="43">
        <v>0</v>
      </c>
      <c r="D14" s="42">
        <v>1</v>
      </c>
      <c r="E14" s="42">
        <v>1</v>
      </c>
      <c r="F14" s="42">
        <v>0</v>
      </c>
      <c r="G14" s="42">
        <v>0</v>
      </c>
      <c r="H14" s="42">
        <v>0</v>
      </c>
      <c r="I14" s="44">
        <v>0</v>
      </c>
      <c r="J14" s="43">
        <f t="shared" si="1"/>
        <v>20</v>
      </c>
      <c r="K14" s="42">
        <f t="shared" si="2"/>
        <v>21</v>
      </c>
      <c r="L14" s="42">
        <f t="shared" si="3"/>
        <v>15</v>
      </c>
      <c r="M14" s="42">
        <f t="shared" si="4"/>
        <v>1</v>
      </c>
      <c r="N14" s="42">
        <f t="shared" si="5"/>
        <v>0</v>
      </c>
      <c r="O14" s="42">
        <f t="shared" si="6"/>
        <v>0</v>
      </c>
      <c r="P14" s="44">
        <f t="shared" si="7"/>
        <v>0</v>
      </c>
      <c r="Q14" s="3"/>
      <c r="R14" s="3"/>
    </row>
    <row r="15" spans="1:18" x14ac:dyDescent="0.3">
      <c r="A15" s="59">
        <v>2008</v>
      </c>
      <c r="B15" s="61">
        <v>4.5</v>
      </c>
      <c r="C15" s="43">
        <v>2</v>
      </c>
      <c r="D15" s="42">
        <v>4</v>
      </c>
      <c r="E15" s="42">
        <v>0</v>
      </c>
      <c r="F15" s="42">
        <v>0</v>
      </c>
      <c r="G15" s="42">
        <v>0</v>
      </c>
      <c r="H15" s="42">
        <v>0</v>
      </c>
      <c r="I15" s="44">
        <v>1</v>
      </c>
      <c r="J15" s="43">
        <f t="shared" si="1"/>
        <v>22</v>
      </c>
      <c r="K15" s="42">
        <f t="shared" si="2"/>
        <v>25</v>
      </c>
      <c r="L15" s="42">
        <f t="shared" si="3"/>
        <v>15</v>
      </c>
      <c r="M15" s="42">
        <f t="shared" si="4"/>
        <v>1</v>
      </c>
      <c r="N15" s="42">
        <f t="shared" si="5"/>
        <v>0</v>
      </c>
      <c r="O15" s="42">
        <f t="shared" si="6"/>
        <v>0</v>
      </c>
      <c r="P15" s="44">
        <f t="shared" si="7"/>
        <v>1</v>
      </c>
      <c r="Q15" s="3"/>
      <c r="R15" s="3"/>
    </row>
    <row r="16" spans="1:18" x14ac:dyDescent="0.3">
      <c r="A16" s="59">
        <v>2007</v>
      </c>
      <c r="B16" s="61">
        <v>4.3</v>
      </c>
      <c r="C16" s="43">
        <v>0</v>
      </c>
      <c r="D16" s="42">
        <v>1</v>
      </c>
      <c r="E16" s="42">
        <v>1</v>
      </c>
      <c r="F16" s="42">
        <v>0</v>
      </c>
      <c r="G16" s="42">
        <v>0</v>
      </c>
      <c r="H16" s="42">
        <v>0</v>
      </c>
      <c r="I16" s="44">
        <v>0</v>
      </c>
      <c r="J16" s="43">
        <f t="shared" si="1"/>
        <v>22</v>
      </c>
      <c r="K16" s="42">
        <f t="shared" si="2"/>
        <v>26</v>
      </c>
      <c r="L16" s="42">
        <f t="shared" si="3"/>
        <v>16</v>
      </c>
      <c r="M16" s="42">
        <f t="shared" si="4"/>
        <v>1</v>
      </c>
      <c r="N16" s="42">
        <f t="shared" si="5"/>
        <v>0</v>
      </c>
      <c r="O16" s="42">
        <f t="shared" si="6"/>
        <v>0</v>
      </c>
      <c r="P16" s="44">
        <f t="shared" si="7"/>
        <v>1</v>
      </c>
      <c r="Q16" s="3"/>
      <c r="R16" s="3"/>
    </row>
    <row r="17" spans="1:18" x14ac:dyDescent="0.3">
      <c r="A17" s="59">
        <v>2006</v>
      </c>
      <c r="B17" s="61">
        <v>4.3</v>
      </c>
      <c r="C17" s="43">
        <v>1</v>
      </c>
      <c r="D17" s="42">
        <v>3</v>
      </c>
      <c r="E17" s="42">
        <v>2</v>
      </c>
      <c r="F17" s="42">
        <v>0</v>
      </c>
      <c r="G17" s="42">
        <v>0</v>
      </c>
      <c r="H17" s="42">
        <v>0</v>
      </c>
      <c r="I17" s="44">
        <v>0</v>
      </c>
      <c r="J17" s="43">
        <f t="shared" si="1"/>
        <v>23</v>
      </c>
      <c r="K17" s="42">
        <f t="shared" si="2"/>
        <v>29</v>
      </c>
      <c r="L17" s="42">
        <f t="shared" si="3"/>
        <v>18</v>
      </c>
      <c r="M17" s="42">
        <f t="shared" si="4"/>
        <v>1</v>
      </c>
      <c r="N17" s="42">
        <f t="shared" si="5"/>
        <v>0</v>
      </c>
      <c r="O17" s="42">
        <f t="shared" si="6"/>
        <v>0</v>
      </c>
      <c r="P17" s="44">
        <f t="shared" si="7"/>
        <v>1</v>
      </c>
      <c r="Q17" s="3"/>
      <c r="R17" s="3"/>
    </row>
    <row r="18" spans="1:18" x14ac:dyDescent="0.3">
      <c r="A18" s="59">
        <v>2005</v>
      </c>
      <c r="B18" s="61">
        <v>4.0999999999999996</v>
      </c>
      <c r="C18" s="43">
        <v>4</v>
      </c>
      <c r="D18" s="42">
        <v>6</v>
      </c>
      <c r="E18" s="42">
        <v>0</v>
      </c>
      <c r="F18" s="42">
        <v>0</v>
      </c>
      <c r="G18" s="42">
        <v>0</v>
      </c>
      <c r="H18" s="42">
        <v>0</v>
      </c>
      <c r="I18" s="44">
        <v>0</v>
      </c>
      <c r="J18" s="43">
        <f t="shared" si="1"/>
        <v>27</v>
      </c>
      <c r="K18" s="42">
        <f t="shared" si="2"/>
        <v>35</v>
      </c>
      <c r="L18" s="42">
        <f t="shared" si="3"/>
        <v>18</v>
      </c>
      <c r="M18" s="42">
        <f t="shared" si="4"/>
        <v>1</v>
      </c>
      <c r="N18" s="42">
        <f t="shared" si="5"/>
        <v>0</v>
      </c>
      <c r="O18" s="42">
        <f t="shared" si="6"/>
        <v>0</v>
      </c>
      <c r="P18" s="44">
        <f t="shared" si="7"/>
        <v>1</v>
      </c>
      <c r="Q18" s="3"/>
      <c r="R18" s="3"/>
    </row>
    <row r="19" spans="1:18" x14ac:dyDescent="0.3">
      <c r="A19" s="59">
        <v>2004</v>
      </c>
      <c r="B19" s="61">
        <v>4.2</v>
      </c>
      <c r="C19" s="43">
        <v>3</v>
      </c>
      <c r="D19" s="42">
        <v>0</v>
      </c>
      <c r="E19" s="42">
        <v>3</v>
      </c>
      <c r="F19" s="42">
        <v>0</v>
      </c>
      <c r="G19" s="42">
        <v>0</v>
      </c>
      <c r="H19" s="42">
        <v>0</v>
      </c>
      <c r="I19" s="44">
        <v>0</v>
      </c>
      <c r="J19" s="43">
        <f t="shared" si="1"/>
        <v>30</v>
      </c>
      <c r="K19" s="42">
        <f t="shared" si="2"/>
        <v>35</v>
      </c>
      <c r="L19" s="42">
        <f t="shared" si="3"/>
        <v>21</v>
      </c>
      <c r="M19" s="42">
        <f t="shared" si="4"/>
        <v>1</v>
      </c>
      <c r="N19" s="42">
        <f t="shared" si="5"/>
        <v>0</v>
      </c>
      <c r="O19" s="42">
        <f t="shared" si="6"/>
        <v>0</v>
      </c>
      <c r="P19" s="44">
        <f t="shared" si="7"/>
        <v>1</v>
      </c>
      <c r="Q19" s="3"/>
      <c r="R19" s="3"/>
    </row>
    <row r="20" spans="1:18" x14ac:dyDescent="0.3">
      <c r="A20" s="59">
        <v>2003</v>
      </c>
      <c r="B20" s="61">
        <v>4.3</v>
      </c>
      <c r="C20" s="43">
        <v>1</v>
      </c>
      <c r="D20" s="42">
        <v>2</v>
      </c>
      <c r="E20" s="42">
        <v>2</v>
      </c>
      <c r="F20" s="42">
        <v>0</v>
      </c>
      <c r="G20" s="42">
        <v>0</v>
      </c>
      <c r="H20" s="42">
        <v>0</v>
      </c>
      <c r="I20" s="44">
        <v>0</v>
      </c>
      <c r="J20" s="43">
        <f t="shared" si="1"/>
        <v>31</v>
      </c>
      <c r="K20" s="42">
        <f t="shared" si="2"/>
        <v>37</v>
      </c>
      <c r="L20" s="42">
        <f t="shared" si="3"/>
        <v>23</v>
      </c>
      <c r="M20" s="42">
        <f t="shared" si="4"/>
        <v>1</v>
      </c>
      <c r="N20" s="42">
        <f t="shared" si="5"/>
        <v>0</v>
      </c>
      <c r="O20" s="42">
        <f t="shared" si="6"/>
        <v>0</v>
      </c>
      <c r="P20" s="44">
        <f t="shared" si="7"/>
        <v>1</v>
      </c>
      <c r="Q20" s="3"/>
      <c r="R20" s="3"/>
    </row>
    <row r="21" spans="1:18" x14ac:dyDescent="0.3">
      <c r="A21" s="59">
        <v>2002</v>
      </c>
      <c r="B21" s="61">
        <v>4</v>
      </c>
      <c r="C21" s="43">
        <v>7</v>
      </c>
      <c r="D21" s="42">
        <v>5</v>
      </c>
      <c r="E21" s="42">
        <v>1</v>
      </c>
      <c r="F21" s="42">
        <v>0</v>
      </c>
      <c r="G21" s="42">
        <v>0</v>
      </c>
      <c r="H21" s="42">
        <v>0</v>
      </c>
      <c r="I21" s="44">
        <v>0</v>
      </c>
      <c r="J21" s="43">
        <f t="shared" si="1"/>
        <v>38</v>
      </c>
      <c r="K21" s="42">
        <f t="shared" si="2"/>
        <v>42</v>
      </c>
      <c r="L21" s="42">
        <f t="shared" si="3"/>
        <v>24</v>
      </c>
      <c r="M21" s="42">
        <f t="shared" si="4"/>
        <v>1</v>
      </c>
      <c r="N21" s="42">
        <f t="shared" si="5"/>
        <v>0</v>
      </c>
      <c r="O21" s="42">
        <f t="shared" si="6"/>
        <v>0</v>
      </c>
      <c r="P21" s="44">
        <f t="shared" si="7"/>
        <v>1</v>
      </c>
      <c r="Q21" s="3"/>
      <c r="R21" s="3"/>
    </row>
    <row r="22" spans="1:18" x14ac:dyDescent="0.3">
      <c r="A22" s="59">
        <v>2001</v>
      </c>
      <c r="B22" s="61">
        <v>4.0999999999999996</v>
      </c>
      <c r="C22" s="43">
        <v>6</v>
      </c>
      <c r="D22" s="42">
        <v>5</v>
      </c>
      <c r="E22" s="42">
        <v>0</v>
      </c>
      <c r="F22" s="42">
        <v>1</v>
      </c>
      <c r="G22" s="42">
        <v>0</v>
      </c>
      <c r="H22" s="42">
        <v>0</v>
      </c>
      <c r="I22" s="44">
        <v>0</v>
      </c>
      <c r="J22" s="43">
        <f t="shared" si="1"/>
        <v>44</v>
      </c>
      <c r="K22" s="42">
        <f t="shared" si="2"/>
        <v>47</v>
      </c>
      <c r="L22" s="42">
        <f t="shared" si="3"/>
        <v>24</v>
      </c>
      <c r="M22" s="42">
        <f t="shared" si="4"/>
        <v>2</v>
      </c>
      <c r="N22" s="42">
        <f t="shared" si="5"/>
        <v>0</v>
      </c>
      <c r="O22" s="42">
        <f t="shared" si="6"/>
        <v>0</v>
      </c>
      <c r="P22" s="44">
        <f t="shared" si="7"/>
        <v>1</v>
      </c>
      <c r="Q22" s="3"/>
      <c r="R22" s="3"/>
    </row>
    <row r="23" spans="1:18" x14ac:dyDescent="0.3">
      <c r="A23" s="59">
        <v>2000</v>
      </c>
      <c r="B23" s="61">
        <v>4.2</v>
      </c>
      <c r="C23" s="43">
        <v>5</v>
      </c>
      <c r="D23" s="42">
        <v>4</v>
      </c>
      <c r="E23" s="42">
        <v>2</v>
      </c>
      <c r="F23" s="42">
        <v>1</v>
      </c>
      <c r="G23" s="42">
        <v>0</v>
      </c>
      <c r="H23" s="42">
        <v>0</v>
      </c>
      <c r="I23" s="44">
        <v>0</v>
      </c>
      <c r="J23" s="43">
        <f t="shared" si="1"/>
        <v>49</v>
      </c>
      <c r="K23" s="42">
        <f t="shared" si="2"/>
        <v>51</v>
      </c>
      <c r="L23" s="42">
        <f t="shared" si="3"/>
        <v>26</v>
      </c>
      <c r="M23" s="42">
        <f t="shared" si="4"/>
        <v>3</v>
      </c>
      <c r="N23" s="42">
        <f t="shared" si="5"/>
        <v>0</v>
      </c>
      <c r="O23" s="42">
        <f t="shared" si="6"/>
        <v>0</v>
      </c>
      <c r="P23" s="44">
        <f t="shared" si="7"/>
        <v>1</v>
      </c>
      <c r="Q23" s="3"/>
      <c r="R23" s="3"/>
    </row>
    <row r="24" spans="1:18" x14ac:dyDescent="0.3">
      <c r="A24" s="59">
        <v>1999</v>
      </c>
      <c r="B24" s="61">
        <v>4.0999999999999996</v>
      </c>
      <c r="C24" s="43">
        <v>4</v>
      </c>
      <c r="D24" s="42">
        <v>2</v>
      </c>
      <c r="E24" s="42">
        <v>2</v>
      </c>
      <c r="F24" s="42">
        <v>0</v>
      </c>
      <c r="G24" s="42">
        <v>0</v>
      </c>
      <c r="H24" s="42">
        <v>0</v>
      </c>
      <c r="I24" s="44">
        <v>0</v>
      </c>
      <c r="J24" s="43">
        <f t="shared" si="1"/>
        <v>53</v>
      </c>
      <c r="K24" s="42">
        <f t="shared" si="2"/>
        <v>53</v>
      </c>
      <c r="L24" s="42">
        <f t="shared" si="3"/>
        <v>28</v>
      </c>
      <c r="M24" s="42">
        <f t="shared" si="4"/>
        <v>3</v>
      </c>
      <c r="N24" s="42">
        <f t="shared" si="5"/>
        <v>0</v>
      </c>
      <c r="O24" s="42">
        <f t="shared" si="6"/>
        <v>0</v>
      </c>
      <c r="P24" s="44">
        <f t="shared" si="7"/>
        <v>1</v>
      </c>
      <c r="Q24" s="3"/>
      <c r="R24" s="3"/>
    </row>
    <row r="25" spans="1:18" x14ac:dyDescent="0.3">
      <c r="A25" s="59">
        <v>1998</v>
      </c>
      <c r="B25" s="61">
        <v>4.2</v>
      </c>
      <c r="C25" s="43">
        <v>4</v>
      </c>
      <c r="D25" s="42">
        <v>6</v>
      </c>
      <c r="E25" s="42">
        <v>1</v>
      </c>
      <c r="F25" s="42">
        <v>2</v>
      </c>
      <c r="G25" s="42">
        <v>0</v>
      </c>
      <c r="H25" s="42">
        <v>0</v>
      </c>
      <c r="I25" s="44">
        <v>0</v>
      </c>
      <c r="J25" s="43">
        <f t="shared" si="1"/>
        <v>57</v>
      </c>
      <c r="K25" s="42">
        <f t="shared" si="2"/>
        <v>59</v>
      </c>
      <c r="L25" s="42">
        <f t="shared" si="3"/>
        <v>29</v>
      </c>
      <c r="M25" s="42">
        <f t="shared" si="4"/>
        <v>5</v>
      </c>
      <c r="N25" s="42">
        <f t="shared" si="5"/>
        <v>0</v>
      </c>
      <c r="O25" s="42">
        <f t="shared" si="6"/>
        <v>0</v>
      </c>
      <c r="P25" s="44">
        <f t="shared" si="7"/>
        <v>1</v>
      </c>
      <c r="Q25" s="3"/>
      <c r="R25" s="3"/>
    </row>
    <row r="26" spans="1:18" x14ac:dyDescent="0.3">
      <c r="A26" s="59">
        <v>1997</v>
      </c>
      <c r="B26" s="61">
        <v>5</v>
      </c>
      <c r="C26" s="43">
        <v>0</v>
      </c>
      <c r="D26" s="42">
        <v>0</v>
      </c>
      <c r="E26" s="42">
        <v>3</v>
      </c>
      <c r="F26" s="42">
        <v>0</v>
      </c>
      <c r="G26" s="42">
        <v>0</v>
      </c>
      <c r="H26" s="42">
        <v>1</v>
      </c>
      <c r="I26" s="44">
        <v>0</v>
      </c>
      <c r="J26" s="43">
        <f t="shared" si="1"/>
        <v>57</v>
      </c>
      <c r="K26" s="42">
        <f t="shared" si="2"/>
        <v>59</v>
      </c>
      <c r="L26" s="42">
        <f t="shared" si="3"/>
        <v>32</v>
      </c>
      <c r="M26" s="42">
        <f t="shared" si="4"/>
        <v>5</v>
      </c>
      <c r="N26" s="42">
        <f t="shared" si="5"/>
        <v>0</v>
      </c>
      <c r="O26" s="42">
        <f t="shared" si="6"/>
        <v>1</v>
      </c>
      <c r="P26" s="44">
        <f t="shared" si="7"/>
        <v>1</v>
      </c>
      <c r="Q26" s="3"/>
      <c r="R26" s="3"/>
    </row>
    <row r="27" spans="1:18" x14ac:dyDescent="0.3">
      <c r="A27" s="59">
        <v>1996</v>
      </c>
      <c r="B27" s="61">
        <v>4.2</v>
      </c>
      <c r="C27" s="43">
        <v>3</v>
      </c>
      <c r="D27" s="42">
        <v>2</v>
      </c>
      <c r="E27" s="42">
        <v>3</v>
      </c>
      <c r="F27" s="42">
        <v>0</v>
      </c>
      <c r="G27" s="42">
        <v>0</v>
      </c>
      <c r="H27" s="42">
        <v>0</v>
      </c>
      <c r="I27" s="44">
        <v>0</v>
      </c>
      <c r="J27" s="43">
        <f t="shared" si="1"/>
        <v>60</v>
      </c>
      <c r="K27" s="42">
        <f t="shared" si="2"/>
        <v>61</v>
      </c>
      <c r="L27" s="42">
        <f t="shared" si="3"/>
        <v>35</v>
      </c>
      <c r="M27" s="42">
        <f t="shared" si="4"/>
        <v>5</v>
      </c>
      <c r="N27" s="42">
        <f t="shared" si="5"/>
        <v>0</v>
      </c>
      <c r="O27" s="42">
        <f t="shared" si="6"/>
        <v>1</v>
      </c>
      <c r="P27" s="44">
        <f t="shared" si="7"/>
        <v>1</v>
      </c>
      <c r="Q27" s="3"/>
      <c r="R27" s="3"/>
    </row>
    <row r="28" spans="1:18" x14ac:dyDescent="0.3">
      <c r="A28" s="59">
        <v>1995</v>
      </c>
      <c r="B28" s="61">
        <v>4.4000000000000004</v>
      </c>
      <c r="C28" s="43">
        <v>0</v>
      </c>
      <c r="D28" s="42">
        <v>1</v>
      </c>
      <c r="E28" s="42">
        <v>0</v>
      </c>
      <c r="F28" s="42">
        <v>0</v>
      </c>
      <c r="G28" s="42">
        <v>0</v>
      </c>
      <c r="H28" s="42">
        <v>0</v>
      </c>
      <c r="I28" s="44">
        <v>0</v>
      </c>
      <c r="J28" s="43">
        <f t="shared" si="1"/>
        <v>60</v>
      </c>
      <c r="K28" s="42">
        <f t="shared" si="2"/>
        <v>62</v>
      </c>
      <c r="L28" s="42">
        <f t="shared" si="3"/>
        <v>35</v>
      </c>
      <c r="M28" s="42">
        <f t="shared" si="4"/>
        <v>5</v>
      </c>
      <c r="N28" s="42">
        <f t="shared" si="5"/>
        <v>0</v>
      </c>
      <c r="O28" s="42">
        <f t="shared" si="6"/>
        <v>1</v>
      </c>
      <c r="P28" s="44">
        <f t="shared" si="7"/>
        <v>1</v>
      </c>
      <c r="Q28" s="3"/>
      <c r="R28" s="3"/>
    </row>
    <row r="29" spans="1:18" x14ac:dyDescent="0.3">
      <c r="A29" s="59">
        <v>1994</v>
      </c>
      <c r="B29" s="61">
        <v>5.2</v>
      </c>
      <c r="C29" s="43">
        <v>0</v>
      </c>
      <c r="D29" s="42">
        <v>0</v>
      </c>
      <c r="E29" s="42">
        <v>0</v>
      </c>
      <c r="F29" s="42">
        <v>1</v>
      </c>
      <c r="G29" s="42">
        <v>0</v>
      </c>
      <c r="H29" s="42">
        <v>0</v>
      </c>
      <c r="I29" s="44">
        <v>0</v>
      </c>
      <c r="J29" s="43">
        <f t="shared" si="1"/>
        <v>60</v>
      </c>
      <c r="K29" s="42">
        <f t="shared" si="2"/>
        <v>62</v>
      </c>
      <c r="L29" s="42">
        <f t="shared" si="3"/>
        <v>35</v>
      </c>
      <c r="M29" s="42">
        <f t="shared" si="4"/>
        <v>6</v>
      </c>
      <c r="N29" s="42">
        <f t="shared" si="5"/>
        <v>0</v>
      </c>
      <c r="O29" s="42">
        <f t="shared" si="6"/>
        <v>1</v>
      </c>
      <c r="P29" s="44">
        <f t="shared" si="7"/>
        <v>1</v>
      </c>
      <c r="Q29" s="3"/>
      <c r="R29" s="3"/>
    </row>
    <row r="30" spans="1:18" x14ac:dyDescent="0.3">
      <c r="A30" s="59">
        <v>1993</v>
      </c>
      <c r="B30" s="61">
        <v>5.2</v>
      </c>
      <c r="C30" s="43">
        <v>0</v>
      </c>
      <c r="D30" s="42">
        <v>0</v>
      </c>
      <c r="E30" s="42">
        <v>2</v>
      </c>
      <c r="F30" s="42">
        <v>1</v>
      </c>
      <c r="G30" s="42">
        <v>0</v>
      </c>
      <c r="H30" s="42">
        <v>1</v>
      </c>
      <c r="I30" s="44">
        <v>0</v>
      </c>
      <c r="J30" s="43">
        <f t="shared" si="1"/>
        <v>60</v>
      </c>
      <c r="K30" s="42">
        <f t="shared" si="2"/>
        <v>62</v>
      </c>
      <c r="L30" s="42">
        <f t="shared" si="3"/>
        <v>37</v>
      </c>
      <c r="M30" s="42">
        <f t="shared" si="4"/>
        <v>7</v>
      </c>
      <c r="N30" s="42">
        <f t="shared" si="5"/>
        <v>0</v>
      </c>
      <c r="O30" s="42">
        <f t="shared" si="6"/>
        <v>2</v>
      </c>
      <c r="P30" s="44">
        <f t="shared" si="7"/>
        <v>1</v>
      </c>
      <c r="Q30" s="3"/>
      <c r="R30" s="3"/>
    </row>
    <row r="31" spans="1:18" x14ac:dyDescent="0.3">
      <c r="A31" s="59">
        <v>1992</v>
      </c>
      <c r="B31" s="61">
        <v>4.5</v>
      </c>
      <c r="C31" s="43">
        <v>0</v>
      </c>
      <c r="D31" s="42">
        <v>0</v>
      </c>
      <c r="E31" s="42">
        <v>1</v>
      </c>
      <c r="F31" s="42">
        <v>0</v>
      </c>
      <c r="G31" s="42">
        <v>0</v>
      </c>
      <c r="H31" s="42">
        <v>0</v>
      </c>
      <c r="I31" s="44">
        <v>0</v>
      </c>
      <c r="J31" s="43">
        <f t="shared" si="1"/>
        <v>60</v>
      </c>
      <c r="K31" s="42">
        <f t="shared" si="2"/>
        <v>62</v>
      </c>
      <c r="L31" s="42">
        <f t="shared" si="3"/>
        <v>38</v>
      </c>
      <c r="M31" s="42">
        <f t="shared" si="4"/>
        <v>7</v>
      </c>
      <c r="N31" s="42">
        <f t="shared" si="5"/>
        <v>0</v>
      </c>
      <c r="O31" s="42">
        <f t="shared" si="6"/>
        <v>2</v>
      </c>
      <c r="P31" s="44">
        <f t="shared" si="7"/>
        <v>1</v>
      </c>
      <c r="Q31" s="3"/>
      <c r="R31" s="3"/>
    </row>
    <row r="32" spans="1:18" x14ac:dyDescent="0.3">
      <c r="A32" s="59">
        <v>1991</v>
      </c>
      <c r="B32" s="61">
        <v>3.9</v>
      </c>
      <c r="C32" s="43">
        <v>1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4">
        <v>0</v>
      </c>
      <c r="J32" s="43">
        <f t="shared" si="1"/>
        <v>61</v>
      </c>
      <c r="K32" s="42">
        <f t="shared" si="2"/>
        <v>62</v>
      </c>
      <c r="L32" s="42">
        <f t="shared" si="3"/>
        <v>38</v>
      </c>
      <c r="M32" s="42">
        <f t="shared" si="4"/>
        <v>7</v>
      </c>
      <c r="N32" s="42">
        <f t="shared" si="5"/>
        <v>0</v>
      </c>
      <c r="O32" s="42">
        <f t="shared" si="6"/>
        <v>2</v>
      </c>
      <c r="P32" s="44">
        <f t="shared" si="7"/>
        <v>1</v>
      </c>
      <c r="Q32" s="3"/>
      <c r="R32" s="3"/>
    </row>
    <row r="33" spans="1:18" x14ac:dyDescent="0.3">
      <c r="A33" s="59">
        <v>1990</v>
      </c>
      <c r="B33" s="61">
        <v>0</v>
      </c>
      <c r="C33" s="43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4">
        <v>0</v>
      </c>
      <c r="J33" s="43">
        <f t="shared" si="1"/>
        <v>61</v>
      </c>
      <c r="K33" s="42">
        <f t="shared" si="2"/>
        <v>62</v>
      </c>
      <c r="L33" s="42">
        <f t="shared" si="3"/>
        <v>38</v>
      </c>
      <c r="M33" s="42">
        <f t="shared" si="4"/>
        <v>7</v>
      </c>
      <c r="N33" s="42">
        <f t="shared" si="5"/>
        <v>0</v>
      </c>
      <c r="O33" s="42">
        <f t="shared" si="6"/>
        <v>2</v>
      </c>
      <c r="P33" s="44">
        <f t="shared" si="7"/>
        <v>1</v>
      </c>
      <c r="Q33" s="3"/>
      <c r="R33" s="3"/>
    </row>
    <row r="34" spans="1:18" x14ac:dyDescent="0.3">
      <c r="A34" s="59">
        <v>1989</v>
      </c>
      <c r="B34" s="61">
        <v>4.0999999999999996</v>
      </c>
      <c r="C34" s="43">
        <v>0</v>
      </c>
      <c r="D34" s="42">
        <v>1</v>
      </c>
      <c r="E34" s="42">
        <v>0</v>
      </c>
      <c r="F34" s="42">
        <v>0</v>
      </c>
      <c r="G34" s="42">
        <v>0</v>
      </c>
      <c r="H34" s="42">
        <v>0</v>
      </c>
      <c r="I34" s="44">
        <v>0</v>
      </c>
      <c r="J34" s="43">
        <f t="shared" si="1"/>
        <v>61</v>
      </c>
      <c r="K34" s="42">
        <f t="shared" si="2"/>
        <v>63</v>
      </c>
      <c r="L34" s="42">
        <f t="shared" si="3"/>
        <v>38</v>
      </c>
      <c r="M34" s="42">
        <f t="shared" si="4"/>
        <v>7</v>
      </c>
      <c r="N34" s="42">
        <f t="shared" si="5"/>
        <v>0</v>
      </c>
      <c r="O34" s="42">
        <f t="shared" si="6"/>
        <v>2</v>
      </c>
      <c r="P34" s="44">
        <f t="shared" si="7"/>
        <v>1</v>
      </c>
      <c r="Q34" s="3"/>
      <c r="R34" s="3"/>
    </row>
    <row r="35" spans="1:18" x14ac:dyDescent="0.3">
      <c r="A35" s="59">
        <v>1988</v>
      </c>
      <c r="B35" s="61">
        <v>0</v>
      </c>
      <c r="C35" s="43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4">
        <v>0</v>
      </c>
      <c r="J35" s="43">
        <f t="shared" si="1"/>
        <v>61</v>
      </c>
      <c r="K35" s="42">
        <f t="shared" si="2"/>
        <v>63</v>
      </c>
      <c r="L35" s="42">
        <f t="shared" si="3"/>
        <v>38</v>
      </c>
      <c r="M35" s="42">
        <f t="shared" si="4"/>
        <v>7</v>
      </c>
      <c r="N35" s="42">
        <f t="shared" si="5"/>
        <v>0</v>
      </c>
      <c r="O35" s="42">
        <f t="shared" si="6"/>
        <v>2</v>
      </c>
      <c r="P35" s="44">
        <f t="shared" si="7"/>
        <v>1</v>
      </c>
      <c r="Q35" s="3"/>
      <c r="R35" s="3"/>
    </row>
    <row r="36" spans="1:18" x14ac:dyDescent="0.3">
      <c r="A36" s="59">
        <v>1987</v>
      </c>
      <c r="B36" s="61">
        <v>5.3</v>
      </c>
      <c r="C36" s="43">
        <v>0</v>
      </c>
      <c r="D36" s="42">
        <v>0</v>
      </c>
      <c r="E36" s="42">
        <v>0</v>
      </c>
      <c r="F36" s="42">
        <v>1</v>
      </c>
      <c r="G36" s="42">
        <v>0</v>
      </c>
      <c r="H36" s="42">
        <v>0</v>
      </c>
      <c r="I36" s="44">
        <v>0</v>
      </c>
      <c r="J36" s="43">
        <f t="shared" si="1"/>
        <v>61</v>
      </c>
      <c r="K36" s="42">
        <f t="shared" si="2"/>
        <v>63</v>
      </c>
      <c r="L36" s="42">
        <f t="shared" si="3"/>
        <v>38</v>
      </c>
      <c r="M36" s="42">
        <f t="shared" si="4"/>
        <v>8</v>
      </c>
      <c r="N36" s="42">
        <f t="shared" si="5"/>
        <v>0</v>
      </c>
      <c r="O36" s="42">
        <f t="shared" si="6"/>
        <v>2</v>
      </c>
      <c r="P36" s="44">
        <f t="shared" si="7"/>
        <v>1</v>
      </c>
      <c r="Q36" s="3"/>
      <c r="R36" s="3"/>
    </row>
    <row r="37" spans="1:18" x14ac:dyDescent="0.3">
      <c r="A37" s="59">
        <v>1986</v>
      </c>
      <c r="B37" s="61">
        <v>4.9000000000000004</v>
      </c>
      <c r="C37" s="43">
        <v>0</v>
      </c>
      <c r="D37" s="42">
        <v>0</v>
      </c>
      <c r="E37" s="42">
        <v>2</v>
      </c>
      <c r="F37" s="42">
        <v>1</v>
      </c>
      <c r="G37" s="42">
        <v>0</v>
      </c>
      <c r="H37" s="42">
        <v>0</v>
      </c>
      <c r="I37" s="44">
        <v>0</v>
      </c>
      <c r="J37" s="43">
        <f t="shared" si="1"/>
        <v>61</v>
      </c>
      <c r="K37" s="42">
        <f t="shared" si="2"/>
        <v>63</v>
      </c>
      <c r="L37" s="42">
        <f t="shared" si="3"/>
        <v>40</v>
      </c>
      <c r="M37" s="42">
        <f t="shared" si="4"/>
        <v>9</v>
      </c>
      <c r="N37" s="42">
        <f t="shared" si="5"/>
        <v>0</v>
      </c>
      <c r="O37" s="42">
        <f t="shared" si="6"/>
        <v>2</v>
      </c>
      <c r="P37" s="44">
        <f t="shared" si="7"/>
        <v>1</v>
      </c>
      <c r="Q37" s="3"/>
      <c r="R37" s="3"/>
    </row>
    <row r="38" spans="1:18" x14ac:dyDescent="0.3">
      <c r="A38" s="59">
        <v>1985</v>
      </c>
      <c r="B38" s="61">
        <v>0</v>
      </c>
      <c r="C38" s="43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4">
        <v>0</v>
      </c>
      <c r="J38" s="43">
        <f t="shared" si="1"/>
        <v>61</v>
      </c>
      <c r="K38" s="42">
        <f t="shared" si="2"/>
        <v>63</v>
      </c>
      <c r="L38" s="42">
        <f t="shared" si="3"/>
        <v>40</v>
      </c>
      <c r="M38" s="42">
        <f t="shared" si="4"/>
        <v>9</v>
      </c>
      <c r="N38" s="42">
        <f t="shared" si="5"/>
        <v>0</v>
      </c>
      <c r="O38" s="42">
        <f t="shared" si="6"/>
        <v>2</v>
      </c>
      <c r="P38" s="44">
        <f t="shared" si="7"/>
        <v>1</v>
      </c>
      <c r="Q38" s="3"/>
      <c r="R38" s="3"/>
    </row>
    <row r="39" spans="1:18" x14ac:dyDescent="0.3">
      <c r="A39" s="59">
        <v>1984</v>
      </c>
      <c r="B39" s="61">
        <v>4.3</v>
      </c>
      <c r="C39" s="43">
        <v>0</v>
      </c>
      <c r="D39" s="42">
        <v>1</v>
      </c>
      <c r="E39" s="42">
        <v>0</v>
      </c>
      <c r="F39" s="42">
        <v>0</v>
      </c>
      <c r="G39" s="42">
        <v>0</v>
      </c>
      <c r="H39" s="42">
        <v>0</v>
      </c>
      <c r="I39" s="44">
        <v>0</v>
      </c>
      <c r="J39" s="43">
        <f t="shared" si="1"/>
        <v>61</v>
      </c>
      <c r="K39" s="42">
        <f t="shared" si="2"/>
        <v>64</v>
      </c>
      <c r="L39" s="42">
        <f t="shared" si="3"/>
        <v>40</v>
      </c>
      <c r="M39" s="42">
        <f t="shared" si="4"/>
        <v>9</v>
      </c>
      <c r="N39" s="42">
        <f t="shared" si="5"/>
        <v>0</v>
      </c>
      <c r="O39" s="42">
        <f t="shared" si="6"/>
        <v>2</v>
      </c>
      <c r="P39" s="44">
        <f t="shared" si="7"/>
        <v>1</v>
      </c>
      <c r="Q39" s="3"/>
      <c r="R39" s="3"/>
    </row>
    <row r="40" spans="1:18" x14ac:dyDescent="0.3">
      <c r="A40" s="59">
        <v>1983</v>
      </c>
      <c r="B40" s="61">
        <v>5</v>
      </c>
      <c r="C40" s="43">
        <v>0</v>
      </c>
      <c r="D40" s="42">
        <v>0</v>
      </c>
      <c r="E40" s="42">
        <v>0</v>
      </c>
      <c r="F40" s="42">
        <v>1</v>
      </c>
      <c r="G40" s="42">
        <v>0</v>
      </c>
      <c r="H40" s="42">
        <v>0</v>
      </c>
      <c r="I40" s="44">
        <v>0</v>
      </c>
      <c r="J40" s="43">
        <f t="shared" si="1"/>
        <v>61</v>
      </c>
      <c r="K40" s="42">
        <f t="shared" si="2"/>
        <v>64</v>
      </c>
      <c r="L40" s="42">
        <f t="shared" si="3"/>
        <v>40</v>
      </c>
      <c r="M40" s="42">
        <f t="shared" si="4"/>
        <v>10</v>
      </c>
      <c r="N40" s="42">
        <f t="shared" si="5"/>
        <v>0</v>
      </c>
      <c r="O40" s="42">
        <f t="shared" si="6"/>
        <v>2</v>
      </c>
      <c r="P40" s="44">
        <f t="shared" si="7"/>
        <v>1</v>
      </c>
      <c r="Q40" s="3"/>
      <c r="R40" s="3"/>
    </row>
    <row r="41" spans="1:18" x14ac:dyDescent="0.3">
      <c r="A41" s="59">
        <v>1982</v>
      </c>
      <c r="B41" s="61">
        <v>5.0999999999999996</v>
      </c>
      <c r="C41" s="43">
        <v>0</v>
      </c>
      <c r="D41" s="42">
        <v>0</v>
      </c>
      <c r="E41" s="42">
        <v>0</v>
      </c>
      <c r="F41" s="42">
        <v>1</v>
      </c>
      <c r="G41" s="42">
        <v>0</v>
      </c>
      <c r="H41" s="42">
        <v>0</v>
      </c>
      <c r="I41" s="44">
        <v>0</v>
      </c>
      <c r="J41" s="43">
        <f t="shared" si="1"/>
        <v>61</v>
      </c>
      <c r="K41" s="42">
        <f t="shared" si="2"/>
        <v>64</v>
      </c>
      <c r="L41" s="42">
        <f t="shared" si="3"/>
        <v>40</v>
      </c>
      <c r="M41" s="42">
        <f t="shared" si="4"/>
        <v>11</v>
      </c>
      <c r="N41" s="42">
        <f t="shared" si="5"/>
        <v>0</v>
      </c>
      <c r="O41" s="42">
        <f t="shared" si="6"/>
        <v>2</v>
      </c>
      <c r="P41" s="44">
        <f t="shared" si="7"/>
        <v>1</v>
      </c>
      <c r="Q41" s="3"/>
      <c r="R41" s="3"/>
    </row>
    <row r="42" spans="1:18" x14ac:dyDescent="0.3">
      <c r="A42" s="59">
        <v>1981</v>
      </c>
      <c r="B42" s="61">
        <v>0</v>
      </c>
      <c r="C42" s="43">
        <v>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4">
        <v>0</v>
      </c>
      <c r="J42" s="43">
        <f t="shared" si="1"/>
        <v>61</v>
      </c>
      <c r="K42" s="42">
        <f t="shared" si="2"/>
        <v>64</v>
      </c>
      <c r="L42" s="42">
        <f t="shared" si="3"/>
        <v>40</v>
      </c>
      <c r="M42" s="42">
        <f t="shared" si="4"/>
        <v>11</v>
      </c>
      <c r="N42" s="42">
        <f t="shared" si="5"/>
        <v>0</v>
      </c>
      <c r="O42" s="42">
        <f t="shared" si="6"/>
        <v>2</v>
      </c>
      <c r="P42" s="44">
        <f t="shared" si="7"/>
        <v>1</v>
      </c>
      <c r="Q42" s="3"/>
      <c r="R42" s="3"/>
    </row>
    <row r="43" spans="1:18" x14ac:dyDescent="0.3">
      <c r="A43" s="59">
        <v>1980</v>
      </c>
      <c r="B43" s="61">
        <v>0</v>
      </c>
      <c r="C43" s="43">
        <v>0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4">
        <v>0</v>
      </c>
      <c r="J43" s="43">
        <f t="shared" si="1"/>
        <v>61</v>
      </c>
      <c r="K43" s="42">
        <f t="shared" si="2"/>
        <v>64</v>
      </c>
      <c r="L43" s="42">
        <f t="shared" si="3"/>
        <v>40</v>
      </c>
      <c r="M43" s="42">
        <f t="shared" si="4"/>
        <v>11</v>
      </c>
      <c r="N43" s="42">
        <f t="shared" si="5"/>
        <v>0</v>
      </c>
      <c r="O43" s="42">
        <f t="shared" si="6"/>
        <v>2</v>
      </c>
      <c r="P43" s="44">
        <f t="shared" si="7"/>
        <v>1</v>
      </c>
      <c r="Q43" s="3"/>
      <c r="R43" s="3"/>
    </row>
    <row r="44" spans="1:18" x14ac:dyDescent="0.3">
      <c r="A44" s="59">
        <v>1979</v>
      </c>
      <c r="B44" s="61">
        <v>0</v>
      </c>
      <c r="C44" s="43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4">
        <v>0</v>
      </c>
      <c r="J44" s="43">
        <f t="shared" si="1"/>
        <v>61</v>
      </c>
      <c r="K44" s="42">
        <f t="shared" si="2"/>
        <v>64</v>
      </c>
      <c r="L44" s="42">
        <f t="shared" si="3"/>
        <v>40</v>
      </c>
      <c r="M44" s="42">
        <f t="shared" si="4"/>
        <v>11</v>
      </c>
      <c r="N44" s="42">
        <f t="shared" si="5"/>
        <v>0</v>
      </c>
      <c r="O44" s="42">
        <f t="shared" si="6"/>
        <v>2</v>
      </c>
      <c r="P44" s="44">
        <f t="shared" si="7"/>
        <v>1</v>
      </c>
      <c r="Q44" s="3"/>
      <c r="R44" s="3"/>
    </row>
    <row r="45" spans="1:18" x14ac:dyDescent="0.3">
      <c r="A45" s="59">
        <v>1978</v>
      </c>
      <c r="B45" s="61">
        <v>4.9000000000000004</v>
      </c>
      <c r="C45" s="43">
        <v>0</v>
      </c>
      <c r="D45" s="42">
        <v>0</v>
      </c>
      <c r="E45" s="42">
        <v>1</v>
      </c>
      <c r="F45" s="42">
        <v>0</v>
      </c>
      <c r="G45" s="42">
        <v>0</v>
      </c>
      <c r="H45" s="42">
        <v>0</v>
      </c>
      <c r="I45" s="44">
        <v>0</v>
      </c>
      <c r="J45" s="43">
        <f t="shared" si="1"/>
        <v>61</v>
      </c>
      <c r="K45" s="42">
        <f t="shared" si="2"/>
        <v>64</v>
      </c>
      <c r="L45" s="42">
        <f t="shared" si="3"/>
        <v>41</v>
      </c>
      <c r="M45" s="42">
        <f t="shared" si="4"/>
        <v>11</v>
      </c>
      <c r="N45" s="42">
        <f t="shared" si="5"/>
        <v>0</v>
      </c>
      <c r="O45" s="42">
        <f t="shared" si="6"/>
        <v>2</v>
      </c>
      <c r="P45" s="44">
        <f t="shared" si="7"/>
        <v>1</v>
      </c>
      <c r="Q45" s="3"/>
      <c r="R45" s="3"/>
    </row>
    <row r="46" spans="1:18" x14ac:dyDescent="0.3">
      <c r="A46" s="59">
        <v>1977</v>
      </c>
      <c r="B46" s="61">
        <v>0</v>
      </c>
      <c r="C46" s="43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4">
        <v>0</v>
      </c>
      <c r="J46" s="43">
        <f t="shared" si="1"/>
        <v>61</v>
      </c>
      <c r="K46" s="42">
        <f t="shared" si="2"/>
        <v>64</v>
      </c>
      <c r="L46" s="42">
        <f t="shared" si="3"/>
        <v>41</v>
      </c>
      <c r="M46" s="42">
        <f t="shared" si="4"/>
        <v>11</v>
      </c>
      <c r="N46" s="42">
        <f t="shared" si="5"/>
        <v>0</v>
      </c>
      <c r="O46" s="42">
        <f t="shared" si="6"/>
        <v>2</v>
      </c>
      <c r="P46" s="44">
        <f t="shared" si="7"/>
        <v>1</v>
      </c>
      <c r="Q46" s="3"/>
      <c r="R46" s="3"/>
    </row>
    <row r="47" spans="1:18" x14ac:dyDescent="0.3">
      <c r="A47" s="59">
        <v>1976</v>
      </c>
      <c r="B47" s="61">
        <v>0</v>
      </c>
      <c r="C47" s="43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4">
        <v>0</v>
      </c>
      <c r="J47" s="43">
        <f t="shared" si="1"/>
        <v>61</v>
      </c>
      <c r="K47" s="42">
        <f t="shared" si="2"/>
        <v>64</v>
      </c>
      <c r="L47" s="42">
        <f t="shared" si="3"/>
        <v>41</v>
      </c>
      <c r="M47" s="42">
        <f t="shared" si="4"/>
        <v>11</v>
      </c>
      <c r="N47" s="42">
        <f t="shared" si="5"/>
        <v>0</v>
      </c>
      <c r="O47" s="42">
        <f t="shared" si="6"/>
        <v>2</v>
      </c>
      <c r="P47" s="44">
        <f t="shared" si="7"/>
        <v>1</v>
      </c>
      <c r="Q47" s="3"/>
      <c r="R47" s="3"/>
    </row>
    <row r="48" spans="1:18" x14ac:dyDescent="0.3">
      <c r="A48" s="59">
        <v>1975</v>
      </c>
      <c r="B48" s="61">
        <v>0</v>
      </c>
      <c r="C48" s="43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4">
        <v>0</v>
      </c>
      <c r="J48" s="43">
        <f t="shared" si="1"/>
        <v>61</v>
      </c>
      <c r="K48" s="42">
        <f t="shared" si="2"/>
        <v>64</v>
      </c>
      <c r="L48" s="42">
        <f t="shared" si="3"/>
        <v>41</v>
      </c>
      <c r="M48" s="42">
        <f t="shared" si="4"/>
        <v>11</v>
      </c>
      <c r="N48" s="42">
        <f t="shared" si="5"/>
        <v>0</v>
      </c>
      <c r="O48" s="42">
        <f t="shared" si="6"/>
        <v>2</v>
      </c>
      <c r="P48" s="44">
        <f t="shared" si="7"/>
        <v>1</v>
      </c>
      <c r="Q48" s="3"/>
      <c r="R48" s="3"/>
    </row>
    <row r="49" spans="1:18" x14ac:dyDescent="0.3">
      <c r="A49" s="59">
        <v>1974</v>
      </c>
      <c r="B49" s="61">
        <v>4.8</v>
      </c>
      <c r="C49" s="43">
        <v>0</v>
      </c>
      <c r="D49" s="42">
        <v>0</v>
      </c>
      <c r="E49" s="42">
        <v>1</v>
      </c>
      <c r="F49" s="42">
        <v>0</v>
      </c>
      <c r="G49" s="42">
        <v>0</v>
      </c>
      <c r="H49" s="42">
        <v>0</v>
      </c>
      <c r="I49" s="44">
        <v>0</v>
      </c>
      <c r="J49" s="43">
        <f t="shared" si="1"/>
        <v>61</v>
      </c>
      <c r="K49" s="42">
        <f t="shared" si="2"/>
        <v>64</v>
      </c>
      <c r="L49" s="42">
        <f t="shared" si="3"/>
        <v>42</v>
      </c>
      <c r="M49" s="42">
        <f t="shared" si="4"/>
        <v>11</v>
      </c>
      <c r="N49" s="42">
        <f t="shared" si="5"/>
        <v>0</v>
      </c>
      <c r="O49" s="42">
        <f t="shared" si="6"/>
        <v>2</v>
      </c>
      <c r="P49" s="44">
        <f t="shared" si="7"/>
        <v>1</v>
      </c>
      <c r="Q49" s="3"/>
      <c r="R49" s="3"/>
    </row>
    <row r="50" spans="1:18" x14ac:dyDescent="0.3">
      <c r="A50" s="59">
        <v>1973</v>
      </c>
      <c r="B50" s="61">
        <v>0</v>
      </c>
      <c r="C50" s="43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4">
        <v>0</v>
      </c>
      <c r="J50" s="43">
        <f t="shared" si="1"/>
        <v>61</v>
      </c>
      <c r="K50" s="42">
        <f t="shared" si="2"/>
        <v>64</v>
      </c>
      <c r="L50" s="42">
        <f t="shared" si="3"/>
        <v>42</v>
      </c>
      <c r="M50" s="42">
        <f t="shared" si="4"/>
        <v>11</v>
      </c>
      <c r="N50" s="42">
        <f t="shared" si="5"/>
        <v>0</v>
      </c>
      <c r="O50" s="42">
        <f t="shared" si="6"/>
        <v>2</v>
      </c>
      <c r="P50" s="44">
        <f t="shared" si="7"/>
        <v>1</v>
      </c>
      <c r="Q50" s="3"/>
      <c r="R50" s="3"/>
    </row>
    <row r="51" spans="1:18" x14ac:dyDescent="0.3">
      <c r="A51" s="59">
        <v>1972</v>
      </c>
      <c r="B51" s="61">
        <v>0</v>
      </c>
      <c r="C51" s="43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4">
        <v>0</v>
      </c>
      <c r="J51" s="43">
        <f t="shared" si="1"/>
        <v>61</v>
      </c>
      <c r="K51" s="42">
        <f t="shared" si="2"/>
        <v>64</v>
      </c>
      <c r="L51" s="42">
        <f t="shared" si="3"/>
        <v>42</v>
      </c>
      <c r="M51" s="42">
        <f t="shared" si="4"/>
        <v>11</v>
      </c>
      <c r="N51" s="42">
        <f t="shared" si="5"/>
        <v>0</v>
      </c>
      <c r="O51" s="42">
        <f t="shared" si="6"/>
        <v>2</v>
      </c>
      <c r="P51" s="44">
        <f t="shared" si="7"/>
        <v>1</v>
      </c>
      <c r="Q51" s="3"/>
      <c r="R51" s="3"/>
    </row>
    <row r="52" spans="1:18" x14ac:dyDescent="0.3">
      <c r="A52" s="59">
        <v>1971</v>
      </c>
      <c r="B52" s="61">
        <v>0</v>
      </c>
      <c r="C52" s="43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4">
        <v>0</v>
      </c>
      <c r="J52" s="43">
        <f t="shared" si="1"/>
        <v>61</v>
      </c>
      <c r="K52" s="42">
        <f t="shared" si="2"/>
        <v>64</v>
      </c>
      <c r="L52" s="42">
        <f t="shared" si="3"/>
        <v>42</v>
      </c>
      <c r="M52" s="42">
        <f t="shared" si="4"/>
        <v>11</v>
      </c>
      <c r="N52" s="42">
        <f t="shared" si="5"/>
        <v>0</v>
      </c>
      <c r="O52" s="42">
        <f t="shared" si="6"/>
        <v>2</v>
      </c>
      <c r="P52" s="44">
        <f t="shared" si="7"/>
        <v>1</v>
      </c>
      <c r="Q52" s="3"/>
      <c r="R52" s="3"/>
    </row>
    <row r="53" spans="1:18" x14ac:dyDescent="0.3">
      <c r="A53" s="59">
        <v>1970</v>
      </c>
      <c r="B53" s="61">
        <v>5.7</v>
      </c>
      <c r="C53" s="43">
        <v>0</v>
      </c>
      <c r="D53" s="42">
        <v>0</v>
      </c>
      <c r="E53" s="42">
        <v>0</v>
      </c>
      <c r="F53" s="42">
        <v>0</v>
      </c>
      <c r="G53" s="42">
        <v>1</v>
      </c>
      <c r="H53" s="42">
        <v>0</v>
      </c>
      <c r="I53" s="44">
        <v>0</v>
      </c>
      <c r="J53" s="43">
        <f t="shared" si="1"/>
        <v>61</v>
      </c>
      <c r="K53" s="42">
        <f t="shared" si="2"/>
        <v>64</v>
      </c>
      <c r="L53" s="42">
        <f t="shared" si="3"/>
        <v>42</v>
      </c>
      <c r="M53" s="42">
        <f t="shared" si="4"/>
        <v>11</v>
      </c>
      <c r="N53" s="42">
        <f t="shared" si="5"/>
        <v>1</v>
      </c>
      <c r="O53" s="42">
        <f t="shared" si="6"/>
        <v>2</v>
      </c>
      <c r="P53" s="44">
        <f t="shared" si="7"/>
        <v>1</v>
      </c>
      <c r="Q53" s="3"/>
      <c r="R53" s="3"/>
    </row>
    <row r="54" spans="1:18" x14ac:dyDescent="0.3">
      <c r="A54" s="59">
        <v>1969</v>
      </c>
      <c r="B54" s="61">
        <v>5.3</v>
      </c>
      <c r="C54" s="43">
        <v>0</v>
      </c>
      <c r="D54" s="42">
        <v>0</v>
      </c>
      <c r="E54" s="42">
        <v>0</v>
      </c>
      <c r="F54" s="42">
        <v>1</v>
      </c>
      <c r="G54" s="42">
        <v>0</v>
      </c>
      <c r="H54" s="42">
        <v>0</v>
      </c>
      <c r="I54" s="44">
        <v>0</v>
      </c>
      <c r="J54" s="43">
        <f t="shared" si="1"/>
        <v>61</v>
      </c>
      <c r="K54" s="42">
        <f t="shared" si="2"/>
        <v>64</v>
      </c>
      <c r="L54" s="42">
        <f t="shared" si="3"/>
        <v>42</v>
      </c>
      <c r="M54" s="42">
        <f t="shared" si="4"/>
        <v>12</v>
      </c>
      <c r="N54" s="42">
        <f t="shared" si="5"/>
        <v>1</v>
      </c>
      <c r="O54" s="42">
        <f t="shared" si="6"/>
        <v>2</v>
      </c>
      <c r="P54" s="44">
        <f t="shared" si="7"/>
        <v>1</v>
      </c>
      <c r="Q54" s="3"/>
      <c r="R54" s="3"/>
    </row>
    <row r="55" spans="1:18" x14ac:dyDescent="0.3">
      <c r="A55" s="59">
        <v>1968</v>
      </c>
      <c r="B55" s="61">
        <v>0</v>
      </c>
      <c r="C55" s="43">
        <v>0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4">
        <v>0</v>
      </c>
      <c r="J55" s="43">
        <f t="shared" si="1"/>
        <v>61</v>
      </c>
      <c r="K55" s="42">
        <f t="shared" si="2"/>
        <v>64</v>
      </c>
      <c r="L55" s="42">
        <f t="shared" si="3"/>
        <v>42</v>
      </c>
      <c r="M55" s="42">
        <f t="shared" si="4"/>
        <v>12</v>
      </c>
      <c r="N55" s="42">
        <f t="shared" si="5"/>
        <v>1</v>
      </c>
      <c r="O55" s="42">
        <f t="shared" si="6"/>
        <v>2</v>
      </c>
      <c r="P55" s="44">
        <f t="shared" si="7"/>
        <v>1</v>
      </c>
      <c r="Q55" s="3"/>
      <c r="R55" s="3"/>
    </row>
    <row r="56" spans="1:18" x14ac:dyDescent="0.3">
      <c r="A56" s="59">
        <v>1967</v>
      </c>
      <c r="B56" s="61">
        <v>0</v>
      </c>
      <c r="C56" s="43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4">
        <v>0</v>
      </c>
      <c r="J56" s="43">
        <f t="shared" si="1"/>
        <v>61</v>
      </c>
      <c r="K56" s="42">
        <f t="shared" si="2"/>
        <v>64</v>
      </c>
      <c r="L56" s="42">
        <f t="shared" si="3"/>
        <v>42</v>
      </c>
      <c r="M56" s="42">
        <f t="shared" si="4"/>
        <v>12</v>
      </c>
      <c r="N56" s="42">
        <f t="shared" si="5"/>
        <v>1</v>
      </c>
      <c r="O56" s="42">
        <f t="shared" si="6"/>
        <v>2</v>
      </c>
      <c r="P56" s="44">
        <f t="shared" si="7"/>
        <v>1</v>
      </c>
      <c r="Q56" s="3"/>
      <c r="R56" s="3"/>
    </row>
    <row r="57" spans="1:18" x14ac:dyDescent="0.3">
      <c r="A57" s="59">
        <v>1966</v>
      </c>
      <c r="B57" s="61">
        <v>0</v>
      </c>
      <c r="C57" s="43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4">
        <v>0</v>
      </c>
      <c r="J57" s="43">
        <f t="shared" si="1"/>
        <v>61</v>
      </c>
      <c r="K57" s="42">
        <f t="shared" si="2"/>
        <v>64</v>
      </c>
      <c r="L57" s="42">
        <f t="shared" si="3"/>
        <v>42</v>
      </c>
      <c r="M57" s="42">
        <f t="shared" si="4"/>
        <v>12</v>
      </c>
      <c r="N57" s="42">
        <f t="shared" si="5"/>
        <v>1</v>
      </c>
      <c r="O57" s="42">
        <f t="shared" si="6"/>
        <v>2</v>
      </c>
      <c r="P57" s="44">
        <f t="shared" si="7"/>
        <v>1</v>
      </c>
      <c r="Q57" s="3"/>
      <c r="R57" s="3"/>
    </row>
    <row r="58" spans="1:18" x14ac:dyDescent="0.3">
      <c r="A58" s="59">
        <v>1965</v>
      </c>
      <c r="B58" s="61">
        <v>0</v>
      </c>
      <c r="C58" s="43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4">
        <v>0</v>
      </c>
      <c r="J58" s="43">
        <f t="shared" si="1"/>
        <v>61</v>
      </c>
      <c r="K58" s="42">
        <f t="shared" si="2"/>
        <v>64</v>
      </c>
      <c r="L58" s="42">
        <f t="shared" si="3"/>
        <v>42</v>
      </c>
      <c r="M58" s="42">
        <f t="shared" si="4"/>
        <v>12</v>
      </c>
      <c r="N58" s="42">
        <f t="shared" si="5"/>
        <v>1</v>
      </c>
      <c r="O58" s="42">
        <f t="shared" si="6"/>
        <v>2</v>
      </c>
      <c r="P58" s="44">
        <f t="shared" si="7"/>
        <v>1</v>
      </c>
      <c r="Q58" s="3"/>
      <c r="R58" s="3"/>
    </row>
    <row r="59" spans="1:18" x14ac:dyDescent="0.3">
      <c r="A59" s="59">
        <v>1964</v>
      </c>
      <c r="B59" s="61">
        <v>0</v>
      </c>
      <c r="C59" s="43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4">
        <v>0</v>
      </c>
      <c r="J59" s="43">
        <f t="shared" si="1"/>
        <v>61</v>
      </c>
      <c r="K59" s="42">
        <f t="shared" si="2"/>
        <v>64</v>
      </c>
      <c r="L59" s="42">
        <f t="shared" si="3"/>
        <v>42</v>
      </c>
      <c r="M59" s="42">
        <f t="shared" si="4"/>
        <v>12</v>
      </c>
      <c r="N59" s="42">
        <f t="shared" si="5"/>
        <v>1</v>
      </c>
      <c r="O59" s="42">
        <f t="shared" si="6"/>
        <v>2</v>
      </c>
      <c r="P59" s="44">
        <f t="shared" si="7"/>
        <v>1</v>
      </c>
      <c r="Q59" s="3"/>
      <c r="R59" s="3"/>
    </row>
    <row r="60" spans="1:18" x14ac:dyDescent="0.3">
      <c r="A60" s="59">
        <v>1963</v>
      </c>
      <c r="B60" s="61">
        <v>0</v>
      </c>
      <c r="C60" s="43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4">
        <v>0</v>
      </c>
      <c r="J60" s="43">
        <f t="shared" si="1"/>
        <v>61</v>
      </c>
      <c r="K60" s="42">
        <f t="shared" si="2"/>
        <v>64</v>
      </c>
      <c r="L60" s="42">
        <f t="shared" si="3"/>
        <v>42</v>
      </c>
      <c r="M60" s="42">
        <f t="shared" si="4"/>
        <v>12</v>
      </c>
      <c r="N60" s="42">
        <f t="shared" si="5"/>
        <v>1</v>
      </c>
      <c r="O60" s="42">
        <f t="shared" si="6"/>
        <v>2</v>
      </c>
      <c r="P60" s="44">
        <f t="shared" si="7"/>
        <v>1</v>
      </c>
      <c r="Q60" s="3"/>
      <c r="R60" s="3"/>
    </row>
    <row r="61" spans="1:18" x14ac:dyDescent="0.3">
      <c r="A61" s="59">
        <v>1962</v>
      </c>
      <c r="B61" s="61">
        <v>5</v>
      </c>
      <c r="C61" s="43">
        <v>0</v>
      </c>
      <c r="D61" s="42">
        <v>0</v>
      </c>
      <c r="E61" s="42">
        <v>0</v>
      </c>
      <c r="F61" s="42">
        <v>1</v>
      </c>
      <c r="G61" s="42">
        <v>0</v>
      </c>
      <c r="H61" s="42">
        <v>0</v>
      </c>
      <c r="I61" s="44">
        <v>0</v>
      </c>
      <c r="J61" s="43">
        <f t="shared" si="1"/>
        <v>61</v>
      </c>
      <c r="K61" s="42">
        <f t="shared" si="2"/>
        <v>64</v>
      </c>
      <c r="L61" s="42">
        <f t="shared" si="3"/>
        <v>42</v>
      </c>
      <c r="M61" s="42">
        <f t="shared" si="4"/>
        <v>13</v>
      </c>
      <c r="N61" s="42">
        <f t="shared" si="5"/>
        <v>1</v>
      </c>
      <c r="O61" s="42">
        <f t="shared" si="6"/>
        <v>2</v>
      </c>
      <c r="P61" s="44">
        <f t="shared" si="7"/>
        <v>1</v>
      </c>
      <c r="Q61" s="3"/>
      <c r="R61" s="3"/>
    </row>
    <row r="62" spans="1:18" x14ac:dyDescent="0.3">
      <c r="A62" s="59">
        <v>1961</v>
      </c>
      <c r="B62" s="61">
        <v>0</v>
      </c>
      <c r="C62" s="43">
        <v>0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4">
        <v>0</v>
      </c>
      <c r="J62" s="43">
        <f t="shared" si="1"/>
        <v>61</v>
      </c>
      <c r="K62" s="42">
        <f t="shared" si="2"/>
        <v>64</v>
      </c>
      <c r="L62" s="42">
        <f t="shared" si="3"/>
        <v>42</v>
      </c>
      <c r="M62" s="42">
        <f t="shared" si="4"/>
        <v>13</v>
      </c>
      <c r="N62" s="42">
        <f t="shared" si="5"/>
        <v>1</v>
      </c>
      <c r="O62" s="42">
        <f t="shared" si="6"/>
        <v>2</v>
      </c>
      <c r="P62" s="44">
        <f t="shared" si="7"/>
        <v>1</v>
      </c>
      <c r="Q62" s="3"/>
      <c r="R62" s="3"/>
    </row>
    <row r="63" spans="1:18" x14ac:dyDescent="0.3">
      <c r="A63" s="59">
        <v>1960</v>
      </c>
      <c r="B63" s="61">
        <v>0</v>
      </c>
      <c r="C63" s="43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4">
        <v>0</v>
      </c>
      <c r="J63" s="43">
        <f t="shared" si="1"/>
        <v>61</v>
      </c>
      <c r="K63" s="42">
        <f t="shared" si="2"/>
        <v>64</v>
      </c>
      <c r="L63" s="42">
        <f t="shared" si="3"/>
        <v>42</v>
      </c>
      <c r="M63" s="42">
        <f t="shared" si="4"/>
        <v>13</v>
      </c>
      <c r="N63" s="42">
        <f t="shared" si="5"/>
        <v>1</v>
      </c>
      <c r="O63" s="42">
        <f t="shared" si="6"/>
        <v>2</v>
      </c>
      <c r="P63" s="44">
        <f t="shared" si="7"/>
        <v>1</v>
      </c>
      <c r="Q63" s="3"/>
      <c r="R63" s="3"/>
    </row>
    <row r="64" spans="1:18" x14ac:dyDescent="0.3">
      <c r="A64" s="59">
        <v>1959</v>
      </c>
      <c r="B64" s="61">
        <v>0</v>
      </c>
      <c r="C64" s="43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4">
        <v>0</v>
      </c>
      <c r="J64" s="43">
        <f t="shared" si="1"/>
        <v>61</v>
      </c>
      <c r="K64" s="42">
        <f t="shared" si="2"/>
        <v>64</v>
      </c>
      <c r="L64" s="42">
        <f t="shared" si="3"/>
        <v>42</v>
      </c>
      <c r="M64" s="42">
        <f t="shared" si="4"/>
        <v>13</v>
      </c>
      <c r="N64" s="42">
        <f t="shared" si="5"/>
        <v>1</v>
      </c>
      <c r="O64" s="42">
        <f t="shared" si="6"/>
        <v>2</v>
      </c>
      <c r="P64" s="44">
        <f t="shared" si="7"/>
        <v>1</v>
      </c>
      <c r="Q64" s="3"/>
      <c r="R64" s="3"/>
    </row>
    <row r="65" spans="1:18" x14ac:dyDescent="0.3">
      <c r="A65" s="59">
        <v>1958</v>
      </c>
      <c r="B65" s="61">
        <v>0</v>
      </c>
      <c r="C65" s="43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4">
        <v>0</v>
      </c>
      <c r="J65" s="43">
        <f t="shared" si="1"/>
        <v>61</v>
      </c>
      <c r="K65" s="42">
        <f t="shared" si="2"/>
        <v>64</v>
      </c>
      <c r="L65" s="42">
        <f t="shared" si="3"/>
        <v>42</v>
      </c>
      <c r="M65" s="42">
        <f t="shared" si="4"/>
        <v>13</v>
      </c>
      <c r="N65" s="42">
        <f t="shared" si="5"/>
        <v>1</v>
      </c>
      <c r="O65" s="42">
        <f t="shared" si="6"/>
        <v>2</v>
      </c>
      <c r="P65" s="44">
        <f t="shared" si="7"/>
        <v>1</v>
      </c>
      <c r="Q65" s="3"/>
      <c r="R65" s="3"/>
    </row>
    <row r="66" spans="1:18" x14ac:dyDescent="0.3">
      <c r="A66" s="59">
        <v>1957</v>
      </c>
      <c r="B66" s="61">
        <v>5.5</v>
      </c>
      <c r="C66" s="43">
        <v>0</v>
      </c>
      <c r="D66" s="42">
        <v>0</v>
      </c>
      <c r="E66" s="42">
        <v>0</v>
      </c>
      <c r="F66" s="42">
        <v>0</v>
      </c>
      <c r="G66" s="42">
        <v>1</v>
      </c>
      <c r="H66" s="42">
        <v>0</v>
      </c>
      <c r="I66" s="44">
        <v>0</v>
      </c>
      <c r="J66" s="43">
        <f t="shared" si="1"/>
        <v>61</v>
      </c>
      <c r="K66" s="42">
        <f t="shared" si="2"/>
        <v>64</v>
      </c>
      <c r="L66" s="42">
        <f t="shared" si="3"/>
        <v>42</v>
      </c>
      <c r="M66" s="42">
        <f t="shared" si="4"/>
        <v>13</v>
      </c>
      <c r="N66" s="42">
        <f t="shared" si="5"/>
        <v>2</v>
      </c>
      <c r="O66" s="42">
        <f t="shared" si="6"/>
        <v>2</v>
      </c>
      <c r="P66" s="44">
        <f t="shared" si="7"/>
        <v>1</v>
      </c>
      <c r="Q66" s="3"/>
      <c r="R66" s="3"/>
    </row>
    <row r="67" spans="1:18" x14ac:dyDescent="0.3">
      <c r="A67" s="59">
        <v>1956</v>
      </c>
      <c r="B67" s="61">
        <v>0</v>
      </c>
      <c r="C67" s="43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4">
        <v>0</v>
      </c>
      <c r="J67" s="43">
        <f t="shared" si="1"/>
        <v>61</v>
      </c>
      <c r="K67" s="42">
        <f t="shared" si="2"/>
        <v>64</v>
      </c>
      <c r="L67" s="42">
        <f t="shared" si="3"/>
        <v>42</v>
      </c>
      <c r="M67" s="42">
        <f t="shared" si="4"/>
        <v>13</v>
      </c>
      <c r="N67" s="42">
        <f t="shared" si="5"/>
        <v>2</v>
      </c>
      <c r="O67" s="42">
        <f t="shared" si="6"/>
        <v>2</v>
      </c>
      <c r="P67" s="44">
        <f t="shared" si="7"/>
        <v>1</v>
      </c>
      <c r="Q67" s="3"/>
      <c r="R67" s="3"/>
    </row>
    <row r="68" spans="1:18" x14ac:dyDescent="0.3">
      <c r="A68" s="59">
        <v>1955</v>
      </c>
      <c r="B68" s="61">
        <v>0</v>
      </c>
      <c r="C68" s="43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4">
        <v>0</v>
      </c>
      <c r="J68" s="43">
        <f t="shared" ref="J68:J131" si="8">J67+C68</f>
        <v>61</v>
      </c>
      <c r="K68" s="42">
        <f t="shared" ref="K68:K131" si="9">K67+D68</f>
        <v>64</v>
      </c>
      <c r="L68" s="42">
        <f t="shared" ref="L68:L131" si="10">L67+E68</f>
        <v>42</v>
      </c>
      <c r="M68" s="42">
        <f t="shared" ref="M68:M131" si="11">M67+F68</f>
        <v>13</v>
      </c>
      <c r="N68" s="42">
        <f t="shared" ref="N68:N131" si="12">N67+G68</f>
        <v>2</v>
      </c>
      <c r="O68" s="42">
        <f t="shared" ref="O68:O131" si="13">O67+H68</f>
        <v>2</v>
      </c>
      <c r="P68" s="44">
        <f t="shared" ref="P68:P131" si="14">P67+I68</f>
        <v>1</v>
      </c>
      <c r="Q68" s="3"/>
      <c r="R68" s="3"/>
    </row>
    <row r="69" spans="1:18" x14ac:dyDescent="0.3">
      <c r="A69" s="59">
        <v>1954</v>
      </c>
      <c r="B69" s="61">
        <v>0</v>
      </c>
      <c r="C69" s="43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4">
        <v>0</v>
      </c>
      <c r="J69" s="43">
        <f t="shared" si="8"/>
        <v>61</v>
      </c>
      <c r="K69" s="42">
        <f t="shared" si="9"/>
        <v>64</v>
      </c>
      <c r="L69" s="42">
        <f t="shared" si="10"/>
        <v>42</v>
      </c>
      <c r="M69" s="42">
        <f t="shared" si="11"/>
        <v>13</v>
      </c>
      <c r="N69" s="42">
        <f t="shared" si="12"/>
        <v>2</v>
      </c>
      <c r="O69" s="42">
        <f t="shared" si="13"/>
        <v>2</v>
      </c>
      <c r="P69" s="44">
        <f t="shared" si="14"/>
        <v>1</v>
      </c>
      <c r="Q69" s="3"/>
      <c r="R69" s="3"/>
    </row>
    <row r="70" spans="1:18" x14ac:dyDescent="0.3">
      <c r="A70" s="59">
        <v>1953</v>
      </c>
      <c r="B70" s="61">
        <v>0</v>
      </c>
      <c r="C70" s="43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4">
        <v>0</v>
      </c>
      <c r="J70" s="43">
        <f t="shared" si="8"/>
        <v>61</v>
      </c>
      <c r="K70" s="42">
        <f t="shared" si="9"/>
        <v>64</v>
      </c>
      <c r="L70" s="42">
        <f t="shared" si="10"/>
        <v>42</v>
      </c>
      <c r="M70" s="42">
        <f t="shared" si="11"/>
        <v>13</v>
      </c>
      <c r="N70" s="42">
        <f t="shared" si="12"/>
        <v>2</v>
      </c>
      <c r="O70" s="42">
        <f t="shared" si="13"/>
        <v>2</v>
      </c>
      <c r="P70" s="44">
        <f t="shared" si="14"/>
        <v>1</v>
      </c>
      <c r="Q70" s="3"/>
      <c r="R70" s="3"/>
    </row>
    <row r="71" spans="1:18" x14ac:dyDescent="0.3">
      <c r="A71" s="59">
        <v>1952</v>
      </c>
      <c r="B71" s="61">
        <v>0</v>
      </c>
      <c r="C71" s="43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4">
        <v>0</v>
      </c>
      <c r="J71" s="43">
        <f t="shared" si="8"/>
        <v>61</v>
      </c>
      <c r="K71" s="42">
        <f t="shared" si="9"/>
        <v>64</v>
      </c>
      <c r="L71" s="42">
        <f t="shared" si="10"/>
        <v>42</v>
      </c>
      <c r="M71" s="42">
        <f t="shared" si="11"/>
        <v>13</v>
      </c>
      <c r="N71" s="42">
        <f t="shared" si="12"/>
        <v>2</v>
      </c>
      <c r="O71" s="42">
        <f t="shared" si="13"/>
        <v>2</v>
      </c>
      <c r="P71" s="44">
        <f t="shared" si="14"/>
        <v>1</v>
      </c>
      <c r="Q71" s="3"/>
      <c r="R71" s="3"/>
    </row>
    <row r="72" spans="1:18" x14ac:dyDescent="0.3">
      <c r="A72" s="59">
        <v>1951</v>
      </c>
      <c r="B72" s="61">
        <v>0</v>
      </c>
      <c r="C72" s="43">
        <v>0</v>
      </c>
      <c r="D72" s="42">
        <v>0</v>
      </c>
      <c r="E72" s="42">
        <v>0</v>
      </c>
      <c r="F72" s="42">
        <v>0</v>
      </c>
      <c r="G72" s="42">
        <v>0</v>
      </c>
      <c r="H72" s="42">
        <v>0</v>
      </c>
      <c r="I72" s="44">
        <v>0</v>
      </c>
      <c r="J72" s="43">
        <f t="shared" si="8"/>
        <v>61</v>
      </c>
      <c r="K72" s="42">
        <f t="shared" si="9"/>
        <v>64</v>
      </c>
      <c r="L72" s="42">
        <f t="shared" si="10"/>
        <v>42</v>
      </c>
      <c r="M72" s="42">
        <f t="shared" si="11"/>
        <v>13</v>
      </c>
      <c r="N72" s="42">
        <f t="shared" si="12"/>
        <v>2</v>
      </c>
      <c r="O72" s="42">
        <f t="shared" si="13"/>
        <v>2</v>
      </c>
      <c r="P72" s="44">
        <f t="shared" si="14"/>
        <v>1</v>
      </c>
      <c r="Q72" s="3"/>
      <c r="R72" s="3"/>
    </row>
    <row r="73" spans="1:18" x14ac:dyDescent="0.3">
      <c r="A73" s="59">
        <v>1950</v>
      </c>
      <c r="B73" s="61">
        <v>0</v>
      </c>
      <c r="C73" s="43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4">
        <v>0</v>
      </c>
      <c r="J73" s="43">
        <f t="shared" si="8"/>
        <v>61</v>
      </c>
      <c r="K73" s="42">
        <f t="shared" si="9"/>
        <v>64</v>
      </c>
      <c r="L73" s="42">
        <f t="shared" si="10"/>
        <v>42</v>
      </c>
      <c r="M73" s="42">
        <f t="shared" si="11"/>
        <v>13</v>
      </c>
      <c r="N73" s="42">
        <f t="shared" si="12"/>
        <v>2</v>
      </c>
      <c r="O73" s="42">
        <f t="shared" si="13"/>
        <v>2</v>
      </c>
      <c r="P73" s="44">
        <f t="shared" si="14"/>
        <v>1</v>
      </c>
      <c r="Q73" s="3"/>
      <c r="R73" s="3"/>
    </row>
    <row r="74" spans="1:18" x14ac:dyDescent="0.3">
      <c r="A74" s="59">
        <v>1949</v>
      </c>
      <c r="B74" s="61">
        <v>0</v>
      </c>
      <c r="C74" s="43">
        <v>0</v>
      </c>
      <c r="D74" s="42">
        <v>0</v>
      </c>
      <c r="E74" s="42">
        <v>0</v>
      </c>
      <c r="F74" s="42">
        <v>0</v>
      </c>
      <c r="G74" s="42">
        <v>0</v>
      </c>
      <c r="H74" s="42">
        <v>0</v>
      </c>
      <c r="I74" s="44">
        <v>0</v>
      </c>
      <c r="J74" s="43">
        <f t="shared" si="8"/>
        <v>61</v>
      </c>
      <c r="K74" s="42">
        <f t="shared" si="9"/>
        <v>64</v>
      </c>
      <c r="L74" s="42">
        <f t="shared" si="10"/>
        <v>42</v>
      </c>
      <c r="M74" s="42">
        <f t="shared" si="11"/>
        <v>13</v>
      </c>
      <c r="N74" s="42">
        <f t="shared" si="12"/>
        <v>2</v>
      </c>
      <c r="O74" s="42">
        <f t="shared" si="13"/>
        <v>2</v>
      </c>
      <c r="P74" s="44">
        <f t="shared" si="14"/>
        <v>1</v>
      </c>
      <c r="Q74" s="3"/>
      <c r="R74" s="3"/>
    </row>
    <row r="75" spans="1:18" x14ac:dyDescent="0.3">
      <c r="A75" s="59">
        <v>1948</v>
      </c>
      <c r="B75" s="61">
        <v>0</v>
      </c>
      <c r="C75" s="43">
        <v>0</v>
      </c>
      <c r="D75" s="42">
        <v>0</v>
      </c>
      <c r="E75" s="42">
        <v>0</v>
      </c>
      <c r="F75" s="42">
        <v>0</v>
      </c>
      <c r="G75" s="42">
        <v>0</v>
      </c>
      <c r="H75" s="42">
        <v>0</v>
      </c>
      <c r="I75" s="44">
        <v>0</v>
      </c>
      <c r="J75" s="43">
        <f t="shared" si="8"/>
        <v>61</v>
      </c>
      <c r="K75" s="42">
        <f t="shared" si="9"/>
        <v>64</v>
      </c>
      <c r="L75" s="42">
        <f t="shared" si="10"/>
        <v>42</v>
      </c>
      <c r="M75" s="42">
        <f t="shared" si="11"/>
        <v>13</v>
      </c>
      <c r="N75" s="42">
        <f t="shared" si="12"/>
        <v>2</v>
      </c>
      <c r="O75" s="42">
        <f t="shared" si="13"/>
        <v>2</v>
      </c>
      <c r="P75" s="44">
        <f t="shared" si="14"/>
        <v>1</v>
      </c>
      <c r="Q75" s="3"/>
      <c r="R75" s="3"/>
    </row>
    <row r="76" spans="1:18" x14ac:dyDescent="0.3">
      <c r="A76" s="59">
        <v>1947</v>
      </c>
      <c r="B76" s="61">
        <v>0</v>
      </c>
      <c r="C76" s="43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4">
        <v>0</v>
      </c>
      <c r="J76" s="43">
        <f t="shared" si="8"/>
        <v>61</v>
      </c>
      <c r="K76" s="42">
        <f t="shared" si="9"/>
        <v>64</v>
      </c>
      <c r="L76" s="42">
        <f t="shared" si="10"/>
        <v>42</v>
      </c>
      <c r="M76" s="42">
        <f t="shared" si="11"/>
        <v>13</v>
      </c>
      <c r="N76" s="42">
        <f t="shared" si="12"/>
        <v>2</v>
      </c>
      <c r="O76" s="42">
        <f t="shared" si="13"/>
        <v>2</v>
      </c>
      <c r="P76" s="44">
        <f t="shared" si="14"/>
        <v>1</v>
      </c>
      <c r="Q76" s="3"/>
      <c r="R76" s="3"/>
    </row>
    <row r="77" spans="1:18" x14ac:dyDescent="0.3">
      <c r="A77" s="59">
        <v>1946</v>
      </c>
      <c r="B77" s="61">
        <v>0</v>
      </c>
      <c r="C77" s="43">
        <v>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4">
        <v>0</v>
      </c>
      <c r="J77" s="43">
        <f t="shared" si="8"/>
        <v>61</v>
      </c>
      <c r="K77" s="42">
        <f t="shared" si="9"/>
        <v>64</v>
      </c>
      <c r="L77" s="42">
        <f t="shared" si="10"/>
        <v>42</v>
      </c>
      <c r="M77" s="42">
        <f t="shared" si="11"/>
        <v>13</v>
      </c>
      <c r="N77" s="42">
        <f t="shared" si="12"/>
        <v>2</v>
      </c>
      <c r="O77" s="42">
        <f t="shared" si="13"/>
        <v>2</v>
      </c>
      <c r="P77" s="44">
        <f t="shared" si="14"/>
        <v>1</v>
      </c>
      <c r="Q77" s="3"/>
      <c r="R77" s="3"/>
    </row>
    <row r="78" spans="1:18" x14ac:dyDescent="0.3">
      <c r="A78" s="59">
        <v>1945</v>
      </c>
      <c r="B78" s="61">
        <v>0</v>
      </c>
      <c r="C78" s="43">
        <v>0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4">
        <v>0</v>
      </c>
      <c r="J78" s="43">
        <f t="shared" si="8"/>
        <v>61</v>
      </c>
      <c r="K78" s="42">
        <f t="shared" si="9"/>
        <v>64</v>
      </c>
      <c r="L78" s="42">
        <f t="shared" si="10"/>
        <v>42</v>
      </c>
      <c r="M78" s="42">
        <f t="shared" si="11"/>
        <v>13</v>
      </c>
      <c r="N78" s="42">
        <f t="shared" si="12"/>
        <v>2</v>
      </c>
      <c r="O78" s="42">
        <f t="shared" si="13"/>
        <v>2</v>
      </c>
      <c r="P78" s="44">
        <f t="shared" si="14"/>
        <v>1</v>
      </c>
      <c r="Q78" s="3"/>
      <c r="R78" s="3"/>
    </row>
    <row r="79" spans="1:18" x14ac:dyDescent="0.3">
      <c r="A79" s="59">
        <v>1944</v>
      </c>
      <c r="B79" s="61">
        <v>0</v>
      </c>
      <c r="C79" s="43">
        <v>0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4">
        <v>0</v>
      </c>
      <c r="J79" s="43">
        <f t="shared" si="8"/>
        <v>61</v>
      </c>
      <c r="K79" s="42">
        <f t="shared" si="9"/>
        <v>64</v>
      </c>
      <c r="L79" s="42">
        <f t="shared" si="10"/>
        <v>42</v>
      </c>
      <c r="M79" s="42">
        <f t="shared" si="11"/>
        <v>13</v>
      </c>
      <c r="N79" s="42">
        <f t="shared" si="12"/>
        <v>2</v>
      </c>
      <c r="O79" s="42">
        <f t="shared" si="13"/>
        <v>2</v>
      </c>
      <c r="P79" s="44">
        <f t="shared" si="14"/>
        <v>1</v>
      </c>
      <c r="Q79" s="3"/>
      <c r="R79" s="3"/>
    </row>
    <row r="80" spans="1:18" x14ac:dyDescent="0.3">
      <c r="A80" s="59">
        <v>1943</v>
      </c>
      <c r="B80" s="61">
        <v>0</v>
      </c>
      <c r="C80" s="43">
        <v>0</v>
      </c>
      <c r="D80" s="42">
        <v>0</v>
      </c>
      <c r="E80" s="42">
        <v>0</v>
      </c>
      <c r="F80" s="42">
        <v>0</v>
      </c>
      <c r="G80" s="42">
        <v>0</v>
      </c>
      <c r="H80" s="42">
        <v>0</v>
      </c>
      <c r="I80" s="44">
        <v>0</v>
      </c>
      <c r="J80" s="43">
        <f t="shared" si="8"/>
        <v>61</v>
      </c>
      <c r="K80" s="42">
        <f t="shared" si="9"/>
        <v>64</v>
      </c>
      <c r="L80" s="42">
        <f t="shared" si="10"/>
        <v>42</v>
      </c>
      <c r="M80" s="42">
        <f t="shared" si="11"/>
        <v>13</v>
      </c>
      <c r="N80" s="42">
        <f t="shared" si="12"/>
        <v>2</v>
      </c>
      <c r="O80" s="42">
        <f t="shared" si="13"/>
        <v>2</v>
      </c>
      <c r="P80" s="44">
        <f t="shared" si="14"/>
        <v>1</v>
      </c>
      <c r="Q80" s="3"/>
      <c r="R80" s="3"/>
    </row>
    <row r="81" spans="1:18" x14ac:dyDescent="0.3">
      <c r="A81" s="59">
        <v>1942</v>
      </c>
      <c r="B81" s="61">
        <v>0</v>
      </c>
      <c r="C81" s="43">
        <v>0</v>
      </c>
      <c r="D81" s="42">
        <v>0</v>
      </c>
      <c r="E81" s="42">
        <v>0</v>
      </c>
      <c r="F81" s="42">
        <v>0</v>
      </c>
      <c r="G81" s="42">
        <v>0</v>
      </c>
      <c r="H81" s="42">
        <v>0</v>
      </c>
      <c r="I81" s="44">
        <v>0</v>
      </c>
      <c r="J81" s="43">
        <f t="shared" si="8"/>
        <v>61</v>
      </c>
      <c r="K81" s="42">
        <f t="shared" si="9"/>
        <v>64</v>
      </c>
      <c r="L81" s="42">
        <f t="shared" si="10"/>
        <v>42</v>
      </c>
      <c r="M81" s="42">
        <f t="shared" si="11"/>
        <v>13</v>
      </c>
      <c r="N81" s="42">
        <f t="shared" si="12"/>
        <v>2</v>
      </c>
      <c r="O81" s="42">
        <f t="shared" si="13"/>
        <v>2</v>
      </c>
      <c r="P81" s="44">
        <f t="shared" si="14"/>
        <v>1</v>
      </c>
      <c r="Q81" s="3"/>
      <c r="R81" s="3"/>
    </row>
    <row r="82" spans="1:18" x14ac:dyDescent="0.3">
      <c r="A82" s="59">
        <v>1941</v>
      </c>
      <c r="B82" s="61">
        <v>0</v>
      </c>
      <c r="C82" s="43">
        <v>0</v>
      </c>
      <c r="D82" s="42">
        <v>0</v>
      </c>
      <c r="E82" s="42">
        <v>0</v>
      </c>
      <c r="F82" s="42">
        <v>0</v>
      </c>
      <c r="G82" s="42">
        <v>0</v>
      </c>
      <c r="H82" s="42">
        <v>0</v>
      </c>
      <c r="I82" s="44">
        <v>0</v>
      </c>
      <c r="J82" s="43">
        <f t="shared" si="8"/>
        <v>61</v>
      </c>
      <c r="K82" s="42">
        <f t="shared" si="9"/>
        <v>64</v>
      </c>
      <c r="L82" s="42">
        <f t="shared" si="10"/>
        <v>42</v>
      </c>
      <c r="M82" s="42">
        <f t="shared" si="11"/>
        <v>13</v>
      </c>
      <c r="N82" s="42">
        <f t="shared" si="12"/>
        <v>2</v>
      </c>
      <c r="O82" s="42">
        <f t="shared" si="13"/>
        <v>2</v>
      </c>
      <c r="P82" s="44">
        <f t="shared" si="14"/>
        <v>1</v>
      </c>
      <c r="Q82" s="3"/>
      <c r="R82" s="3"/>
    </row>
    <row r="83" spans="1:18" x14ac:dyDescent="0.3">
      <c r="A83" s="59">
        <v>1940</v>
      </c>
      <c r="B83" s="61">
        <v>0</v>
      </c>
      <c r="C83" s="43">
        <v>0</v>
      </c>
      <c r="D83" s="42">
        <v>0</v>
      </c>
      <c r="E83" s="42">
        <v>0</v>
      </c>
      <c r="F83" s="42">
        <v>0</v>
      </c>
      <c r="G83" s="42">
        <v>0</v>
      </c>
      <c r="H83" s="42">
        <v>0</v>
      </c>
      <c r="I83" s="44">
        <v>0</v>
      </c>
      <c r="J83" s="43">
        <f t="shared" si="8"/>
        <v>61</v>
      </c>
      <c r="K83" s="42">
        <f t="shared" si="9"/>
        <v>64</v>
      </c>
      <c r="L83" s="42">
        <f t="shared" si="10"/>
        <v>42</v>
      </c>
      <c r="M83" s="42">
        <f t="shared" si="11"/>
        <v>13</v>
      </c>
      <c r="N83" s="42">
        <f t="shared" si="12"/>
        <v>2</v>
      </c>
      <c r="O83" s="42">
        <f t="shared" si="13"/>
        <v>2</v>
      </c>
      <c r="P83" s="44">
        <f t="shared" si="14"/>
        <v>1</v>
      </c>
      <c r="Q83" s="3"/>
      <c r="R83" s="3"/>
    </row>
    <row r="84" spans="1:18" x14ac:dyDescent="0.3">
      <c r="A84" s="59">
        <v>1939</v>
      </c>
      <c r="B84" s="61">
        <v>0</v>
      </c>
      <c r="C84" s="43">
        <v>0</v>
      </c>
      <c r="D84" s="42">
        <v>0</v>
      </c>
      <c r="E84" s="42">
        <v>0</v>
      </c>
      <c r="F84" s="42">
        <v>0</v>
      </c>
      <c r="G84" s="42">
        <v>0</v>
      </c>
      <c r="H84" s="42">
        <v>0</v>
      </c>
      <c r="I84" s="44">
        <v>0</v>
      </c>
      <c r="J84" s="43">
        <f t="shared" si="8"/>
        <v>61</v>
      </c>
      <c r="K84" s="42">
        <f t="shared" si="9"/>
        <v>64</v>
      </c>
      <c r="L84" s="42">
        <f t="shared" si="10"/>
        <v>42</v>
      </c>
      <c r="M84" s="42">
        <f t="shared" si="11"/>
        <v>13</v>
      </c>
      <c r="N84" s="42">
        <f t="shared" si="12"/>
        <v>2</v>
      </c>
      <c r="O84" s="42">
        <f t="shared" si="13"/>
        <v>2</v>
      </c>
      <c r="P84" s="44">
        <f t="shared" si="14"/>
        <v>1</v>
      </c>
      <c r="Q84" s="3"/>
      <c r="R84" s="3"/>
    </row>
    <row r="85" spans="1:18" x14ac:dyDescent="0.3">
      <c r="A85" s="59">
        <v>1938</v>
      </c>
      <c r="B85" s="61">
        <v>6.2</v>
      </c>
      <c r="C85" s="43">
        <v>0</v>
      </c>
      <c r="D85" s="42">
        <v>0</v>
      </c>
      <c r="E85" s="42">
        <v>0</v>
      </c>
      <c r="F85" s="42">
        <v>0</v>
      </c>
      <c r="G85" s="42">
        <v>0</v>
      </c>
      <c r="H85" s="42">
        <v>1</v>
      </c>
      <c r="I85" s="44">
        <v>0</v>
      </c>
      <c r="J85" s="43">
        <f t="shared" si="8"/>
        <v>61</v>
      </c>
      <c r="K85" s="42">
        <f t="shared" si="9"/>
        <v>64</v>
      </c>
      <c r="L85" s="42">
        <f t="shared" si="10"/>
        <v>42</v>
      </c>
      <c r="M85" s="42">
        <f t="shared" si="11"/>
        <v>13</v>
      </c>
      <c r="N85" s="42">
        <f t="shared" si="12"/>
        <v>2</v>
      </c>
      <c r="O85" s="42">
        <f t="shared" si="13"/>
        <v>3</v>
      </c>
      <c r="P85" s="44">
        <f t="shared" si="14"/>
        <v>1</v>
      </c>
      <c r="Q85" s="3"/>
      <c r="R85" s="3"/>
    </row>
    <row r="86" spans="1:18" x14ac:dyDescent="0.3">
      <c r="A86" s="59">
        <v>1937</v>
      </c>
      <c r="B86" s="61">
        <v>0</v>
      </c>
      <c r="C86" s="43">
        <v>0</v>
      </c>
      <c r="D86" s="42">
        <v>0</v>
      </c>
      <c r="E86" s="42">
        <v>0</v>
      </c>
      <c r="F86" s="42">
        <v>0</v>
      </c>
      <c r="G86" s="42">
        <v>0</v>
      </c>
      <c r="H86" s="42">
        <v>0</v>
      </c>
      <c r="I86" s="44">
        <v>0</v>
      </c>
      <c r="J86" s="43">
        <f t="shared" si="8"/>
        <v>61</v>
      </c>
      <c r="K86" s="42">
        <f t="shared" si="9"/>
        <v>64</v>
      </c>
      <c r="L86" s="42">
        <f t="shared" si="10"/>
        <v>42</v>
      </c>
      <c r="M86" s="42">
        <f t="shared" si="11"/>
        <v>13</v>
      </c>
      <c r="N86" s="42">
        <f t="shared" si="12"/>
        <v>2</v>
      </c>
      <c r="O86" s="42">
        <f t="shared" si="13"/>
        <v>3</v>
      </c>
      <c r="P86" s="44">
        <f t="shared" si="14"/>
        <v>1</v>
      </c>
      <c r="Q86" s="3"/>
      <c r="R86" s="3"/>
    </row>
    <row r="87" spans="1:18" x14ac:dyDescent="0.3">
      <c r="A87" s="59">
        <v>1936</v>
      </c>
      <c r="B87" s="61">
        <v>0</v>
      </c>
      <c r="C87" s="43">
        <v>0</v>
      </c>
      <c r="D87" s="42">
        <v>0</v>
      </c>
      <c r="E87" s="42">
        <v>0</v>
      </c>
      <c r="F87" s="42">
        <v>0</v>
      </c>
      <c r="G87" s="42">
        <v>0</v>
      </c>
      <c r="H87" s="42">
        <v>0</v>
      </c>
      <c r="I87" s="44">
        <v>0</v>
      </c>
      <c r="J87" s="43">
        <f t="shared" si="8"/>
        <v>61</v>
      </c>
      <c r="K87" s="42">
        <f t="shared" si="9"/>
        <v>64</v>
      </c>
      <c r="L87" s="42">
        <f t="shared" si="10"/>
        <v>42</v>
      </c>
      <c r="M87" s="42">
        <f t="shared" si="11"/>
        <v>13</v>
      </c>
      <c r="N87" s="42">
        <f t="shared" si="12"/>
        <v>2</v>
      </c>
      <c r="O87" s="42">
        <f t="shared" si="13"/>
        <v>3</v>
      </c>
      <c r="P87" s="44">
        <f t="shared" si="14"/>
        <v>1</v>
      </c>
      <c r="Q87" s="3"/>
      <c r="R87" s="3"/>
    </row>
    <row r="88" spans="1:18" x14ac:dyDescent="0.3">
      <c r="A88" s="59">
        <v>1935</v>
      </c>
      <c r="B88" s="61">
        <v>0</v>
      </c>
      <c r="C88" s="43">
        <v>0</v>
      </c>
      <c r="D88" s="42">
        <v>0</v>
      </c>
      <c r="E88" s="42">
        <v>0</v>
      </c>
      <c r="F88" s="42">
        <v>0</v>
      </c>
      <c r="G88" s="42">
        <v>0</v>
      </c>
      <c r="H88" s="42">
        <v>0</v>
      </c>
      <c r="I88" s="44">
        <v>0</v>
      </c>
      <c r="J88" s="43">
        <f t="shared" si="8"/>
        <v>61</v>
      </c>
      <c r="K88" s="42">
        <f t="shared" si="9"/>
        <v>64</v>
      </c>
      <c r="L88" s="42">
        <f t="shared" si="10"/>
        <v>42</v>
      </c>
      <c r="M88" s="42">
        <f t="shared" si="11"/>
        <v>13</v>
      </c>
      <c r="N88" s="42">
        <f t="shared" si="12"/>
        <v>2</v>
      </c>
      <c r="O88" s="42">
        <f t="shared" si="13"/>
        <v>3</v>
      </c>
      <c r="P88" s="44">
        <f t="shared" si="14"/>
        <v>1</v>
      </c>
      <c r="Q88" s="3"/>
      <c r="R88" s="3"/>
    </row>
    <row r="89" spans="1:18" x14ac:dyDescent="0.3">
      <c r="A89" s="59">
        <v>1934</v>
      </c>
      <c r="B89" s="61">
        <v>0</v>
      </c>
      <c r="C89" s="43">
        <v>0</v>
      </c>
      <c r="D89" s="42">
        <v>0</v>
      </c>
      <c r="E89" s="42">
        <v>0</v>
      </c>
      <c r="F89" s="42">
        <v>0</v>
      </c>
      <c r="G89" s="42">
        <v>0</v>
      </c>
      <c r="H89" s="42">
        <v>0</v>
      </c>
      <c r="I89" s="44">
        <v>0</v>
      </c>
      <c r="J89" s="43">
        <f t="shared" si="8"/>
        <v>61</v>
      </c>
      <c r="K89" s="42">
        <f t="shared" si="9"/>
        <v>64</v>
      </c>
      <c r="L89" s="42">
        <f t="shared" si="10"/>
        <v>42</v>
      </c>
      <c r="M89" s="42">
        <f t="shared" si="11"/>
        <v>13</v>
      </c>
      <c r="N89" s="42">
        <f t="shared" si="12"/>
        <v>2</v>
      </c>
      <c r="O89" s="42">
        <f t="shared" si="13"/>
        <v>3</v>
      </c>
      <c r="P89" s="44">
        <f t="shared" si="14"/>
        <v>1</v>
      </c>
      <c r="Q89" s="3"/>
      <c r="R89" s="3"/>
    </row>
    <row r="90" spans="1:18" x14ac:dyDescent="0.3">
      <c r="A90" s="59">
        <v>1933</v>
      </c>
      <c r="B90" s="61">
        <v>0</v>
      </c>
      <c r="C90" s="43">
        <v>0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4">
        <v>0</v>
      </c>
      <c r="J90" s="43">
        <f t="shared" si="8"/>
        <v>61</v>
      </c>
      <c r="K90" s="42">
        <f t="shared" si="9"/>
        <v>64</v>
      </c>
      <c r="L90" s="42">
        <f t="shared" si="10"/>
        <v>42</v>
      </c>
      <c r="M90" s="42">
        <f t="shared" si="11"/>
        <v>13</v>
      </c>
      <c r="N90" s="42">
        <f t="shared" si="12"/>
        <v>2</v>
      </c>
      <c r="O90" s="42">
        <f t="shared" si="13"/>
        <v>3</v>
      </c>
      <c r="P90" s="44">
        <f t="shared" si="14"/>
        <v>1</v>
      </c>
      <c r="Q90" s="3"/>
      <c r="R90" s="3"/>
    </row>
    <row r="91" spans="1:18" x14ac:dyDescent="0.3">
      <c r="A91" s="59">
        <v>1932</v>
      </c>
      <c r="B91" s="61">
        <v>0</v>
      </c>
      <c r="C91" s="43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4">
        <v>0</v>
      </c>
      <c r="J91" s="43">
        <f t="shared" si="8"/>
        <v>61</v>
      </c>
      <c r="K91" s="42">
        <f t="shared" si="9"/>
        <v>64</v>
      </c>
      <c r="L91" s="42">
        <f t="shared" si="10"/>
        <v>42</v>
      </c>
      <c r="M91" s="42">
        <f t="shared" si="11"/>
        <v>13</v>
      </c>
      <c r="N91" s="42">
        <f t="shared" si="12"/>
        <v>2</v>
      </c>
      <c r="O91" s="42">
        <f t="shared" si="13"/>
        <v>3</v>
      </c>
      <c r="P91" s="44">
        <f t="shared" si="14"/>
        <v>1</v>
      </c>
      <c r="Q91" s="3"/>
      <c r="R91" s="3"/>
    </row>
    <row r="92" spans="1:18" x14ac:dyDescent="0.3">
      <c r="A92" s="59">
        <v>1931</v>
      </c>
      <c r="B92" s="61">
        <v>0</v>
      </c>
      <c r="C92" s="43">
        <v>0</v>
      </c>
      <c r="D92" s="42">
        <v>0</v>
      </c>
      <c r="E92" s="42">
        <v>0</v>
      </c>
      <c r="F92" s="42">
        <v>0</v>
      </c>
      <c r="G92" s="42">
        <v>0</v>
      </c>
      <c r="H92" s="42">
        <v>0</v>
      </c>
      <c r="I92" s="44">
        <v>0</v>
      </c>
      <c r="J92" s="43">
        <f t="shared" si="8"/>
        <v>61</v>
      </c>
      <c r="K92" s="42">
        <f t="shared" si="9"/>
        <v>64</v>
      </c>
      <c r="L92" s="42">
        <f t="shared" si="10"/>
        <v>42</v>
      </c>
      <c r="M92" s="42">
        <f t="shared" si="11"/>
        <v>13</v>
      </c>
      <c r="N92" s="42">
        <f t="shared" si="12"/>
        <v>2</v>
      </c>
      <c r="O92" s="42">
        <f t="shared" si="13"/>
        <v>3</v>
      </c>
      <c r="P92" s="44">
        <f t="shared" si="14"/>
        <v>1</v>
      </c>
      <c r="Q92" s="3"/>
      <c r="R92" s="3"/>
    </row>
    <row r="93" spans="1:18" x14ac:dyDescent="0.3">
      <c r="A93" s="59">
        <v>1930</v>
      </c>
      <c r="B93" s="61">
        <v>5.5</v>
      </c>
      <c r="C93" s="43">
        <v>0</v>
      </c>
      <c r="D93" s="42">
        <v>0</v>
      </c>
      <c r="E93" s="42">
        <v>0</v>
      </c>
      <c r="F93" s="42">
        <v>0</v>
      </c>
      <c r="G93" s="42">
        <v>1</v>
      </c>
      <c r="H93" s="42">
        <v>0</v>
      </c>
      <c r="I93" s="44">
        <v>0</v>
      </c>
      <c r="J93" s="43">
        <f t="shared" si="8"/>
        <v>61</v>
      </c>
      <c r="K93" s="42">
        <f t="shared" si="9"/>
        <v>64</v>
      </c>
      <c r="L93" s="42">
        <f t="shared" si="10"/>
        <v>42</v>
      </c>
      <c r="M93" s="42">
        <f t="shared" si="11"/>
        <v>13</v>
      </c>
      <c r="N93" s="42">
        <f t="shared" si="12"/>
        <v>3</v>
      </c>
      <c r="O93" s="42">
        <f t="shared" si="13"/>
        <v>3</v>
      </c>
      <c r="P93" s="44">
        <f t="shared" si="14"/>
        <v>1</v>
      </c>
      <c r="Q93" s="3"/>
      <c r="R93" s="3"/>
    </row>
    <row r="94" spans="1:18" x14ac:dyDescent="0.3">
      <c r="A94" s="59">
        <v>1929</v>
      </c>
      <c r="B94" s="61">
        <v>5.5</v>
      </c>
      <c r="C94" s="43">
        <v>0</v>
      </c>
      <c r="D94" s="42">
        <v>0</v>
      </c>
      <c r="E94" s="42">
        <v>0</v>
      </c>
      <c r="F94" s="42">
        <v>0</v>
      </c>
      <c r="G94" s="42">
        <v>1</v>
      </c>
      <c r="H94" s="42">
        <v>0</v>
      </c>
      <c r="I94" s="44">
        <v>0</v>
      </c>
      <c r="J94" s="43">
        <f t="shared" si="8"/>
        <v>61</v>
      </c>
      <c r="K94" s="42">
        <f t="shared" si="9"/>
        <v>64</v>
      </c>
      <c r="L94" s="42">
        <f t="shared" si="10"/>
        <v>42</v>
      </c>
      <c r="M94" s="42">
        <f t="shared" si="11"/>
        <v>13</v>
      </c>
      <c r="N94" s="42">
        <f t="shared" si="12"/>
        <v>4</v>
      </c>
      <c r="O94" s="42">
        <f t="shared" si="13"/>
        <v>3</v>
      </c>
      <c r="P94" s="44">
        <f t="shared" si="14"/>
        <v>1</v>
      </c>
      <c r="Q94" s="3"/>
      <c r="R94" s="3"/>
    </row>
    <row r="95" spans="1:18" x14ac:dyDescent="0.3">
      <c r="A95" s="59">
        <v>1928</v>
      </c>
      <c r="B95" s="61">
        <v>0</v>
      </c>
      <c r="C95" s="43">
        <v>0</v>
      </c>
      <c r="D95" s="42">
        <v>0</v>
      </c>
      <c r="E95" s="42">
        <v>0</v>
      </c>
      <c r="F95" s="42">
        <v>0</v>
      </c>
      <c r="G95" s="42">
        <v>0</v>
      </c>
      <c r="H95" s="42">
        <v>0</v>
      </c>
      <c r="I95" s="44">
        <v>0</v>
      </c>
      <c r="J95" s="43">
        <f t="shared" si="8"/>
        <v>61</v>
      </c>
      <c r="K95" s="42">
        <f t="shared" si="9"/>
        <v>64</v>
      </c>
      <c r="L95" s="42">
        <f t="shared" si="10"/>
        <v>42</v>
      </c>
      <c r="M95" s="42">
        <f t="shared" si="11"/>
        <v>13</v>
      </c>
      <c r="N95" s="42">
        <f t="shared" si="12"/>
        <v>4</v>
      </c>
      <c r="O95" s="42">
        <f t="shared" si="13"/>
        <v>3</v>
      </c>
      <c r="P95" s="44">
        <f t="shared" si="14"/>
        <v>1</v>
      </c>
      <c r="Q95" s="3"/>
      <c r="R95" s="3"/>
    </row>
    <row r="96" spans="1:18" x14ac:dyDescent="0.3">
      <c r="A96" s="59">
        <v>1927</v>
      </c>
      <c r="B96" s="61">
        <v>0</v>
      </c>
      <c r="C96" s="43">
        <v>0</v>
      </c>
      <c r="D96" s="42">
        <v>0</v>
      </c>
      <c r="E96" s="42">
        <v>0</v>
      </c>
      <c r="F96" s="42">
        <v>0</v>
      </c>
      <c r="G96" s="42">
        <v>0</v>
      </c>
      <c r="H96" s="42">
        <v>0</v>
      </c>
      <c r="I96" s="44">
        <v>0</v>
      </c>
      <c r="J96" s="43">
        <f t="shared" si="8"/>
        <v>61</v>
      </c>
      <c r="K96" s="42">
        <f t="shared" si="9"/>
        <v>64</v>
      </c>
      <c r="L96" s="42">
        <f t="shared" si="10"/>
        <v>42</v>
      </c>
      <c r="M96" s="42">
        <f t="shared" si="11"/>
        <v>13</v>
      </c>
      <c r="N96" s="42">
        <f t="shared" si="12"/>
        <v>4</v>
      </c>
      <c r="O96" s="42">
        <f t="shared" si="13"/>
        <v>3</v>
      </c>
      <c r="P96" s="44">
        <f t="shared" si="14"/>
        <v>1</v>
      </c>
      <c r="Q96" s="3"/>
      <c r="R96" s="3"/>
    </row>
    <row r="97" spans="1:18" x14ac:dyDescent="0.3">
      <c r="A97" s="59">
        <v>1926</v>
      </c>
      <c r="B97" s="61">
        <v>5.5</v>
      </c>
      <c r="C97" s="43">
        <v>0</v>
      </c>
      <c r="D97" s="42">
        <v>0</v>
      </c>
      <c r="E97" s="42">
        <v>0</v>
      </c>
      <c r="F97" s="42">
        <v>0</v>
      </c>
      <c r="G97" s="42">
        <v>1</v>
      </c>
      <c r="H97" s="42">
        <v>0</v>
      </c>
      <c r="I97" s="44">
        <v>0</v>
      </c>
      <c r="J97" s="43">
        <f t="shared" si="8"/>
        <v>61</v>
      </c>
      <c r="K97" s="42">
        <f t="shared" si="9"/>
        <v>64</v>
      </c>
      <c r="L97" s="42">
        <f t="shared" si="10"/>
        <v>42</v>
      </c>
      <c r="M97" s="42">
        <f t="shared" si="11"/>
        <v>13</v>
      </c>
      <c r="N97" s="42">
        <f t="shared" si="12"/>
        <v>5</v>
      </c>
      <c r="O97" s="42">
        <f t="shared" si="13"/>
        <v>3</v>
      </c>
      <c r="P97" s="44">
        <f t="shared" si="14"/>
        <v>1</v>
      </c>
      <c r="Q97" s="3"/>
      <c r="R97" s="3"/>
    </row>
    <row r="98" spans="1:18" x14ac:dyDescent="0.3">
      <c r="A98" s="59">
        <v>1925</v>
      </c>
      <c r="B98" s="61">
        <v>0</v>
      </c>
      <c r="C98" s="43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44">
        <v>0</v>
      </c>
      <c r="J98" s="43">
        <f t="shared" si="8"/>
        <v>61</v>
      </c>
      <c r="K98" s="42">
        <f t="shared" si="9"/>
        <v>64</v>
      </c>
      <c r="L98" s="42">
        <f t="shared" si="10"/>
        <v>42</v>
      </c>
      <c r="M98" s="42">
        <f t="shared" si="11"/>
        <v>13</v>
      </c>
      <c r="N98" s="42">
        <f t="shared" si="12"/>
        <v>5</v>
      </c>
      <c r="O98" s="42">
        <f t="shared" si="13"/>
        <v>3</v>
      </c>
      <c r="P98" s="44">
        <f t="shared" si="14"/>
        <v>1</v>
      </c>
      <c r="Q98" s="3"/>
      <c r="R98" s="3"/>
    </row>
    <row r="99" spans="1:18" x14ac:dyDescent="0.3">
      <c r="A99" s="59">
        <v>1924</v>
      </c>
      <c r="B99" s="61">
        <v>0</v>
      </c>
      <c r="C99" s="43">
        <v>0</v>
      </c>
      <c r="D99" s="42">
        <v>0</v>
      </c>
      <c r="E99" s="42">
        <v>0</v>
      </c>
      <c r="F99" s="42">
        <v>0</v>
      </c>
      <c r="G99" s="42">
        <v>0</v>
      </c>
      <c r="H99" s="42">
        <v>0</v>
      </c>
      <c r="I99" s="44">
        <v>0</v>
      </c>
      <c r="J99" s="43">
        <f t="shared" si="8"/>
        <v>61</v>
      </c>
      <c r="K99" s="42">
        <f t="shared" si="9"/>
        <v>64</v>
      </c>
      <c r="L99" s="42">
        <f t="shared" si="10"/>
        <v>42</v>
      </c>
      <c r="M99" s="42">
        <f t="shared" si="11"/>
        <v>13</v>
      </c>
      <c r="N99" s="42">
        <f t="shared" si="12"/>
        <v>5</v>
      </c>
      <c r="O99" s="42">
        <f t="shared" si="13"/>
        <v>3</v>
      </c>
      <c r="P99" s="44">
        <f t="shared" si="14"/>
        <v>1</v>
      </c>
      <c r="Q99" s="3"/>
      <c r="R99" s="3"/>
    </row>
    <row r="100" spans="1:18" x14ac:dyDescent="0.3">
      <c r="A100" s="59">
        <v>1923</v>
      </c>
      <c r="B100" s="61">
        <v>0</v>
      </c>
      <c r="C100" s="43">
        <v>0</v>
      </c>
      <c r="D100" s="42">
        <v>0</v>
      </c>
      <c r="E100" s="42">
        <v>0</v>
      </c>
      <c r="F100" s="42">
        <v>0</v>
      </c>
      <c r="G100" s="42">
        <v>0</v>
      </c>
      <c r="H100" s="42">
        <v>0</v>
      </c>
      <c r="I100" s="44">
        <v>0</v>
      </c>
      <c r="J100" s="43">
        <f t="shared" si="8"/>
        <v>61</v>
      </c>
      <c r="K100" s="42">
        <f t="shared" si="9"/>
        <v>64</v>
      </c>
      <c r="L100" s="42">
        <f t="shared" si="10"/>
        <v>42</v>
      </c>
      <c r="M100" s="42">
        <f t="shared" si="11"/>
        <v>13</v>
      </c>
      <c r="N100" s="42">
        <f t="shared" si="12"/>
        <v>5</v>
      </c>
      <c r="O100" s="42">
        <f t="shared" si="13"/>
        <v>3</v>
      </c>
      <c r="P100" s="44">
        <f t="shared" si="14"/>
        <v>1</v>
      </c>
      <c r="Q100" s="3"/>
      <c r="R100" s="3"/>
    </row>
    <row r="101" spans="1:18" x14ac:dyDescent="0.3">
      <c r="A101" s="59">
        <v>1922</v>
      </c>
      <c r="B101" s="61">
        <v>0</v>
      </c>
      <c r="C101" s="43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44">
        <v>0</v>
      </c>
      <c r="J101" s="43">
        <f t="shared" si="8"/>
        <v>61</v>
      </c>
      <c r="K101" s="42">
        <f t="shared" si="9"/>
        <v>64</v>
      </c>
      <c r="L101" s="42">
        <f t="shared" si="10"/>
        <v>42</v>
      </c>
      <c r="M101" s="42">
        <f t="shared" si="11"/>
        <v>13</v>
      </c>
      <c r="N101" s="42">
        <f t="shared" si="12"/>
        <v>5</v>
      </c>
      <c r="O101" s="42">
        <f t="shared" si="13"/>
        <v>3</v>
      </c>
      <c r="P101" s="44">
        <f t="shared" si="14"/>
        <v>1</v>
      </c>
      <c r="Q101" s="3"/>
      <c r="R101" s="3"/>
    </row>
    <row r="102" spans="1:18" x14ac:dyDescent="0.3">
      <c r="A102" s="59">
        <v>1921</v>
      </c>
      <c r="B102" s="61">
        <v>0</v>
      </c>
      <c r="C102" s="43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4">
        <v>0</v>
      </c>
      <c r="J102" s="43">
        <f t="shared" si="8"/>
        <v>61</v>
      </c>
      <c r="K102" s="42">
        <f t="shared" si="9"/>
        <v>64</v>
      </c>
      <c r="L102" s="42">
        <f t="shared" si="10"/>
        <v>42</v>
      </c>
      <c r="M102" s="42">
        <f t="shared" si="11"/>
        <v>13</v>
      </c>
      <c r="N102" s="42">
        <f t="shared" si="12"/>
        <v>5</v>
      </c>
      <c r="O102" s="42">
        <f t="shared" si="13"/>
        <v>3</v>
      </c>
      <c r="P102" s="44">
        <f t="shared" si="14"/>
        <v>1</v>
      </c>
      <c r="Q102" s="3"/>
      <c r="R102" s="3"/>
    </row>
    <row r="103" spans="1:18" x14ac:dyDescent="0.3">
      <c r="A103" s="59">
        <v>1920</v>
      </c>
      <c r="B103" s="61">
        <v>0</v>
      </c>
      <c r="C103" s="43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  <c r="I103" s="44">
        <v>0</v>
      </c>
      <c r="J103" s="43">
        <f t="shared" si="8"/>
        <v>61</v>
      </c>
      <c r="K103" s="42">
        <f t="shared" si="9"/>
        <v>64</v>
      </c>
      <c r="L103" s="42">
        <f t="shared" si="10"/>
        <v>42</v>
      </c>
      <c r="M103" s="42">
        <f t="shared" si="11"/>
        <v>13</v>
      </c>
      <c r="N103" s="42">
        <f t="shared" si="12"/>
        <v>5</v>
      </c>
      <c r="O103" s="42">
        <f t="shared" si="13"/>
        <v>3</v>
      </c>
      <c r="P103" s="44">
        <f t="shared" si="14"/>
        <v>1</v>
      </c>
      <c r="Q103" s="3"/>
      <c r="R103" s="3"/>
    </row>
    <row r="104" spans="1:18" x14ac:dyDescent="0.3">
      <c r="A104" s="59">
        <v>1919</v>
      </c>
      <c r="B104" s="61">
        <v>6</v>
      </c>
      <c r="C104" s="43">
        <v>0</v>
      </c>
      <c r="D104" s="42">
        <v>0</v>
      </c>
      <c r="E104" s="42">
        <v>0</v>
      </c>
      <c r="F104" s="42">
        <v>0</v>
      </c>
      <c r="G104" s="42">
        <v>0</v>
      </c>
      <c r="H104" s="42">
        <v>1</v>
      </c>
      <c r="I104" s="44">
        <v>0</v>
      </c>
      <c r="J104" s="43">
        <f t="shared" si="8"/>
        <v>61</v>
      </c>
      <c r="K104" s="42">
        <f t="shared" si="9"/>
        <v>64</v>
      </c>
      <c r="L104" s="42">
        <f t="shared" si="10"/>
        <v>42</v>
      </c>
      <c r="M104" s="42">
        <f t="shared" si="11"/>
        <v>13</v>
      </c>
      <c r="N104" s="42">
        <f t="shared" si="12"/>
        <v>5</v>
      </c>
      <c r="O104" s="42">
        <f t="shared" si="13"/>
        <v>4</v>
      </c>
      <c r="P104" s="44">
        <f t="shared" si="14"/>
        <v>1</v>
      </c>
      <c r="Q104" s="3"/>
      <c r="R104" s="3"/>
    </row>
    <row r="105" spans="1:18" x14ac:dyDescent="0.3">
      <c r="A105" s="59">
        <v>1918</v>
      </c>
      <c r="B105" s="61">
        <v>0</v>
      </c>
      <c r="C105" s="43">
        <v>0</v>
      </c>
      <c r="D105" s="42">
        <v>0</v>
      </c>
      <c r="E105" s="42">
        <v>0</v>
      </c>
      <c r="F105" s="42">
        <v>0</v>
      </c>
      <c r="G105" s="42">
        <v>0</v>
      </c>
      <c r="H105" s="42">
        <v>0</v>
      </c>
      <c r="I105" s="44">
        <v>0</v>
      </c>
      <c r="J105" s="43">
        <f t="shared" si="8"/>
        <v>61</v>
      </c>
      <c r="K105" s="42">
        <f t="shared" si="9"/>
        <v>64</v>
      </c>
      <c r="L105" s="42">
        <f t="shared" si="10"/>
        <v>42</v>
      </c>
      <c r="M105" s="42">
        <f t="shared" si="11"/>
        <v>13</v>
      </c>
      <c r="N105" s="42">
        <f t="shared" si="12"/>
        <v>5</v>
      </c>
      <c r="O105" s="42">
        <f t="shared" si="13"/>
        <v>4</v>
      </c>
      <c r="P105" s="44">
        <f t="shared" si="14"/>
        <v>1</v>
      </c>
      <c r="Q105" s="3"/>
      <c r="R105" s="3"/>
    </row>
    <row r="106" spans="1:18" x14ac:dyDescent="0.3">
      <c r="A106" s="59">
        <v>1917</v>
      </c>
      <c r="B106" s="61">
        <v>0</v>
      </c>
      <c r="C106" s="43">
        <v>0</v>
      </c>
      <c r="D106" s="42">
        <v>0</v>
      </c>
      <c r="E106" s="42">
        <v>0</v>
      </c>
      <c r="F106" s="42">
        <v>0</v>
      </c>
      <c r="G106" s="42">
        <v>0</v>
      </c>
      <c r="H106" s="42">
        <v>0</v>
      </c>
      <c r="I106" s="44">
        <v>0</v>
      </c>
      <c r="J106" s="43">
        <f t="shared" si="8"/>
        <v>61</v>
      </c>
      <c r="K106" s="42">
        <f t="shared" si="9"/>
        <v>64</v>
      </c>
      <c r="L106" s="42">
        <f t="shared" si="10"/>
        <v>42</v>
      </c>
      <c r="M106" s="42">
        <f t="shared" si="11"/>
        <v>13</v>
      </c>
      <c r="N106" s="42">
        <f t="shared" si="12"/>
        <v>5</v>
      </c>
      <c r="O106" s="42">
        <f t="shared" si="13"/>
        <v>4</v>
      </c>
      <c r="P106" s="44">
        <f t="shared" si="14"/>
        <v>1</v>
      </c>
      <c r="Q106" s="3"/>
      <c r="R106" s="3"/>
    </row>
    <row r="107" spans="1:18" x14ac:dyDescent="0.3">
      <c r="A107" s="59">
        <v>1916</v>
      </c>
      <c r="B107" s="61">
        <v>0</v>
      </c>
      <c r="C107" s="43">
        <v>0</v>
      </c>
      <c r="D107" s="42">
        <v>0</v>
      </c>
      <c r="E107" s="42">
        <v>0</v>
      </c>
      <c r="F107" s="42">
        <v>0</v>
      </c>
      <c r="G107" s="42">
        <v>0</v>
      </c>
      <c r="H107" s="42">
        <v>0</v>
      </c>
      <c r="I107" s="44">
        <v>0</v>
      </c>
      <c r="J107" s="43">
        <f t="shared" si="8"/>
        <v>61</v>
      </c>
      <c r="K107" s="42">
        <f t="shared" si="9"/>
        <v>64</v>
      </c>
      <c r="L107" s="42">
        <f t="shared" si="10"/>
        <v>42</v>
      </c>
      <c r="M107" s="42">
        <f t="shared" si="11"/>
        <v>13</v>
      </c>
      <c r="N107" s="42">
        <f t="shared" si="12"/>
        <v>5</v>
      </c>
      <c r="O107" s="42">
        <f t="shared" si="13"/>
        <v>4</v>
      </c>
      <c r="P107" s="44">
        <f t="shared" si="14"/>
        <v>1</v>
      </c>
      <c r="Q107" s="3"/>
      <c r="R107" s="3"/>
    </row>
    <row r="108" spans="1:18" x14ac:dyDescent="0.3">
      <c r="A108" s="59">
        <v>1915</v>
      </c>
      <c r="B108" s="61">
        <v>0</v>
      </c>
      <c r="C108" s="43">
        <v>0</v>
      </c>
      <c r="D108" s="42">
        <v>0</v>
      </c>
      <c r="E108" s="42">
        <v>0</v>
      </c>
      <c r="F108" s="42">
        <v>0</v>
      </c>
      <c r="G108" s="42">
        <v>0</v>
      </c>
      <c r="H108" s="42">
        <v>0</v>
      </c>
      <c r="I108" s="44">
        <v>0</v>
      </c>
      <c r="J108" s="43">
        <f t="shared" si="8"/>
        <v>61</v>
      </c>
      <c r="K108" s="42">
        <f t="shared" si="9"/>
        <v>64</v>
      </c>
      <c r="L108" s="42">
        <f t="shared" si="10"/>
        <v>42</v>
      </c>
      <c r="M108" s="42">
        <f t="shared" si="11"/>
        <v>13</v>
      </c>
      <c r="N108" s="42">
        <f t="shared" si="12"/>
        <v>5</v>
      </c>
      <c r="O108" s="42">
        <f t="shared" si="13"/>
        <v>4</v>
      </c>
      <c r="P108" s="44">
        <f t="shared" si="14"/>
        <v>1</v>
      </c>
      <c r="Q108" s="3"/>
      <c r="R108" s="3"/>
    </row>
    <row r="109" spans="1:18" x14ac:dyDescent="0.3">
      <c r="A109" s="59">
        <v>1914</v>
      </c>
      <c r="B109" s="61">
        <v>0</v>
      </c>
      <c r="C109" s="43">
        <v>0</v>
      </c>
      <c r="D109" s="42">
        <v>0</v>
      </c>
      <c r="E109" s="42">
        <v>0</v>
      </c>
      <c r="F109" s="42">
        <v>0</v>
      </c>
      <c r="G109" s="42">
        <v>0</v>
      </c>
      <c r="H109" s="42">
        <v>0</v>
      </c>
      <c r="I109" s="44">
        <v>0</v>
      </c>
      <c r="J109" s="43">
        <f t="shared" si="8"/>
        <v>61</v>
      </c>
      <c r="K109" s="42">
        <f t="shared" si="9"/>
        <v>64</v>
      </c>
      <c r="L109" s="42">
        <f t="shared" si="10"/>
        <v>42</v>
      </c>
      <c r="M109" s="42">
        <f t="shared" si="11"/>
        <v>13</v>
      </c>
      <c r="N109" s="42">
        <f t="shared" si="12"/>
        <v>5</v>
      </c>
      <c r="O109" s="42">
        <f t="shared" si="13"/>
        <v>4</v>
      </c>
      <c r="P109" s="44">
        <f t="shared" si="14"/>
        <v>1</v>
      </c>
      <c r="Q109" s="3"/>
      <c r="R109" s="3"/>
    </row>
    <row r="110" spans="1:18" x14ac:dyDescent="0.3">
      <c r="A110" s="59">
        <v>1913</v>
      </c>
      <c r="B110" s="61">
        <v>0</v>
      </c>
      <c r="C110" s="43">
        <v>0</v>
      </c>
      <c r="D110" s="42">
        <v>0</v>
      </c>
      <c r="E110" s="42">
        <v>0</v>
      </c>
      <c r="F110" s="42">
        <v>0</v>
      </c>
      <c r="G110" s="42">
        <v>0</v>
      </c>
      <c r="H110" s="42">
        <v>0</v>
      </c>
      <c r="I110" s="44">
        <v>0</v>
      </c>
      <c r="J110" s="43">
        <f t="shared" si="8"/>
        <v>61</v>
      </c>
      <c r="K110" s="42">
        <f t="shared" si="9"/>
        <v>64</v>
      </c>
      <c r="L110" s="42">
        <f t="shared" si="10"/>
        <v>42</v>
      </c>
      <c r="M110" s="42">
        <f t="shared" si="11"/>
        <v>13</v>
      </c>
      <c r="N110" s="42">
        <f t="shared" si="12"/>
        <v>5</v>
      </c>
      <c r="O110" s="42">
        <f t="shared" si="13"/>
        <v>4</v>
      </c>
      <c r="P110" s="44">
        <f t="shared" si="14"/>
        <v>1</v>
      </c>
      <c r="Q110" s="3"/>
      <c r="R110" s="3"/>
    </row>
    <row r="111" spans="1:18" x14ac:dyDescent="0.3">
      <c r="A111" s="59">
        <v>1912</v>
      </c>
      <c r="B111" s="61">
        <v>0</v>
      </c>
      <c r="C111" s="43">
        <v>0</v>
      </c>
      <c r="D111" s="42">
        <v>0</v>
      </c>
      <c r="E111" s="42">
        <v>0</v>
      </c>
      <c r="F111" s="42">
        <v>0</v>
      </c>
      <c r="G111" s="42">
        <v>0</v>
      </c>
      <c r="H111" s="42">
        <v>0</v>
      </c>
      <c r="I111" s="44">
        <v>0</v>
      </c>
      <c r="J111" s="43">
        <f t="shared" si="8"/>
        <v>61</v>
      </c>
      <c r="K111" s="42">
        <f t="shared" si="9"/>
        <v>64</v>
      </c>
      <c r="L111" s="42">
        <f t="shared" si="10"/>
        <v>42</v>
      </c>
      <c r="M111" s="42">
        <f t="shared" si="11"/>
        <v>13</v>
      </c>
      <c r="N111" s="42">
        <f t="shared" si="12"/>
        <v>5</v>
      </c>
      <c r="O111" s="42">
        <f t="shared" si="13"/>
        <v>4</v>
      </c>
      <c r="P111" s="44">
        <f t="shared" si="14"/>
        <v>1</v>
      </c>
      <c r="Q111" s="3"/>
      <c r="R111" s="3"/>
    </row>
    <row r="112" spans="1:18" x14ac:dyDescent="0.3">
      <c r="A112" s="59">
        <v>1911</v>
      </c>
      <c r="B112" s="61">
        <v>0</v>
      </c>
      <c r="C112" s="43">
        <v>0</v>
      </c>
      <c r="D112" s="42">
        <v>0</v>
      </c>
      <c r="E112" s="42">
        <v>0</v>
      </c>
      <c r="F112" s="42">
        <v>0</v>
      </c>
      <c r="G112" s="42">
        <v>0</v>
      </c>
      <c r="H112" s="42">
        <v>0</v>
      </c>
      <c r="I112" s="44">
        <v>0</v>
      </c>
      <c r="J112" s="43">
        <f t="shared" si="8"/>
        <v>61</v>
      </c>
      <c r="K112" s="42">
        <f t="shared" si="9"/>
        <v>64</v>
      </c>
      <c r="L112" s="42">
        <f t="shared" si="10"/>
        <v>42</v>
      </c>
      <c r="M112" s="42">
        <f t="shared" si="11"/>
        <v>13</v>
      </c>
      <c r="N112" s="42">
        <f t="shared" si="12"/>
        <v>5</v>
      </c>
      <c r="O112" s="42">
        <f t="shared" si="13"/>
        <v>4</v>
      </c>
      <c r="P112" s="44">
        <f t="shared" si="14"/>
        <v>1</v>
      </c>
      <c r="Q112" s="3"/>
      <c r="R112" s="3"/>
    </row>
    <row r="113" spans="1:18" x14ac:dyDescent="0.3">
      <c r="A113" s="59">
        <v>1910</v>
      </c>
      <c r="B113" s="61">
        <v>0</v>
      </c>
      <c r="C113" s="43">
        <v>0</v>
      </c>
      <c r="D113" s="42">
        <v>0</v>
      </c>
      <c r="E113" s="42">
        <v>0</v>
      </c>
      <c r="F113" s="42">
        <v>0</v>
      </c>
      <c r="G113" s="42">
        <v>0</v>
      </c>
      <c r="H113" s="42">
        <v>0</v>
      </c>
      <c r="I113" s="44">
        <v>0</v>
      </c>
      <c r="J113" s="43">
        <f t="shared" si="8"/>
        <v>61</v>
      </c>
      <c r="K113" s="42">
        <f t="shared" si="9"/>
        <v>64</v>
      </c>
      <c r="L113" s="42">
        <f t="shared" si="10"/>
        <v>42</v>
      </c>
      <c r="M113" s="42">
        <f t="shared" si="11"/>
        <v>13</v>
      </c>
      <c r="N113" s="42">
        <f t="shared" si="12"/>
        <v>5</v>
      </c>
      <c r="O113" s="42">
        <f t="shared" si="13"/>
        <v>4</v>
      </c>
      <c r="P113" s="44">
        <f t="shared" si="14"/>
        <v>1</v>
      </c>
      <c r="Q113" s="3"/>
      <c r="R113" s="3"/>
    </row>
    <row r="114" spans="1:18" x14ac:dyDescent="0.3">
      <c r="A114" s="59">
        <v>1909</v>
      </c>
      <c r="B114" s="61">
        <v>0</v>
      </c>
      <c r="C114" s="43">
        <v>0</v>
      </c>
      <c r="D114" s="42">
        <v>0</v>
      </c>
      <c r="E114" s="42">
        <v>0</v>
      </c>
      <c r="F114" s="42">
        <v>0</v>
      </c>
      <c r="G114" s="42">
        <v>0</v>
      </c>
      <c r="H114" s="42">
        <v>0</v>
      </c>
      <c r="I114" s="44">
        <v>0</v>
      </c>
      <c r="J114" s="43">
        <f t="shared" si="8"/>
        <v>61</v>
      </c>
      <c r="K114" s="42">
        <f t="shared" si="9"/>
        <v>64</v>
      </c>
      <c r="L114" s="42">
        <f t="shared" si="10"/>
        <v>42</v>
      </c>
      <c r="M114" s="42">
        <f t="shared" si="11"/>
        <v>13</v>
      </c>
      <c r="N114" s="42">
        <f t="shared" si="12"/>
        <v>5</v>
      </c>
      <c r="O114" s="42">
        <f t="shared" si="13"/>
        <v>4</v>
      </c>
      <c r="P114" s="44">
        <f t="shared" si="14"/>
        <v>1</v>
      </c>
      <c r="Q114" s="3"/>
      <c r="R114" s="3"/>
    </row>
    <row r="115" spans="1:18" x14ac:dyDescent="0.3">
      <c r="A115" s="59">
        <v>1908</v>
      </c>
      <c r="B115" s="61">
        <v>0</v>
      </c>
      <c r="C115" s="43">
        <v>0</v>
      </c>
      <c r="D115" s="42">
        <v>0</v>
      </c>
      <c r="E115" s="42">
        <v>0</v>
      </c>
      <c r="F115" s="42">
        <v>0</v>
      </c>
      <c r="G115" s="42">
        <v>0</v>
      </c>
      <c r="H115" s="42">
        <v>0</v>
      </c>
      <c r="I115" s="44">
        <v>0</v>
      </c>
      <c r="J115" s="43">
        <f t="shared" si="8"/>
        <v>61</v>
      </c>
      <c r="K115" s="42">
        <f t="shared" si="9"/>
        <v>64</v>
      </c>
      <c r="L115" s="42">
        <f t="shared" si="10"/>
        <v>42</v>
      </c>
      <c r="M115" s="42">
        <f t="shared" si="11"/>
        <v>13</v>
      </c>
      <c r="N115" s="42">
        <f t="shared" si="12"/>
        <v>5</v>
      </c>
      <c r="O115" s="42">
        <f t="shared" si="13"/>
        <v>4</v>
      </c>
      <c r="P115" s="44">
        <f t="shared" si="14"/>
        <v>1</v>
      </c>
      <c r="Q115" s="3"/>
      <c r="R115" s="3"/>
    </row>
    <row r="116" spans="1:18" x14ac:dyDescent="0.3">
      <c r="A116" s="59">
        <v>1907</v>
      </c>
      <c r="B116" s="61">
        <v>0</v>
      </c>
      <c r="C116" s="43">
        <v>0</v>
      </c>
      <c r="D116" s="42">
        <v>0</v>
      </c>
      <c r="E116" s="42">
        <v>0</v>
      </c>
      <c r="F116" s="42">
        <v>0</v>
      </c>
      <c r="G116" s="42">
        <v>0</v>
      </c>
      <c r="H116" s="42">
        <v>0</v>
      </c>
      <c r="I116" s="44">
        <v>0</v>
      </c>
      <c r="J116" s="43">
        <f t="shared" si="8"/>
        <v>61</v>
      </c>
      <c r="K116" s="42">
        <f t="shared" si="9"/>
        <v>64</v>
      </c>
      <c r="L116" s="42">
        <f t="shared" si="10"/>
        <v>42</v>
      </c>
      <c r="M116" s="42">
        <f t="shared" si="11"/>
        <v>13</v>
      </c>
      <c r="N116" s="42">
        <f t="shared" si="12"/>
        <v>5</v>
      </c>
      <c r="O116" s="42">
        <f t="shared" si="13"/>
        <v>4</v>
      </c>
      <c r="P116" s="44">
        <f t="shared" si="14"/>
        <v>1</v>
      </c>
      <c r="Q116" s="3"/>
      <c r="R116" s="3"/>
    </row>
    <row r="117" spans="1:18" x14ac:dyDescent="0.3">
      <c r="A117" s="59">
        <v>1906</v>
      </c>
      <c r="B117" s="61">
        <v>5</v>
      </c>
      <c r="C117" s="43">
        <v>0</v>
      </c>
      <c r="D117" s="42">
        <v>0</v>
      </c>
      <c r="E117" s="42">
        <v>0</v>
      </c>
      <c r="F117" s="42">
        <v>1</v>
      </c>
      <c r="G117" s="42">
        <v>0</v>
      </c>
      <c r="H117" s="42">
        <v>0</v>
      </c>
      <c r="I117" s="44">
        <v>0</v>
      </c>
      <c r="J117" s="43">
        <f t="shared" si="8"/>
        <v>61</v>
      </c>
      <c r="K117" s="42">
        <f t="shared" si="9"/>
        <v>64</v>
      </c>
      <c r="L117" s="42">
        <f t="shared" si="10"/>
        <v>42</v>
      </c>
      <c r="M117" s="42">
        <f t="shared" si="11"/>
        <v>14</v>
      </c>
      <c r="N117" s="42">
        <f t="shared" si="12"/>
        <v>5</v>
      </c>
      <c r="O117" s="42">
        <f t="shared" si="13"/>
        <v>4</v>
      </c>
      <c r="P117" s="44">
        <f t="shared" si="14"/>
        <v>1</v>
      </c>
      <c r="Q117" s="3"/>
      <c r="R117" s="3"/>
    </row>
    <row r="118" spans="1:18" x14ac:dyDescent="0.3">
      <c r="A118" s="59">
        <v>1905</v>
      </c>
      <c r="B118" s="61">
        <v>0</v>
      </c>
      <c r="C118" s="43">
        <v>0</v>
      </c>
      <c r="D118" s="42">
        <v>0</v>
      </c>
      <c r="E118" s="42">
        <v>0</v>
      </c>
      <c r="F118" s="42">
        <v>0</v>
      </c>
      <c r="G118" s="42">
        <v>0</v>
      </c>
      <c r="H118" s="42">
        <v>0</v>
      </c>
      <c r="I118" s="44">
        <v>0</v>
      </c>
      <c r="J118" s="43">
        <f t="shared" si="8"/>
        <v>61</v>
      </c>
      <c r="K118" s="42">
        <f t="shared" si="9"/>
        <v>64</v>
      </c>
      <c r="L118" s="42">
        <f t="shared" si="10"/>
        <v>42</v>
      </c>
      <c r="M118" s="42">
        <f t="shared" si="11"/>
        <v>14</v>
      </c>
      <c r="N118" s="42">
        <f t="shared" si="12"/>
        <v>5</v>
      </c>
      <c r="O118" s="42">
        <f t="shared" si="13"/>
        <v>4</v>
      </c>
      <c r="P118" s="44">
        <f t="shared" si="14"/>
        <v>1</v>
      </c>
      <c r="Q118" s="3"/>
      <c r="R118" s="3"/>
    </row>
    <row r="119" spans="1:18" x14ac:dyDescent="0.3">
      <c r="A119" s="59">
        <v>1904</v>
      </c>
      <c r="B119" s="61">
        <v>0</v>
      </c>
      <c r="C119" s="43">
        <v>0</v>
      </c>
      <c r="D119" s="42">
        <v>0</v>
      </c>
      <c r="E119" s="42">
        <v>0</v>
      </c>
      <c r="F119" s="42">
        <v>0</v>
      </c>
      <c r="G119" s="42">
        <v>0</v>
      </c>
      <c r="H119" s="42">
        <v>0</v>
      </c>
      <c r="I119" s="44">
        <v>0</v>
      </c>
      <c r="J119" s="43">
        <f t="shared" si="8"/>
        <v>61</v>
      </c>
      <c r="K119" s="42">
        <f t="shared" si="9"/>
        <v>64</v>
      </c>
      <c r="L119" s="42">
        <f t="shared" si="10"/>
        <v>42</v>
      </c>
      <c r="M119" s="42">
        <f t="shared" si="11"/>
        <v>14</v>
      </c>
      <c r="N119" s="42">
        <f t="shared" si="12"/>
        <v>5</v>
      </c>
      <c r="O119" s="42">
        <f t="shared" si="13"/>
        <v>4</v>
      </c>
      <c r="P119" s="44">
        <f t="shared" si="14"/>
        <v>1</v>
      </c>
      <c r="Q119" s="3"/>
      <c r="R119" s="3"/>
    </row>
    <row r="120" spans="1:18" x14ac:dyDescent="0.3">
      <c r="A120" s="59">
        <v>1903</v>
      </c>
      <c r="B120" s="61">
        <v>0</v>
      </c>
      <c r="C120" s="43">
        <v>0</v>
      </c>
      <c r="D120" s="42">
        <v>0</v>
      </c>
      <c r="E120" s="42">
        <v>0</v>
      </c>
      <c r="F120" s="42">
        <v>0</v>
      </c>
      <c r="G120" s="42">
        <v>0</v>
      </c>
      <c r="H120" s="42">
        <v>0</v>
      </c>
      <c r="I120" s="44">
        <v>0</v>
      </c>
      <c r="J120" s="43">
        <f t="shared" si="8"/>
        <v>61</v>
      </c>
      <c r="K120" s="42">
        <f t="shared" si="9"/>
        <v>64</v>
      </c>
      <c r="L120" s="42">
        <f t="shared" si="10"/>
        <v>42</v>
      </c>
      <c r="M120" s="42">
        <f t="shared" si="11"/>
        <v>14</v>
      </c>
      <c r="N120" s="42">
        <f t="shared" si="12"/>
        <v>5</v>
      </c>
      <c r="O120" s="42">
        <f t="shared" si="13"/>
        <v>4</v>
      </c>
      <c r="P120" s="44">
        <f t="shared" si="14"/>
        <v>1</v>
      </c>
      <c r="Q120" s="3"/>
      <c r="R120" s="3"/>
    </row>
    <row r="121" spans="1:18" x14ac:dyDescent="0.3">
      <c r="A121" s="59">
        <v>1902</v>
      </c>
      <c r="B121" s="61">
        <v>0</v>
      </c>
      <c r="C121" s="43">
        <v>0</v>
      </c>
      <c r="D121" s="42">
        <v>0</v>
      </c>
      <c r="E121" s="42">
        <v>0</v>
      </c>
      <c r="F121" s="42">
        <v>0</v>
      </c>
      <c r="G121" s="42">
        <v>0</v>
      </c>
      <c r="H121" s="42">
        <v>0</v>
      </c>
      <c r="I121" s="44">
        <v>0</v>
      </c>
      <c r="J121" s="43">
        <f t="shared" si="8"/>
        <v>61</v>
      </c>
      <c r="K121" s="42">
        <f t="shared" si="9"/>
        <v>64</v>
      </c>
      <c r="L121" s="42">
        <f t="shared" si="10"/>
        <v>42</v>
      </c>
      <c r="M121" s="42">
        <f t="shared" si="11"/>
        <v>14</v>
      </c>
      <c r="N121" s="42">
        <f t="shared" si="12"/>
        <v>5</v>
      </c>
      <c r="O121" s="42">
        <f t="shared" si="13"/>
        <v>4</v>
      </c>
      <c r="P121" s="44">
        <f t="shared" si="14"/>
        <v>1</v>
      </c>
      <c r="Q121" s="3"/>
      <c r="R121" s="3"/>
    </row>
    <row r="122" spans="1:18" x14ac:dyDescent="0.3">
      <c r="A122" s="59">
        <v>1901</v>
      </c>
      <c r="B122" s="61">
        <v>0</v>
      </c>
      <c r="C122" s="43">
        <v>0</v>
      </c>
      <c r="D122" s="42">
        <v>0</v>
      </c>
      <c r="E122" s="42">
        <v>0</v>
      </c>
      <c r="F122" s="42">
        <v>0</v>
      </c>
      <c r="G122" s="42">
        <v>0</v>
      </c>
      <c r="H122" s="42">
        <v>0</v>
      </c>
      <c r="I122" s="44">
        <v>0</v>
      </c>
      <c r="J122" s="43">
        <f t="shared" si="8"/>
        <v>61</v>
      </c>
      <c r="K122" s="42">
        <f t="shared" si="9"/>
        <v>64</v>
      </c>
      <c r="L122" s="42">
        <f t="shared" si="10"/>
        <v>42</v>
      </c>
      <c r="M122" s="42">
        <f t="shared" si="11"/>
        <v>14</v>
      </c>
      <c r="N122" s="42">
        <f t="shared" si="12"/>
        <v>5</v>
      </c>
      <c r="O122" s="42">
        <f t="shared" si="13"/>
        <v>4</v>
      </c>
      <c r="P122" s="44">
        <f t="shared" si="14"/>
        <v>1</v>
      </c>
      <c r="Q122" s="3"/>
      <c r="R122" s="3"/>
    </row>
    <row r="123" spans="1:18" x14ac:dyDescent="0.3">
      <c r="A123" s="59">
        <v>1900</v>
      </c>
      <c r="B123" s="61">
        <v>0</v>
      </c>
      <c r="C123" s="43">
        <v>0</v>
      </c>
      <c r="D123" s="42">
        <v>0</v>
      </c>
      <c r="E123" s="42">
        <v>0</v>
      </c>
      <c r="F123" s="42">
        <v>0</v>
      </c>
      <c r="G123" s="42">
        <v>0</v>
      </c>
      <c r="H123" s="42">
        <v>0</v>
      </c>
      <c r="I123" s="44">
        <v>0</v>
      </c>
      <c r="J123" s="43">
        <f t="shared" si="8"/>
        <v>61</v>
      </c>
      <c r="K123" s="42">
        <f t="shared" si="9"/>
        <v>64</v>
      </c>
      <c r="L123" s="42">
        <f t="shared" si="10"/>
        <v>42</v>
      </c>
      <c r="M123" s="42">
        <f t="shared" si="11"/>
        <v>14</v>
      </c>
      <c r="N123" s="42">
        <f t="shared" si="12"/>
        <v>5</v>
      </c>
      <c r="O123" s="42">
        <f t="shared" si="13"/>
        <v>4</v>
      </c>
      <c r="P123" s="44">
        <f t="shared" si="14"/>
        <v>1</v>
      </c>
      <c r="Q123" s="3"/>
      <c r="R123" s="3"/>
    </row>
    <row r="124" spans="1:18" x14ac:dyDescent="0.3">
      <c r="A124" s="59">
        <v>1899</v>
      </c>
      <c r="B124" s="61">
        <v>0</v>
      </c>
      <c r="C124" s="43">
        <v>0</v>
      </c>
      <c r="D124" s="42">
        <v>0</v>
      </c>
      <c r="E124" s="42">
        <v>0</v>
      </c>
      <c r="F124" s="42">
        <v>0</v>
      </c>
      <c r="G124" s="42">
        <v>0</v>
      </c>
      <c r="H124" s="42">
        <v>0</v>
      </c>
      <c r="I124" s="44">
        <v>0</v>
      </c>
      <c r="J124" s="43">
        <f t="shared" si="8"/>
        <v>61</v>
      </c>
      <c r="K124" s="42">
        <f t="shared" si="9"/>
        <v>64</v>
      </c>
      <c r="L124" s="42">
        <f t="shared" si="10"/>
        <v>42</v>
      </c>
      <c r="M124" s="42">
        <f t="shared" si="11"/>
        <v>14</v>
      </c>
      <c r="N124" s="42">
        <f t="shared" si="12"/>
        <v>5</v>
      </c>
      <c r="O124" s="42">
        <f t="shared" si="13"/>
        <v>4</v>
      </c>
      <c r="P124" s="44">
        <f t="shared" si="14"/>
        <v>1</v>
      </c>
      <c r="Q124" s="3"/>
      <c r="R124" s="3"/>
    </row>
    <row r="125" spans="1:18" x14ac:dyDescent="0.3">
      <c r="A125" s="59">
        <v>1898</v>
      </c>
      <c r="B125" s="61">
        <v>0</v>
      </c>
      <c r="C125" s="43">
        <v>0</v>
      </c>
      <c r="D125" s="42">
        <v>0</v>
      </c>
      <c r="E125" s="42">
        <v>0</v>
      </c>
      <c r="F125" s="42">
        <v>0</v>
      </c>
      <c r="G125" s="42">
        <v>0</v>
      </c>
      <c r="H125" s="42">
        <v>0</v>
      </c>
      <c r="I125" s="44">
        <v>0</v>
      </c>
      <c r="J125" s="43">
        <f t="shared" si="8"/>
        <v>61</v>
      </c>
      <c r="K125" s="42">
        <f t="shared" si="9"/>
        <v>64</v>
      </c>
      <c r="L125" s="42">
        <f t="shared" si="10"/>
        <v>42</v>
      </c>
      <c r="M125" s="42">
        <f t="shared" si="11"/>
        <v>14</v>
      </c>
      <c r="N125" s="42">
        <f t="shared" si="12"/>
        <v>5</v>
      </c>
      <c r="O125" s="42">
        <f t="shared" si="13"/>
        <v>4</v>
      </c>
      <c r="P125" s="44">
        <f t="shared" si="14"/>
        <v>1</v>
      </c>
      <c r="Q125" s="3"/>
      <c r="R125" s="3"/>
    </row>
    <row r="126" spans="1:18" x14ac:dyDescent="0.3">
      <c r="A126" s="59">
        <v>1897</v>
      </c>
      <c r="B126" s="61">
        <v>0</v>
      </c>
      <c r="C126" s="43">
        <v>0</v>
      </c>
      <c r="D126" s="42">
        <v>0</v>
      </c>
      <c r="E126" s="42">
        <v>0</v>
      </c>
      <c r="F126" s="42">
        <v>0</v>
      </c>
      <c r="G126" s="42">
        <v>0</v>
      </c>
      <c r="H126" s="42">
        <v>0</v>
      </c>
      <c r="I126" s="44">
        <v>0</v>
      </c>
      <c r="J126" s="43">
        <f t="shared" si="8"/>
        <v>61</v>
      </c>
      <c r="K126" s="42">
        <f t="shared" si="9"/>
        <v>64</v>
      </c>
      <c r="L126" s="42">
        <f t="shared" si="10"/>
        <v>42</v>
      </c>
      <c r="M126" s="42">
        <f t="shared" si="11"/>
        <v>14</v>
      </c>
      <c r="N126" s="42">
        <f t="shared" si="12"/>
        <v>5</v>
      </c>
      <c r="O126" s="42">
        <f t="shared" si="13"/>
        <v>4</v>
      </c>
      <c r="P126" s="44">
        <f t="shared" si="14"/>
        <v>1</v>
      </c>
      <c r="Q126" s="3"/>
      <c r="R126" s="3"/>
    </row>
    <row r="127" spans="1:18" x14ac:dyDescent="0.3">
      <c r="A127" s="59">
        <v>1896</v>
      </c>
      <c r="B127" s="61">
        <v>0</v>
      </c>
      <c r="C127" s="43">
        <v>0</v>
      </c>
      <c r="D127" s="42">
        <v>0</v>
      </c>
      <c r="E127" s="42">
        <v>0</v>
      </c>
      <c r="F127" s="42">
        <v>0</v>
      </c>
      <c r="G127" s="42">
        <v>0</v>
      </c>
      <c r="H127" s="42">
        <v>0</v>
      </c>
      <c r="I127" s="44">
        <v>0</v>
      </c>
      <c r="J127" s="43">
        <f t="shared" si="8"/>
        <v>61</v>
      </c>
      <c r="K127" s="42">
        <f t="shared" si="9"/>
        <v>64</v>
      </c>
      <c r="L127" s="42">
        <f t="shared" si="10"/>
        <v>42</v>
      </c>
      <c r="M127" s="42">
        <f t="shared" si="11"/>
        <v>14</v>
      </c>
      <c r="N127" s="42">
        <f t="shared" si="12"/>
        <v>5</v>
      </c>
      <c r="O127" s="42">
        <f t="shared" si="13"/>
        <v>4</v>
      </c>
      <c r="P127" s="44">
        <f t="shared" si="14"/>
        <v>1</v>
      </c>
      <c r="Q127" s="3"/>
      <c r="R127" s="3"/>
    </row>
    <row r="128" spans="1:18" x14ac:dyDescent="0.3">
      <c r="A128" s="59">
        <v>1895</v>
      </c>
      <c r="B128" s="61">
        <v>0</v>
      </c>
      <c r="C128" s="43">
        <v>0</v>
      </c>
      <c r="D128" s="42">
        <v>0</v>
      </c>
      <c r="E128" s="42">
        <v>0</v>
      </c>
      <c r="F128" s="42">
        <v>0</v>
      </c>
      <c r="G128" s="42">
        <v>0</v>
      </c>
      <c r="H128" s="42">
        <v>0</v>
      </c>
      <c r="I128" s="44">
        <v>0</v>
      </c>
      <c r="J128" s="43">
        <f t="shared" si="8"/>
        <v>61</v>
      </c>
      <c r="K128" s="42">
        <f t="shared" si="9"/>
        <v>64</v>
      </c>
      <c r="L128" s="42">
        <f t="shared" si="10"/>
        <v>42</v>
      </c>
      <c r="M128" s="42">
        <f t="shared" si="11"/>
        <v>14</v>
      </c>
      <c r="N128" s="42">
        <f t="shared" si="12"/>
        <v>5</v>
      </c>
      <c r="O128" s="42">
        <f t="shared" si="13"/>
        <v>4</v>
      </c>
      <c r="P128" s="44">
        <f t="shared" si="14"/>
        <v>1</v>
      </c>
      <c r="Q128" s="3"/>
      <c r="R128" s="3"/>
    </row>
    <row r="129" spans="1:18" x14ac:dyDescent="0.3">
      <c r="A129" s="59">
        <v>1894</v>
      </c>
      <c r="B129" s="61">
        <v>0</v>
      </c>
      <c r="C129" s="43">
        <v>0</v>
      </c>
      <c r="D129" s="42">
        <v>0</v>
      </c>
      <c r="E129" s="42">
        <v>0</v>
      </c>
      <c r="F129" s="42">
        <v>0</v>
      </c>
      <c r="G129" s="42">
        <v>0</v>
      </c>
      <c r="H129" s="42">
        <v>0</v>
      </c>
      <c r="I129" s="44">
        <v>0</v>
      </c>
      <c r="J129" s="43">
        <f t="shared" si="8"/>
        <v>61</v>
      </c>
      <c r="K129" s="42">
        <f t="shared" si="9"/>
        <v>64</v>
      </c>
      <c r="L129" s="42">
        <f t="shared" si="10"/>
        <v>42</v>
      </c>
      <c r="M129" s="42">
        <f t="shared" si="11"/>
        <v>14</v>
      </c>
      <c r="N129" s="42">
        <f t="shared" si="12"/>
        <v>5</v>
      </c>
      <c r="O129" s="42">
        <f t="shared" si="13"/>
        <v>4</v>
      </c>
      <c r="P129" s="44">
        <f t="shared" si="14"/>
        <v>1</v>
      </c>
      <c r="Q129" s="3"/>
      <c r="R129" s="3"/>
    </row>
    <row r="130" spans="1:18" x14ac:dyDescent="0.3">
      <c r="A130" s="59">
        <v>1893</v>
      </c>
      <c r="B130" s="61">
        <v>0</v>
      </c>
      <c r="C130" s="43">
        <v>0</v>
      </c>
      <c r="D130" s="42">
        <v>0</v>
      </c>
      <c r="E130" s="42">
        <v>0</v>
      </c>
      <c r="F130" s="42">
        <v>0</v>
      </c>
      <c r="G130" s="42">
        <v>0</v>
      </c>
      <c r="H130" s="42">
        <v>0</v>
      </c>
      <c r="I130" s="44">
        <v>0</v>
      </c>
      <c r="J130" s="43">
        <f t="shared" si="8"/>
        <v>61</v>
      </c>
      <c r="K130" s="42">
        <f t="shared" si="9"/>
        <v>64</v>
      </c>
      <c r="L130" s="42">
        <f t="shared" si="10"/>
        <v>42</v>
      </c>
      <c r="M130" s="42">
        <f t="shared" si="11"/>
        <v>14</v>
      </c>
      <c r="N130" s="42">
        <f t="shared" si="12"/>
        <v>5</v>
      </c>
      <c r="O130" s="42">
        <f t="shared" si="13"/>
        <v>4</v>
      </c>
      <c r="P130" s="44">
        <f t="shared" si="14"/>
        <v>1</v>
      </c>
      <c r="Q130" s="3"/>
      <c r="R130" s="3"/>
    </row>
    <row r="131" spans="1:18" x14ac:dyDescent="0.3">
      <c r="A131" s="59">
        <v>1892</v>
      </c>
      <c r="B131" s="61">
        <v>0</v>
      </c>
      <c r="C131" s="43">
        <v>0</v>
      </c>
      <c r="D131" s="42">
        <v>0</v>
      </c>
      <c r="E131" s="42">
        <v>0</v>
      </c>
      <c r="F131" s="42">
        <v>0</v>
      </c>
      <c r="G131" s="42">
        <v>0</v>
      </c>
      <c r="H131" s="42">
        <v>0</v>
      </c>
      <c r="I131" s="44">
        <v>0</v>
      </c>
      <c r="J131" s="43">
        <f t="shared" si="8"/>
        <v>61</v>
      </c>
      <c r="K131" s="42">
        <f t="shared" si="9"/>
        <v>64</v>
      </c>
      <c r="L131" s="42">
        <f t="shared" si="10"/>
        <v>42</v>
      </c>
      <c r="M131" s="42">
        <f t="shared" si="11"/>
        <v>14</v>
      </c>
      <c r="N131" s="42">
        <f t="shared" si="12"/>
        <v>5</v>
      </c>
      <c r="O131" s="42">
        <f t="shared" si="13"/>
        <v>4</v>
      </c>
      <c r="P131" s="44">
        <f t="shared" si="14"/>
        <v>1</v>
      </c>
      <c r="Q131" s="3"/>
      <c r="R131" s="3"/>
    </row>
    <row r="132" spans="1:18" x14ac:dyDescent="0.3">
      <c r="A132" s="59">
        <v>1891</v>
      </c>
      <c r="B132" s="61">
        <v>0</v>
      </c>
      <c r="C132" s="43">
        <v>0</v>
      </c>
      <c r="D132" s="42">
        <v>0</v>
      </c>
      <c r="E132" s="42">
        <v>0</v>
      </c>
      <c r="F132" s="42">
        <v>0</v>
      </c>
      <c r="G132" s="42">
        <v>0</v>
      </c>
      <c r="H132" s="42">
        <v>0</v>
      </c>
      <c r="I132" s="44">
        <v>0</v>
      </c>
      <c r="J132" s="43">
        <f t="shared" ref="J132:J195" si="15">J131+C132</f>
        <v>61</v>
      </c>
      <c r="K132" s="42">
        <f t="shared" ref="K132:K195" si="16">K131+D132</f>
        <v>64</v>
      </c>
      <c r="L132" s="42">
        <f t="shared" ref="L132:L195" si="17">L131+E132</f>
        <v>42</v>
      </c>
      <c r="M132" s="42">
        <f t="shared" ref="M132:M195" si="18">M131+F132</f>
        <v>14</v>
      </c>
      <c r="N132" s="42">
        <f t="shared" ref="N132:N195" si="19">N131+G132</f>
        <v>5</v>
      </c>
      <c r="O132" s="42">
        <f t="shared" ref="O132:O195" si="20">O131+H132</f>
        <v>4</v>
      </c>
      <c r="P132" s="44">
        <f t="shared" ref="P132:P195" si="21">P131+I132</f>
        <v>1</v>
      </c>
      <c r="Q132" s="3"/>
      <c r="R132" s="3"/>
    </row>
    <row r="133" spans="1:18" x14ac:dyDescent="0.3">
      <c r="A133" s="59">
        <v>1890</v>
      </c>
      <c r="B133" s="61">
        <v>0</v>
      </c>
      <c r="C133" s="43">
        <v>0</v>
      </c>
      <c r="D133" s="42">
        <v>0</v>
      </c>
      <c r="E133" s="42">
        <v>0</v>
      </c>
      <c r="F133" s="42">
        <v>0</v>
      </c>
      <c r="G133" s="42">
        <v>0</v>
      </c>
      <c r="H133" s="42">
        <v>0</v>
      </c>
      <c r="I133" s="44">
        <v>0</v>
      </c>
      <c r="J133" s="43">
        <f t="shared" si="15"/>
        <v>61</v>
      </c>
      <c r="K133" s="42">
        <f t="shared" si="16"/>
        <v>64</v>
      </c>
      <c r="L133" s="42">
        <f t="shared" si="17"/>
        <v>42</v>
      </c>
      <c r="M133" s="42">
        <f t="shared" si="18"/>
        <v>14</v>
      </c>
      <c r="N133" s="42">
        <f t="shared" si="19"/>
        <v>5</v>
      </c>
      <c r="O133" s="42">
        <f t="shared" si="20"/>
        <v>4</v>
      </c>
      <c r="P133" s="44">
        <f t="shared" si="21"/>
        <v>1</v>
      </c>
      <c r="Q133" s="3"/>
      <c r="R133" s="3"/>
    </row>
    <row r="134" spans="1:18" x14ac:dyDescent="0.3">
      <c r="A134" s="59">
        <v>1889</v>
      </c>
      <c r="B134" s="61">
        <v>0</v>
      </c>
      <c r="C134" s="43">
        <v>0</v>
      </c>
      <c r="D134" s="42">
        <v>0</v>
      </c>
      <c r="E134" s="42">
        <v>0</v>
      </c>
      <c r="F134" s="42">
        <v>0</v>
      </c>
      <c r="G134" s="42">
        <v>0</v>
      </c>
      <c r="H134" s="42">
        <v>0</v>
      </c>
      <c r="I134" s="44">
        <v>0</v>
      </c>
      <c r="J134" s="43">
        <f t="shared" si="15"/>
        <v>61</v>
      </c>
      <c r="K134" s="42">
        <f t="shared" si="16"/>
        <v>64</v>
      </c>
      <c r="L134" s="42">
        <f t="shared" si="17"/>
        <v>42</v>
      </c>
      <c r="M134" s="42">
        <f t="shared" si="18"/>
        <v>14</v>
      </c>
      <c r="N134" s="42">
        <f t="shared" si="19"/>
        <v>5</v>
      </c>
      <c r="O134" s="42">
        <f t="shared" si="20"/>
        <v>4</v>
      </c>
      <c r="P134" s="44">
        <f t="shared" si="21"/>
        <v>1</v>
      </c>
      <c r="Q134" s="3"/>
      <c r="R134" s="3"/>
    </row>
    <row r="135" spans="1:18" x14ac:dyDescent="0.3">
      <c r="A135" s="59">
        <v>1888</v>
      </c>
      <c r="B135" s="61">
        <v>0</v>
      </c>
      <c r="C135" s="43">
        <v>0</v>
      </c>
      <c r="D135" s="42">
        <v>0</v>
      </c>
      <c r="E135" s="42">
        <v>0</v>
      </c>
      <c r="F135" s="42">
        <v>0</v>
      </c>
      <c r="G135" s="42">
        <v>0</v>
      </c>
      <c r="H135" s="42">
        <v>0</v>
      </c>
      <c r="I135" s="44">
        <v>0</v>
      </c>
      <c r="J135" s="43">
        <f t="shared" si="15"/>
        <v>61</v>
      </c>
      <c r="K135" s="42">
        <f t="shared" si="16"/>
        <v>64</v>
      </c>
      <c r="L135" s="42">
        <f t="shared" si="17"/>
        <v>42</v>
      </c>
      <c r="M135" s="42">
        <f t="shared" si="18"/>
        <v>14</v>
      </c>
      <c r="N135" s="42">
        <f t="shared" si="19"/>
        <v>5</v>
      </c>
      <c r="O135" s="42">
        <f t="shared" si="20"/>
        <v>4</v>
      </c>
      <c r="P135" s="44">
        <f t="shared" si="21"/>
        <v>1</v>
      </c>
      <c r="Q135" s="3"/>
      <c r="R135" s="3"/>
    </row>
    <row r="136" spans="1:18" x14ac:dyDescent="0.3">
      <c r="A136" s="59">
        <v>1887</v>
      </c>
      <c r="B136" s="61">
        <v>0</v>
      </c>
      <c r="C136" s="43">
        <v>0</v>
      </c>
      <c r="D136" s="42">
        <v>0</v>
      </c>
      <c r="E136" s="42">
        <v>0</v>
      </c>
      <c r="F136" s="42">
        <v>0</v>
      </c>
      <c r="G136" s="42">
        <v>0</v>
      </c>
      <c r="H136" s="42">
        <v>0</v>
      </c>
      <c r="I136" s="44">
        <v>0</v>
      </c>
      <c r="J136" s="43">
        <f t="shared" si="15"/>
        <v>61</v>
      </c>
      <c r="K136" s="42">
        <f t="shared" si="16"/>
        <v>64</v>
      </c>
      <c r="L136" s="42">
        <f t="shared" si="17"/>
        <v>42</v>
      </c>
      <c r="M136" s="42">
        <f t="shared" si="18"/>
        <v>14</v>
      </c>
      <c r="N136" s="42">
        <f t="shared" si="19"/>
        <v>5</v>
      </c>
      <c r="O136" s="42">
        <f t="shared" si="20"/>
        <v>4</v>
      </c>
      <c r="P136" s="44">
        <f t="shared" si="21"/>
        <v>1</v>
      </c>
      <c r="Q136" s="3"/>
      <c r="R136" s="3"/>
    </row>
    <row r="137" spans="1:18" x14ac:dyDescent="0.3">
      <c r="A137" s="59">
        <v>1886</v>
      </c>
      <c r="B137" s="61">
        <v>0</v>
      </c>
      <c r="C137" s="43">
        <v>0</v>
      </c>
      <c r="D137" s="42">
        <v>0</v>
      </c>
      <c r="E137" s="42">
        <v>0</v>
      </c>
      <c r="F137" s="42">
        <v>0</v>
      </c>
      <c r="G137" s="42">
        <v>0</v>
      </c>
      <c r="H137" s="42">
        <v>0</v>
      </c>
      <c r="I137" s="44">
        <v>0</v>
      </c>
      <c r="J137" s="43">
        <f t="shared" si="15"/>
        <v>61</v>
      </c>
      <c r="K137" s="42">
        <f t="shared" si="16"/>
        <v>64</v>
      </c>
      <c r="L137" s="42">
        <f t="shared" si="17"/>
        <v>42</v>
      </c>
      <c r="M137" s="42">
        <f t="shared" si="18"/>
        <v>14</v>
      </c>
      <c r="N137" s="42">
        <f t="shared" si="19"/>
        <v>5</v>
      </c>
      <c r="O137" s="42">
        <f t="shared" si="20"/>
        <v>4</v>
      </c>
      <c r="P137" s="44">
        <f t="shared" si="21"/>
        <v>1</v>
      </c>
      <c r="Q137" s="3"/>
      <c r="R137" s="3"/>
    </row>
    <row r="138" spans="1:18" x14ac:dyDescent="0.3">
      <c r="A138" s="59">
        <v>1885</v>
      </c>
      <c r="B138" s="61">
        <v>0</v>
      </c>
      <c r="C138" s="43">
        <v>0</v>
      </c>
      <c r="D138" s="42">
        <v>0</v>
      </c>
      <c r="E138" s="42">
        <v>0</v>
      </c>
      <c r="F138" s="42">
        <v>0</v>
      </c>
      <c r="G138" s="42">
        <v>0</v>
      </c>
      <c r="H138" s="42">
        <v>0</v>
      </c>
      <c r="I138" s="44">
        <v>0</v>
      </c>
      <c r="J138" s="43">
        <f t="shared" si="15"/>
        <v>61</v>
      </c>
      <c r="K138" s="42">
        <f t="shared" si="16"/>
        <v>64</v>
      </c>
      <c r="L138" s="42">
        <f t="shared" si="17"/>
        <v>42</v>
      </c>
      <c r="M138" s="42">
        <f t="shared" si="18"/>
        <v>14</v>
      </c>
      <c r="N138" s="42">
        <f t="shared" si="19"/>
        <v>5</v>
      </c>
      <c r="O138" s="42">
        <f t="shared" si="20"/>
        <v>4</v>
      </c>
      <c r="P138" s="44">
        <f t="shared" si="21"/>
        <v>1</v>
      </c>
      <c r="Q138" s="3"/>
      <c r="R138" s="3"/>
    </row>
    <row r="139" spans="1:18" x14ac:dyDescent="0.3">
      <c r="A139" s="59">
        <v>1884</v>
      </c>
      <c r="B139" s="61">
        <v>0</v>
      </c>
      <c r="C139" s="43">
        <v>0</v>
      </c>
      <c r="D139" s="42">
        <v>0</v>
      </c>
      <c r="E139" s="42">
        <v>0</v>
      </c>
      <c r="F139" s="42">
        <v>0</v>
      </c>
      <c r="G139" s="42">
        <v>0</v>
      </c>
      <c r="H139" s="42">
        <v>0</v>
      </c>
      <c r="I139" s="44">
        <v>0</v>
      </c>
      <c r="J139" s="43">
        <f t="shared" si="15"/>
        <v>61</v>
      </c>
      <c r="K139" s="42">
        <f t="shared" si="16"/>
        <v>64</v>
      </c>
      <c r="L139" s="42">
        <f t="shared" si="17"/>
        <v>42</v>
      </c>
      <c r="M139" s="42">
        <f t="shared" si="18"/>
        <v>14</v>
      </c>
      <c r="N139" s="42">
        <f t="shared" si="19"/>
        <v>5</v>
      </c>
      <c r="O139" s="42">
        <f t="shared" si="20"/>
        <v>4</v>
      </c>
      <c r="P139" s="44">
        <f t="shared" si="21"/>
        <v>1</v>
      </c>
      <c r="Q139" s="3"/>
      <c r="R139" s="3"/>
    </row>
    <row r="140" spans="1:18" x14ac:dyDescent="0.3">
      <c r="A140" s="59">
        <v>1883</v>
      </c>
      <c r="B140" s="61">
        <v>0</v>
      </c>
      <c r="C140" s="43">
        <v>0</v>
      </c>
      <c r="D140" s="42">
        <v>0</v>
      </c>
      <c r="E140" s="42">
        <v>0</v>
      </c>
      <c r="F140" s="42">
        <v>0</v>
      </c>
      <c r="G140" s="42">
        <v>0</v>
      </c>
      <c r="H140" s="42">
        <v>0</v>
      </c>
      <c r="I140" s="44">
        <v>0</v>
      </c>
      <c r="J140" s="43">
        <f t="shared" si="15"/>
        <v>61</v>
      </c>
      <c r="K140" s="42">
        <f t="shared" si="16"/>
        <v>64</v>
      </c>
      <c r="L140" s="42">
        <f t="shared" si="17"/>
        <v>42</v>
      </c>
      <c r="M140" s="42">
        <f t="shared" si="18"/>
        <v>14</v>
      </c>
      <c r="N140" s="42">
        <f t="shared" si="19"/>
        <v>5</v>
      </c>
      <c r="O140" s="42">
        <f t="shared" si="20"/>
        <v>4</v>
      </c>
      <c r="P140" s="44">
        <f t="shared" si="21"/>
        <v>1</v>
      </c>
      <c r="Q140" s="3"/>
      <c r="R140" s="3"/>
    </row>
    <row r="141" spans="1:18" x14ac:dyDescent="0.3">
      <c r="A141" s="59">
        <v>1882</v>
      </c>
      <c r="B141" s="61">
        <v>0</v>
      </c>
      <c r="C141" s="43">
        <v>0</v>
      </c>
      <c r="D141" s="42">
        <v>0</v>
      </c>
      <c r="E141" s="42">
        <v>0</v>
      </c>
      <c r="F141" s="42">
        <v>0</v>
      </c>
      <c r="G141" s="42">
        <v>0</v>
      </c>
      <c r="H141" s="42">
        <v>0</v>
      </c>
      <c r="I141" s="44">
        <v>0</v>
      </c>
      <c r="J141" s="43">
        <f t="shared" si="15"/>
        <v>61</v>
      </c>
      <c r="K141" s="42">
        <f t="shared" si="16"/>
        <v>64</v>
      </c>
      <c r="L141" s="42">
        <f t="shared" si="17"/>
        <v>42</v>
      </c>
      <c r="M141" s="42">
        <f t="shared" si="18"/>
        <v>14</v>
      </c>
      <c r="N141" s="42">
        <f t="shared" si="19"/>
        <v>5</v>
      </c>
      <c r="O141" s="42">
        <f t="shared" si="20"/>
        <v>4</v>
      </c>
      <c r="P141" s="44">
        <f t="shared" si="21"/>
        <v>1</v>
      </c>
      <c r="Q141" s="3"/>
      <c r="R141" s="3"/>
    </row>
    <row r="142" spans="1:18" x14ac:dyDescent="0.3">
      <c r="A142" s="59">
        <v>1881</v>
      </c>
      <c r="B142" s="61">
        <v>0</v>
      </c>
      <c r="C142" s="43">
        <v>0</v>
      </c>
      <c r="D142" s="42">
        <v>0</v>
      </c>
      <c r="E142" s="42">
        <v>0</v>
      </c>
      <c r="F142" s="42">
        <v>0</v>
      </c>
      <c r="G142" s="42">
        <v>0</v>
      </c>
      <c r="H142" s="42">
        <v>0</v>
      </c>
      <c r="I142" s="44">
        <v>0</v>
      </c>
      <c r="J142" s="43">
        <f t="shared" si="15"/>
        <v>61</v>
      </c>
      <c r="K142" s="42">
        <f t="shared" si="16"/>
        <v>64</v>
      </c>
      <c r="L142" s="42">
        <f t="shared" si="17"/>
        <v>42</v>
      </c>
      <c r="M142" s="42">
        <f t="shared" si="18"/>
        <v>14</v>
      </c>
      <c r="N142" s="42">
        <f t="shared" si="19"/>
        <v>5</v>
      </c>
      <c r="O142" s="42">
        <f t="shared" si="20"/>
        <v>4</v>
      </c>
      <c r="P142" s="44">
        <f t="shared" si="21"/>
        <v>1</v>
      </c>
      <c r="Q142" s="3"/>
      <c r="R142" s="3"/>
    </row>
    <row r="143" spans="1:18" x14ac:dyDescent="0.3">
      <c r="A143" s="59">
        <v>1880</v>
      </c>
      <c r="B143" s="61">
        <v>0</v>
      </c>
      <c r="C143" s="43">
        <v>0</v>
      </c>
      <c r="D143" s="42">
        <v>0</v>
      </c>
      <c r="E143" s="42">
        <v>0</v>
      </c>
      <c r="F143" s="42">
        <v>0</v>
      </c>
      <c r="G143" s="42">
        <v>0</v>
      </c>
      <c r="H143" s="42">
        <v>0</v>
      </c>
      <c r="I143" s="44">
        <v>0</v>
      </c>
      <c r="J143" s="43">
        <f t="shared" si="15"/>
        <v>61</v>
      </c>
      <c r="K143" s="42">
        <f t="shared" si="16"/>
        <v>64</v>
      </c>
      <c r="L143" s="42">
        <f t="shared" si="17"/>
        <v>42</v>
      </c>
      <c r="M143" s="42">
        <f t="shared" si="18"/>
        <v>14</v>
      </c>
      <c r="N143" s="42">
        <f t="shared" si="19"/>
        <v>5</v>
      </c>
      <c r="O143" s="42">
        <f t="shared" si="20"/>
        <v>4</v>
      </c>
      <c r="P143" s="44">
        <f t="shared" si="21"/>
        <v>1</v>
      </c>
      <c r="Q143" s="3"/>
      <c r="R143" s="3"/>
    </row>
    <row r="144" spans="1:18" x14ac:dyDescent="0.3">
      <c r="A144" s="59">
        <v>1879</v>
      </c>
      <c r="B144" s="61">
        <v>0</v>
      </c>
      <c r="C144" s="43">
        <v>0</v>
      </c>
      <c r="D144" s="42">
        <v>0</v>
      </c>
      <c r="E144" s="42">
        <v>0</v>
      </c>
      <c r="F144" s="42">
        <v>0</v>
      </c>
      <c r="G144" s="42">
        <v>0</v>
      </c>
      <c r="H144" s="42">
        <v>0</v>
      </c>
      <c r="I144" s="44">
        <v>0</v>
      </c>
      <c r="J144" s="43">
        <f t="shared" si="15"/>
        <v>61</v>
      </c>
      <c r="K144" s="42">
        <f t="shared" si="16"/>
        <v>64</v>
      </c>
      <c r="L144" s="42">
        <f t="shared" si="17"/>
        <v>42</v>
      </c>
      <c r="M144" s="42">
        <f t="shared" si="18"/>
        <v>14</v>
      </c>
      <c r="N144" s="42">
        <f t="shared" si="19"/>
        <v>5</v>
      </c>
      <c r="O144" s="42">
        <f t="shared" si="20"/>
        <v>4</v>
      </c>
      <c r="P144" s="44">
        <f t="shared" si="21"/>
        <v>1</v>
      </c>
      <c r="Q144" s="3"/>
      <c r="R144" s="3"/>
    </row>
    <row r="145" spans="1:18" x14ac:dyDescent="0.3">
      <c r="A145" s="59">
        <v>1878</v>
      </c>
      <c r="B145" s="61">
        <v>0</v>
      </c>
      <c r="C145" s="43">
        <v>0</v>
      </c>
      <c r="D145" s="42">
        <v>0</v>
      </c>
      <c r="E145" s="42">
        <v>0</v>
      </c>
      <c r="F145" s="42">
        <v>0</v>
      </c>
      <c r="G145" s="42">
        <v>0</v>
      </c>
      <c r="H145" s="42">
        <v>0</v>
      </c>
      <c r="I145" s="44">
        <v>0</v>
      </c>
      <c r="J145" s="43">
        <f t="shared" si="15"/>
        <v>61</v>
      </c>
      <c r="K145" s="42">
        <f t="shared" si="16"/>
        <v>64</v>
      </c>
      <c r="L145" s="42">
        <f t="shared" si="17"/>
        <v>42</v>
      </c>
      <c r="M145" s="42">
        <f t="shared" si="18"/>
        <v>14</v>
      </c>
      <c r="N145" s="42">
        <f t="shared" si="19"/>
        <v>5</v>
      </c>
      <c r="O145" s="42">
        <f t="shared" si="20"/>
        <v>4</v>
      </c>
      <c r="P145" s="44">
        <f t="shared" si="21"/>
        <v>1</v>
      </c>
      <c r="Q145" s="3"/>
      <c r="R145" s="3"/>
    </row>
    <row r="146" spans="1:18" x14ac:dyDescent="0.3">
      <c r="A146" s="59">
        <v>1877</v>
      </c>
      <c r="B146" s="61">
        <v>0</v>
      </c>
      <c r="C146" s="43">
        <v>0</v>
      </c>
      <c r="D146" s="42">
        <v>0</v>
      </c>
      <c r="E146" s="42">
        <v>0</v>
      </c>
      <c r="F146" s="42">
        <v>0</v>
      </c>
      <c r="G146" s="42">
        <v>0</v>
      </c>
      <c r="H146" s="42">
        <v>0</v>
      </c>
      <c r="I146" s="44">
        <v>0</v>
      </c>
      <c r="J146" s="43">
        <f t="shared" si="15"/>
        <v>61</v>
      </c>
      <c r="K146" s="42">
        <f t="shared" si="16"/>
        <v>64</v>
      </c>
      <c r="L146" s="42">
        <f t="shared" si="17"/>
        <v>42</v>
      </c>
      <c r="M146" s="42">
        <f t="shared" si="18"/>
        <v>14</v>
      </c>
      <c r="N146" s="42">
        <f t="shared" si="19"/>
        <v>5</v>
      </c>
      <c r="O146" s="42">
        <f t="shared" si="20"/>
        <v>4</v>
      </c>
      <c r="P146" s="44">
        <f t="shared" si="21"/>
        <v>1</v>
      </c>
      <c r="Q146" s="3"/>
      <c r="R146" s="3"/>
    </row>
    <row r="147" spans="1:18" x14ac:dyDescent="0.3">
      <c r="A147" s="59">
        <v>1876</v>
      </c>
      <c r="B147" s="61">
        <v>0</v>
      </c>
      <c r="C147" s="43">
        <v>0</v>
      </c>
      <c r="D147" s="42">
        <v>0</v>
      </c>
      <c r="E147" s="42">
        <v>0</v>
      </c>
      <c r="F147" s="42">
        <v>0</v>
      </c>
      <c r="G147" s="42">
        <v>0</v>
      </c>
      <c r="H147" s="42">
        <v>0</v>
      </c>
      <c r="I147" s="44">
        <v>0</v>
      </c>
      <c r="J147" s="43">
        <f t="shared" si="15"/>
        <v>61</v>
      </c>
      <c r="K147" s="42">
        <f t="shared" si="16"/>
        <v>64</v>
      </c>
      <c r="L147" s="42">
        <f t="shared" si="17"/>
        <v>42</v>
      </c>
      <c r="M147" s="42">
        <f t="shared" si="18"/>
        <v>14</v>
      </c>
      <c r="N147" s="42">
        <f t="shared" si="19"/>
        <v>5</v>
      </c>
      <c r="O147" s="42">
        <f t="shared" si="20"/>
        <v>4</v>
      </c>
      <c r="P147" s="44">
        <f t="shared" si="21"/>
        <v>1</v>
      </c>
      <c r="Q147" s="3"/>
      <c r="R147" s="3"/>
    </row>
    <row r="148" spans="1:18" x14ac:dyDescent="0.3">
      <c r="A148" s="59">
        <v>1875</v>
      </c>
      <c r="B148" s="61">
        <v>0</v>
      </c>
      <c r="C148" s="43">
        <v>0</v>
      </c>
      <c r="D148" s="42">
        <v>0</v>
      </c>
      <c r="E148" s="42">
        <v>0</v>
      </c>
      <c r="F148" s="42">
        <v>0</v>
      </c>
      <c r="G148" s="42">
        <v>0</v>
      </c>
      <c r="H148" s="42">
        <v>0</v>
      </c>
      <c r="I148" s="44">
        <v>0</v>
      </c>
      <c r="J148" s="43">
        <f t="shared" si="15"/>
        <v>61</v>
      </c>
      <c r="K148" s="42">
        <f t="shared" si="16"/>
        <v>64</v>
      </c>
      <c r="L148" s="42">
        <f t="shared" si="17"/>
        <v>42</v>
      </c>
      <c r="M148" s="42">
        <f t="shared" si="18"/>
        <v>14</v>
      </c>
      <c r="N148" s="42">
        <f t="shared" si="19"/>
        <v>5</v>
      </c>
      <c r="O148" s="42">
        <f t="shared" si="20"/>
        <v>4</v>
      </c>
      <c r="P148" s="44">
        <f t="shared" si="21"/>
        <v>1</v>
      </c>
      <c r="Q148" s="3"/>
      <c r="R148" s="3"/>
    </row>
    <row r="149" spans="1:18" x14ac:dyDescent="0.3">
      <c r="A149" s="59">
        <v>1874</v>
      </c>
      <c r="B149" s="61">
        <v>0</v>
      </c>
      <c r="C149" s="43">
        <v>0</v>
      </c>
      <c r="D149" s="42">
        <v>0</v>
      </c>
      <c r="E149" s="42">
        <v>0</v>
      </c>
      <c r="F149" s="42">
        <v>0</v>
      </c>
      <c r="G149" s="42">
        <v>0</v>
      </c>
      <c r="H149" s="42">
        <v>0</v>
      </c>
      <c r="I149" s="44">
        <v>0</v>
      </c>
      <c r="J149" s="43">
        <f t="shared" si="15"/>
        <v>61</v>
      </c>
      <c r="K149" s="42">
        <f t="shared" si="16"/>
        <v>64</v>
      </c>
      <c r="L149" s="42">
        <f t="shared" si="17"/>
        <v>42</v>
      </c>
      <c r="M149" s="42">
        <f t="shared" si="18"/>
        <v>14</v>
      </c>
      <c r="N149" s="42">
        <f t="shared" si="19"/>
        <v>5</v>
      </c>
      <c r="O149" s="42">
        <f t="shared" si="20"/>
        <v>4</v>
      </c>
      <c r="P149" s="44">
        <f t="shared" si="21"/>
        <v>1</v>
      </c>
      <c r="Q149" s="3"/>
      <c r="R149" s="3"/>
    </row>
    <row r="150" spans="1:18" x14ac:dyDescent="0.3">
      <c r="A150" s="59">
        <v>1873</v>
      </c>
      <c r="B150" s="61">
        <v>0</v>
      </c>
      <c r="C150" s="43">
        <v>0</v>
      </c>
      <c r="D150" s="42">
        <v>0</v>
      </c>
      <c r="E150" s="42">
        <v>0</v>
      </c>
      <c r="F150" s="42">
        <v>0</v>
      </c>
      <c r="G150" s="42">
        <v>0</v>
      </c>
      <c r="H150" s="42">
        <v>0</v>
      </c>
      <c r="I150" s="44">
        <v>0</v>
      </c>
      <c r="J150" s="43">
        <f t="shared" si="15"/>
        <v>61</v>
      </c>
      <c r="K150" s="42">
        <f t="shared" si="16"/>
        <v>64</v>
      </c>
      <c r="L150" s="42">
        <f t="shared" si="17"/>
        <v>42</v>
      </c>
      <c r="M150" s="42">
        <f t="shared" si="18"/>
        <v>14</v>
      </c>
      <c r="N150" s="42">
        <f t="shared" si="19"/>
        <v>5</v>
      </c>
      <c r="O150" s="42">
        <f t="shared" si="20"/>
        <v>4</v>
      </c>
      <c r="P150" s="44">
        <f t="shared" si="21"/>
        <v>1</v>
      </c>
      <c r="Q150" s="3"/>
      <c r="R150" s="3"/>
    </row>
    <row r="151" spans="1:18" x14ac:dyDescent="0.3">
      <c r="A151" s="59">
        <v>1872</v>
      </c>
      <c r="B151" s="61">
        <v>4.7</v>
      </c>
      <c r="C151" s="43">
        <v>0</v>
      </c>
      <c r="D151" s="42">
        <v>0</v>
      </c>
      <c r="E151" s="42">
        <v>2</v>
      </c>
      <c r="F151" s="42">
        <v>0</v>
      </c>
      <c r="G151" s="42">
        <v>0</v>
      </c>
      <c r="H151" s="42">
        <v>0</v>
      </c>
      <c r="I151" s="44">
        <v>0</v>
      </c>
      <c r="J151" s="43">
        <f t="shared" si="15"/>
        <v>61</v>
      </c>
      <c r="K151" s="42">
        <f t="shared" si="16"/>
        <v>64</v>
      </c>
      <c r="L151" s="42">
        <f t="shared" si="17"/>
        <v>44</v>
      </c>
      <c r="M151" s="42">
        <f t="shared" si="18"/>
        <v>14</v>
      </c>
      <c r="N151" s="42">
        <f t="shared" si="19"/>
        <v>5</v>
      </c>
      <c r="O151" s="42">
        <f t="shared" si="20"/>
        <v>4</v>
      </c>
      <c r="P151" s="44">
        <f t="shared" si="21"/>
        <v>1</v>
      </c>
      <c r="Q151" s="3"/>
      <c r="R151" s="3"/>
    </row>
    <row r="152" spans="1:18" x14ac:dyDescent="0.3">
      <c r="A152" s="59">
        <v>1871</v>
      </c>
      <c r="B152" s="61">
        <v>4.2</v>
      </c>
      <c r="C152" s="43">
        <v>0</v>
      </c>
      <c r="D152" s="42">
        <v>1</v>
      </c>
      <c r="E152" s="42">
        <v>0</v>
      </c>
      <c r="F152" s="42">
        <v>0</v>
      </c>
      <c r="G152" s="42">
        <v>0</v>
      </c>
      <c r="H152" s="42">
        <v>0</v>
      </c>
      <c r="I152" s="44">
        <v>0</v>
      </c>
      <c r="J152" s="43">
        <f t="shared" si="15"/>
        <v>61</v>
      </c>
      <c r="K152" s="42">
        <f t="shared" si="16"/>
        <v>65</v>
      </c>
      <c r="L152" s="42">
        <f t="shared" si="17"/>
        <v>44</v>
      </c>
      <c r="M152" s="42">
        <f t="shared" si="18"/>
        <v>14</v>
      </c>
      <c r="N152" s="42">
        <f t="shared" si="19"/>
        <v>5</v>
      </c>
      <c r="O152" s="42">
        <f t="shared" si="20"/>
        <v>4</v>
      </c>
      <c r="P152" s="44">
        <f t="shared" si="21"/>
        <v>1</v>
      </c>
      <c r="Q152" s="3"/>
      <c r="R152" s="3"/>
    </row>
    <row r="153" spans="1:18" x14ac:dyDescent="0.3">
      <c r="A153" s="59">
        <v>1870</v>
      </c>
      <c r="B153" s="61">
        <v>0</v>
      </c>
      <c r="C153" s="43">
        <v>0</v>
      </c>
      <c r="D153" s="42">
        <v>0</v>
      </c>
      <c r="E153" s="42">
        <v>0</v>
      </c>
      <c r="F153" s="42">
        <v>0</v>
      </c>
      <c r="G153" s="42">
        <v>0</v>
      </c>
      <c r="H153" s="42">
        <v>0</v>
      </c>
      <c r="I153" s="44">
        <v>0</v>
      </c>
      <c r="J153" s="43">
        <f t="shared" si="15"/>
        <v>61</v>
      </c>
      <c r="K153" s="42">
        <f t="shared" si="16"/>
        <v>65</v>
      </c>
      <c r="L153" s="42">
        <f t="shared" si="17"/>
        <v>44</v>
      </c>
      <c r="M153" s="42">
        <f t="shared" si="18"/>
        <v>14</v>
      </c>
      <c r="N153" s="42">
        <f t="shared" si="19"/>
        <v>5</v>
      </c>
      <c r="O153" s="42">
        <f t="shared" si="20"/>
        <v>4</v>
      </c>
      <c r="P153" s="44">
        <f t="shared" si="21"/>
        <v>1</v>
      </c>
      <c r="Q153" s="3"/>
      <c r="R153" s="3"/>
    </row>
    <row r="154" spans="1:18" x14ac:dyDescent="0.3">
      <c r="A154" s="59">
        <v>1869</v>
      </c>
      <c r="B154" s="61">
        <v>4.3</v>
      </c>
      <c r="C154" s="43">
        <v>0</v>
      </c>
      <c r="D154" s="42">
        <v>1</v>
      </c>
      <c r="E154" s="42">
        <v>0</v>
      </c>
      <c r="F154" s="42">
        <v>0</v>
      </c>
      <c r="G154" s="42">
        <v>0</v>
      </c>
      <c r="H154" s="42">
        <v>0</v>
      </c>
      <c r="I154" s="44">
        <v>0</v>
      </c>
      <c r="J154" s="43">
        <f t="shared" si="15"/>
        <v>61</v>
      </c>
      <c r="K154" s="42">
        <f t="shared" si="16"/>
        <v>66</v>
      </c>
      <c r="L154" s="42">
        <f t="shared" si="17"/>
        <v>44</v>
      </c>
      <c r="M154" s="42">
        <f t="shared" si="18"/>
        <v>14</v>
      </c>
      <c r="N154" s="42">
        <f t="shared" si="19"/>
        <v>5</v>
      </c>
      <c r="O154" s="42">
        <f t="shared" si="20"/>
        <v>4</v>
      </c>
      <c r="P154" s="44">
        <f t="shared" si="21"/>
        <v>1</v>
      </c>
      <c r="Q154" s="3"/>
      <c r="R154" s="3"/>
    </row>
    <row r="155" spans="1:18" x14ac:dyDescent="0.3">
      <c r="A155" s="59">
        <v>1868</v>
      </c>
      <c r="B155" s="61">
        <v>0</v>
      </c>
      <c r="C155" s="43">
        <v>0</v>
      </c>
      <c r="D155" s="42">
        <v>0</v>
      </c>
      <c r="E155" s="42">
        <v>0</v>
      </c>
      <c r="F155" s="42">
        <v>0</v>
      </c>
      <c r="G155" s="42">
        <v>0</v>
      </c>
      <c r="H155" s="42">
        <v>0</v>
      </c>
      <c r="I155" s="44">
        <v>0</v>
      </c>
      <c r="J155" s="43">
        <f t="shared" si="15"/>
        <v>61</v>
      </c>
      <c r="K155" s="42">
        <f t="shared" si="16"/>
        <v>66</v>
      </c>
      <c r="L155" s="42">
        <f t="shared" si="17"/>
        <v>44</v>
      </c>
      <c r="M155" s="42">
        <f t="shared" si="18"/>
        <v>14</v>
      </c>
      <c r="N155" s="42">
        <f t="shared" si="19"/>
        <v>5</v>
      </c>
      <c r="O155" s="42">
        <f t="shared" si="20"/>
        <v>4</v>
      </c>
      <c r="P155" s="44">
        <f t="shared" si="21"/>
        <v>1</v>
      </c>
      <c r="Q155" s="3"/>
      <c r="R155" s="3"/>
    </row>
    <row r="156" spans="1:18" x14ac:dyDescent="0.3">
      <c r="A156" s="59">
        <v>1867</v>
      </c>
      <c r="B156" s="61">
        <v>0</v>
      </c>
      <c r="C156" s="43">
        <v>0</v>
      </c>
      <c r="D156" s="42">
        <v>0</v>
      </c>
      <c r="E156" s="42">
        <v>0</v>
      </c>
      <c r="F156" s="42">
        <v>0</v>
      </c>
      <c r="G156" s="42">
        <v>0</v>
      </c>
      <c r="H156" s="42">
        <v>0</v>
      </c>
      <c r="I156" s="44">
        <v>0</v>
      </c>
      <c r="J156" s="43">
        <f t="shared" si="15"/>
        <v>61</v>
      </c>
      <c r="K156" s="42">
        <f t="shared" si="16"/>
        <v>66</v>
      </c>
      <c r="L156" s="42">
        <f t="shared" si="17"/>
        <v>44</v>
      </c>
      <c r="M156" s="42">
        <f t="shared" si="18"/>
        <v>14</v>
      </c>
      <c r="N156" s="42">
        <f t="shared" si="19"/>
        <v>5</v>
      </c>
      <c r="O156" s="42">
        <f t="shared" si="20"/>
        <v>4</v>
      </c>
      <c r="P156" s="44">
        <f t="shared" si="21"/>
        <v>1</v>
      </c>
      <c r="Q156" s="3"/>
      <c r="R156" s="3"/>
    </row>
    <row r="157" spans="1:18" x14ac:dyDescent="0.3">
      <c r="A157" s="59">
        <v>1866</v>
      </c>
      <c r="B157" s="61">
        <v>0</v>
      </c>
      <c r="C157" s="43">
        <v>0</v>
      </c>
      <c r="D157" s="42">
        <v>0</v>
      </c>
      <c r="E157" s="42">
        <v>0</v>
      </c>
      <c r="F157" s="42">
        <v>0</v>
      </c>
      <c r="G157" s="42">
        <v>0</v>
      </c>
      <c r="H157" s="42">
        <v>0</v>
      </c>
      <c r="I157" s="44">
        <v>0</v>
      </c>
      <c r="J157" s="43">
        <f t="shared" si="15"/>
        <v>61</v>
      </c>
      <c r="K157" s="42">
        <f t="shared" si="16"/>
        <v>66</v>
      </c>
      <c r="L157" s="42">
        <f t="shared" si="17"/>
        <v>44</v>
      </c>
      <c r="M157" s="42">
        <f t="shared" si="18"/>
        <v>14</v>
      </c>
      <c r="N157" s="42">
        <f t="shared" si="19"/>
        <v>5</v>
      </c>
      <c r="O157" s="42">
        <f t="shared" si="20"/>
        <v>4</v>
      </c>
      <c r="P157" s="44">
        <f t="shared" si="21"/>
        <v>1</v>
      </c>
      <c r="Q157" s="3"/>
      <c r="R157" s="3"/>
    </row>
    <row r="158" spans="1:18" x14ac:dyDescent="0.3">
      <c r="A158" s="59">
        <v>1865</v>
      </c>
      <c r="B158" s="61">
        <v>0</v>
      </c>
      <c r="C158" s="43">
        <v>0</v>
      </c>
      <c r="D158" s="42">
        <v>0</v>
      </c>
      <c r="E158" s="42">
        <v>0</v>
      </c>
      <c r="F158" s="42">
        <v>0</v>
      </c>
      <c r="G158" s="42">
        <v>0</v>
      </c>
      <c r="H158" s="42">
        <v>0</v>
      </c>
      <c r="I158" s="44">
        <v>0</v>
      </c>
      <c r="J158" s="43">
        <f t="shared" si="15"/>
        <v>61</v>
      </c>
      <c r="K158" s="42">
        <f t="shared" si="16"/>
        <v>66</v>
      </c>
      <c r="L158" s="42">
        <f t="shared" si="17"/>
        <v>44</v>
      </c>
      <c r="M158" s="42">
        <f t="shared" si="18"/>
        <v>14</v>
      </c>
      <c r="N158" s="42">
        <f t="shared" si="19"/>
        <v>5</v>
      </c>
      <c r="O158" s="42">
        <f t="shared" si="20"/>
        <v>4</v>
      </c>
      <c r="P158" s="44">
        <f t="shared" si="21"/>
        <v>1</v>
      </c>
      <c r="Q158" s="3"/>
      <c r="R158" s="3"/>
    </row>
    <row r="159" spans="1:18" x14ac:dyDescent="0.3">
      <c r="A159" s="59">
        <v>1864</v>
      </c>
      <c r="B159" s="61">
        <v>0</v>
      </c>
      <c r="C159" s="43">
        <v>0</v>
      </c>
      <c r="D159" s="42">
        <v>0</v>
      </c>
      <c r="E159" s="42">
        <v>0</v>
      </c>
      <c r="F159" s="42">
        <v>0</v>
      </c>
      <c r="G159" s="42">
        <v>0</v>
      </c>
      <c r="H159" s="42">
        <v>0</v>
      </c>
      <c r="I159" s="44">
        <v>0</v>
      </c>
      <c r="J159" s="43">
        <f t="shared" si="15"/>
        <v>61</v>
      </c>
      <c r="K159" s="42">
        <f t="shared" si="16"/>
        <v>66</v>
      </c>
      <c r="L159" s="42">
        <f t="shared" si="17"/>
        <v>44</v>
      </c>
      <c r="M159" s="42">
        <f t="shared" si="18"/>
        <v>14</v>
      </c>
      <c r="N159" s="42">
        <f t="shared" si="19"/>
        <v>5</v>
      </c>
      <c r="O159" s="42">
        <f t="shared" si="20"/>
        <v>4</v>
      </c>
      <c r="P159" s="44">
        <f t="shared" si="21"/>
        <v>1</v>
      </c>
      <c r="Q159" s="3"/>
      <c r="R159" s="3"/>
    </row>
    <row r="160" spans="1:18" x14ac:dyDescent="0.3">
      <c r="A160" s="59">
        <v>1863</v>
      </c>
      <c r="B160" s="61">
        <v>5.4</v>
      </c>
      <c r="C160" s="43">
        <v>0</v>
      </c>
      <c r="D160" s="42">
        <v>0</v>
      </c>
      <c r="E160" s="42">
        <v>0</v>
      </c>
      <c r="F160" s="42">
        <v>1</v>
      </c>
      <c r="G160" s="42">
        <v>1</v>
      </c>
      <c r="H160" s="42">
        <v>0</v>
      </c>
      <c r="I160" s="44">
        <v>0</v>
      </c>
      <c r="J160" s="43">
        <f t="shared" si="15"/>
        <v>61</v>
      </c>
      <c r="K160" s="42">
        <f t="shared" si="16"/>
        <v>66</v>
      </c>
      <c r="L160" s="42">
        <f t="shared" si="17"/>
        <v>44</v>
      </c>
      <c r="M160" s="42">
        <f t="shared" si="18"/>
        <v>15</v>
      </c>
      <c r="N160" s="42">
        <f t="shared" si="19"/>
        <v>6</v>
      </c>
      <c r="O160" s="42">
        <f t="shared" si="20"/>
        <v>4</v>
      </c>
      <c r="P160" s="44">
        <f t="shared" si="21"/>
        <v>1</v>
      </c>
      <c r="Q160" s="3"/>
      <c r="R160" s="3"/>
    </row>
    <row r="161" spans="1:18" x14ac:dyDescent="0.3">
      <c r="A161" s="59">
        <v>1862</v>
      </c>
      <c r="B161" s="61">
        <v>0</v>
      </c>
      <c r="C161" s="43">
        <v>0</v>
      </c>
      <c r="D161" s="42">
        <v>0</v>
      </c>
      <c r="E161" s="42">
        <v>0</v>
      </c>
      <c r="F161" s="42">
        <v>0</v>
      </c>
      <c r="G161" s="42">
        <v>0</v>
      </c>
      <c r="H161" s="42">
        <v>0</v>
      </c>
      <c r="I161" s="44">
        <v>0</v>
      </c>
      <c r="J161" s="43">
        <f t="shared" si="15"/>
        <v>61</v>
      </c>
      <c r="K161" s="42">
        <f t="shared" si="16"/>
        <v>66</v>
      </c>
      <c r="L161" s="42">
        <f t="shared" si="17"/>
        <v>44</v>
      </c>
      <c r="M161" s="42">
        <f t="shared" si="18"/>
        <v>15</v>
      </c>
      <c r="N161" s="42">
        <f t="shared" si="19"/>
        <v>6</v>
      </c>
      <c r="O161" s="42">
        <f t="shared" si="20"/>
        <v>4</v>
      </c>
      <c r="P161" s="44">
        <f t="shared" si="21"/>
        <v>1</v>
      </c>
      <c r="Q161" s="3"/>
      <c r="R161" s="3"/>
    </row>
    <row r="162" spans="1:18" x14ac:dyDescent="0.3">
      <c r="A162" s="59">
        <v>1861</v>
      </c>
      <c r="B162" s="61">
        <v>0</v>
      </c>
      <c r="C162" s="43">
        <v>0</v>
      </c>
      <c r="D162" s="42">
        <v>0</v>
      </c>
      <c r="E162" s="42">
        <v>0</v>
      </c>
      <c r="F162" s="42">
        <v>0</v>
      </c>
      <c r="G162" s="42">
        <v>0</v>
      </c>
      <c r="H162" s="42">
        <v>0</v>
      </c>
      <c r="I162" s="44">
        <v>0</v>
      </c>
      <c r="J162" s="43">
        <f t="shared" si="15"/>
        <v>61</v>
      </c>
      <c r="K162" s="42">
        <f t="shared" si="16"/>
        <v>66</v>
      </c>
      <c r="L162" s="42">
        <f t="shared" si="17"/>
        <v>44</v>
      </c>
      <c r="M162" s="42">
        <f t="shared" si="18"/>
        <v>15</v>
      </c>
      <c r="N162" s="42">
        <f t="shared" si="19"/>
        <v>6</v>
      </c>
      <c r="O162" s="42">
        <f t="shared" si="20"/>
        <v>4</v>
      </c>
      <c r="P162" s="44">
        <f t="shared" si="21"/>
        <v>1</v>
      </c>
      <c r="Q162" s="3"/>
      <c r="R162" s="3"/>
    </row>
    <row r="163" spans="1:18" x14ac:dyDescent="0.3">
      <c r="A163" s="59">
        <v>1860</v>
      </c>
      <c r="B163" s="61">
        <v>0</v>
      </c>
      <c r="C163" s="43">
        <v>0</v>
      </c>
      <c r="D163" s="42">
        <v>0</v>
      </c>
      <c r="E163" s="42">
        <v>0</v>
      </c>
      <c r="F163" s="42">
        <v>0</v>
      </c>
      <c r="G163" s="42">
        <v>0</v>
      </c>
      <c r="H163" s="42">
        <v>0</v>
      </c>
      <c r="I163" s="44">
        <v>0</v>
      </c>
      <c r="J163" s="43">
        <f t="shared" si="15"/>
        <v>61</v>
      </c>
      <c r="K163" s="42">
        <f t="shared" si="16"/>
        <v>66</v>
      </c>
      <c r="L163" s="42">
        <f t="shared" si="17"/>
        <v>44</v>
      </c>
      <c r="M163" s="42">
        <f t="shared" si="18"/>
        <v>15</v>
      </c>
      <c r="N163" s="42">
        <f t="shared" si="19"/>
        <v>6</v>
      </c>
      <c r="O163" s="42">
        <f t="shared" si="20"/>
        <v>4</v>
      </c>
      <c r="P163" s="44">
        <f t="shared" si="21"/>
        <v>1</v>
      </c>
      <c r="Q163" s="3"/>
      <c r="R163" s="3"/>
    </row>
    <row r="164" spans="1:18" x14ac:dyDescent="0.3">
      <c r="A164" s="59">
        <v>1859</v>
      </c>
      <c r="B164" s="61">
        <v>0</v>
      </c>
      <c r="C164" s="43">
        <v>0</v>
      </c>
      <c r="D164" s="42">
        <v>0</v>
      </c>
      <c r="E164" s="42">
        <v>0</v>
      </c>
      <c r="F164" s="42">
        <v>0</v>
      </c>
      <c r="G164" s="42">
        <v>0</v>
      </c>
      <c r="H164" s="42">
        <v>0</v>
      </c>
      <c r="I164" s="44">
        <v>0</v>
      </c>
      <c r="J164" s="43">
        <f t="shared" si="15"/>
        <v>61</v>
      </c>
      <c r="K164" s="42">
        <f t="shared" si="16"/>
        <v>66</v>
      </c>
      <c r="L164" s="42">
        <f t="shared" si="17"/>
        <v>44</v>
      </c>
      <c r="M164" s="42">
        <f t="shared" si="18"/>
        <v>15</v>
      </c>
      <c r="N164" s="42">
        <f t="shared" si="19"/>
        <v>6</v>
      </c>
      <c r="O164" s="42">
        <f t="shared" si="20"/>
        <v>4</v>
      </c>
      <c r="P164" s="44">
        <f t="shared" si="21"/>
        <v>1</v>
      </c>
      <c r="Q164" s="3"/>
      <c r="R164" s="3"/>
    </row>
    <row r="165" spans="1:18" x14ac:dyDescent="0.3">
      <c r="A165" s="59">
        <v>1858</v>
      </c>
      <c r="B165" s="61">
        <v>0</v>
      </c>
      <c r="C165" s="43">
        <v>0</v>
      </c>
      <c r="D165" s="42">
        <v>0</v>
      </c>
      <c r="E165" s="42">
        <v>0</v>
      </c>
      <c r="F165" s="42">
        <v>0</v>
      </c>
      <c r="G165" s="42">
        <v>0</v>
      </c>
      <c r="H165" s="42">
        <v>0</v>
      </c>
      <c r="I165" s="44">
        <v>0</v>
      </c>
      <c r="J165" s="43">
        <f t="shared" si="15"/>
        <v>61</v>
      </c>
      <c r="K165" s="42">
        <f t="shared" si="16"/>
        <v>66</v>
      </c>
      <c r="L165" s="42">
        <f t="shared" si="17"/>
        <v>44</v>
      </c>
      <c r="M165" s="42">
        <f t="shared" si="18"/>
        <v>15</v>
      </c>
      <c r="N165" s="42">
        <f t="shared" si="19"/>
        <v>6</v>
      </c>
      <c r="O165" s="42">
        <f t="shared" si="20"/>
        <v>4</v>
      </c>
      <c r="P165" s="44">
        <f t="shared" si="21"/>
        <v>1</v>
      </c>
      <c r="Q165" s="3"/>
      <c r="R165" s="3"/>
    </row>
    <row r="166" spans="1:18" x14ac:dyDescent="0.3">
      <c r="A166" s="59">
        <v>1857</v>
      </c>
      <c r="B166" s="61">
        <v>0</v>
      </c>
      <c r="C166" s="43">
        <v>0</v>
      </c>
      <c r="D166" s="42">
        <v>0</v>
      </c>
      <c r="E166" s="42">
        <v>0</v>
      </c>
      <c r="F166" s="42">
        <v>0</v>
      </c>
      <c r="G166" s="42">
        <v>0</v>
      </c>
      <c r="H166" s="42">
        <v>0</v>
      </c>
      <c r="I166" s="44">
        <v>0</v>
      </c>
      <c r="J166" s="43">
        <f t="shared" si="15"/>
        <v>61</v>
      </c>
      <c r="K166" s="42">
        <f t="shared" si="16"/>
        <v>66</v>
      </c>
      <c r="L166" s="42">
        <f t="shared" si="17"/>
        <v>44</v>
      </c>
      <c r="M166" s="42">
        <f t="shared" si="18"/>
        <v>15</v>
      </c>
      <c r="N166" s="42">
        <f t="shared" si="19"/>
        <v>6</v>
      </c>
      <c r="O166" s="42">
        <f t="shared" si="20"/>
        <v>4</v>
      </c>
      <c r="P166" s="44">
        <f t="shared" si="21"/>
        <v>1</v>
      </c>
      <c r="Q166" s="3"/>
      <c r="R166" s="3"/>
    </row>
    <row r="167" spans="1:18" x14ac:dyDescent="0.3">
      <c r="A167" s="59">
        <v>1856</v>
      </c>
      <c r="B167" s="61">
        <v>5</v>
      </c>
      <c r="C167" s="43">
        <v>0</v>
      </c>
      <c r="D167" s="42">
        <v>0</v>
      </c>
      <c r="E167" s="42">
        <v>0</v>
      </c>
      <c r="F167" s="42">
        <v>1</v>
      </c>
      <c r="G167" s="42">
        <v>0</v>
      </c>
      <c r="H167" s="42">
        <v>0</v>
      </c>
      <c r="I167" s="44">
        <v>0</v>
      </c>
      <c r="J167" s="43">
        <f t="shared" si="15"/>
        <v>61</v>
      </c>
      <c r="K167" s="42">
        <f t="shared" si="16"/>
        <v>66</v>
      </c>
      <c r="L167" s="42">
        <f t="shared" si="17"/>
        <v>44</v>
      </c>
      <c r="M167" s="42">
        <f t="shared" si="18"/>
        <v>16</v>
      </c>
      <c r="N167" s="42">
        <f t="shared" si="19"/>
        <v>6</v>
      </c>
      <c r="O167" s="42">
        <f t="shared" si="20"/>
        <v>4</v>
      </c>
      <c r="P167" s="44">
        <f t="shared" si="21"/>
        <v>1</v>
      </c>
      <c r="Q167" s="3"/>
      <c r="R167" s="3"/>
    </row>
    <row r="168" spans="1:18" x14ac:dyDescent="0.3">
      <c r="A168" s="59">
        <v>1855</v>
      </c>
      <c r="B168" s="61">
        <v>0</v>
      </c>
      <c r="C168" s="43">
        <v>0</v>
      </c>
      <c r="D168" s="42">
        <v>0</v>
      </c>
      <c r="E168" s="42">
        <v>0</v>
      </c>
      <c r="F168" s="42">
        <v>0</v>
      </c>
      <c r="G168" s="42">
        <v>0</v>
      </c>
      <c r="H168" s="42">
        <v>0</v>
      </c>
      <c r="I168" s="44">
        <v>0</v>
      </c>
      <c r="J168" s="43">
        <f t="shared" si="15"/>
        <v>61</v>
      </c>
      <c r="K168" s="42">
        <f t="shared" si="16"/>
        <v>66</v>
      </c>
      <c r="L168" s="42">
        <f t="shared" si="17"/>
        <v>44</v>
      </c>
      <c r="M168" s="42">
        <f t="shared" si="18"/>
        <v>16</v>
      </c>
      <c r="N168" s="42">
        <f t="shared" si="19"/>
        <v>6</v>
      </c>
      <c r="O168" s="42">
        <f t="shared" si="20"/>
        <v>4</v>
      </c>
      <c r="P168" s="44">
        <f t="shared" si="21"/>
        <v>1</v>
      </c>
      <c r="Q168" s="3"/>
      <c r="R168" s="3"/>
    </row>
    <row r="169" spans="1:18" x14ac:dyDescent="0.3">
      <c r="A169" s="59">
        <v>1854</v>
      </c>
      <c r="B169" s="61">
        <v>0</v>
      </c>
      <c r="C169" s="43">
        <v>0</v>
      </c>
      <c r="D169" s="42">
        <v>0</v>
      </c>
      <c r="E169" s="42">
        <v>0</v>
      </c>
      <c r="F169" s="42">
        <v>0</v>
      </c>
      <c r="G169" s="42">
        <v>0</v>
      </c>
      <c r="H169" s="42">
        <v>0</v>
      </c>
      <c r="I169" s="44">
        <v>0</v>
      </c>
      <c r="J169" s="43">
        <f t="shared" si="15"/>
        <v>61</v>
      </c>
      <c r="K169" s="42">
        <f t="shared" si="16"/>
        <v>66</v>
      </c>
      <c r="L169" s="42">
        <f t="shared" si="17"/>
        <v>44</v>
      </c>
      <c r="M169" s="42">
        <f t="shared" si="18"/>
        <v>16</v>
      </c>
      <c r="N169" s="42">
        <f t="shared" si="19"/>
        <v>6</v>
      </c>
      <c r="O169" s="42">
        <f t="shared" si="20"/>
        <v>4</v>
      </c>
      <c r="P169" s="44">
        <f t="shared" si="21"/>
        <v>1</v>
      </c>
      <c r="Q169" s="3"/>
      <c r="R169" s="3"/>
    </row>
    <row r="170" spans="1:18" x14ac:dyDescent="0.3">
      <c r="A170" s="59">
        <v>1853</v>
      </c>
      <c r="B170" s="61">
        <v>0</v>
      </c>
      <c r="C170" s="43">
        <v>0</v>
      </c>
      <c r="D170" s="42">
        <v>0</v>
      </c>
      <c r="E170" s="42">
        <v>0</v>
      </c>
      <c r="F170" s="42">
        <v>0</v>
      </c>
      <c r="G170" s="42">
        <v>0</v>
      </c>
      <c r="H170" s="42">
        <v>0</v>
      </c>
      <c r="I170" s="44">
        <v>0</v>
      </c>
      <c r="J170" s="43">
        <f t="shared" si="15"/>
        <v>61</v>
      </c>
      <c r="K170" s="42">
        <f t="shared" si="16"/>
        <v>66</v>
      </c>
      <c r="L170" s="42">
        <f t="shared" si="17"/>
        <v>44</v>
      </c>
      <c r="M170" s="42">
        <f t="shared" si="18"/>
        <v>16</v>
      </c>
      <c r="N170" s="42">
        <f t="shared" si="19"/>
        <v>6</v>
      </c>
      <c r="O170" s="42">
        <f t="shared" si="20"/>
        <v>4</v>
      </c>
      <c r="P170" s="44">
        <f t="shared" si="21"/>
        <v>1</v>
      </c>
      <c r="Q170" s="3"/>
      <c r="R170" s="3"/>
    </row>
    <row r="171" spans="1:18" x14ac:dyDescent="0.3">
      <c r="A171" s="59">
        <v>1852</v>
      </c>
      <c r="B171" s="61">
        <v>0</v>
      </c>
      <c r="C171" s="43">
        <v>0</v>
      </c>
      <c r="D171" s="42">
        <v>0</v>
      </c>
      <c r="E171" s="42">
        <v>0</v>
      </c>
      <c r="F171" s="42">
        <v>0</v>
      </c>
      <c r="G171" s="42">
        <v>0</v>
      </c>
      <c r="H171" s="42">
        <v>0</v>
      </c>
      <c r="I171" s="44">
        <v>0</v>
      </c>
      <c r="J171" s="43">
        <f t="shared" si="15"/>
        <v>61</v>
      </c>
      <c r="K171" s="42">
        <f t="shared" si="16"/>
        <v>66</v>
      </c>
      <c r="L171" s="42">
        <f t="shared" si="17"/>
        <v>44</v>
      </c>
      <c r="M171" s="42">
        <f t="shared" si="18"/>
        <v>16</v>
      </c>
      <c r="N171" s="42">
        <f t="shared" si="19"/>
        <v>6</v>
      </c>
      <c r="O171" s="42">
        <f t="shared" si="20"/>
        <v>4</v>
      </c>
      <c r="P171" s="44">
        <f t="shared" si="21"/>
        <v>1</v>
      </c>
      <c r="Q171" s="3"/>
      <c r="R171" s="3"/>
    </row>
    <row r="172" spans="1:18" x14ac:dyDescent="0.3">
      <c r="A172" s="59">
        <v>1851</v>
      </c>
      <c r="B172" s="61">
        <v>0</v>
      </c>
      <c r="C172" s="43">
        <v>0</v>
      </c>
      <c r="D172" s="42">
        <v>0</v>
      </c>
      <c r="E172" s="42">
        <v>0</v>
      </c>
      <c r="F172" s="42">
        <v>0</v>
      </c>
      <c r="G172" s="42">
        <v>0</v>
      </c>
      <c r="H172" s="42">
        <v>0</v>
      </c>
      <c r="I172" s="44">
        <v>0</v>
      </c>
      <c r="J172" s="43">
        <f t="shared" si="15"/>
        <v>61</v>
      </c>
      <c r="K172" s="42">
        <f t="shared" si="16"/>
        <v>66</v>
      </c>
      <c r="L172" s="42">
        <f t="shared" si="17"/>
        <v>44</v>
      </c>
      <c r="M172" s="42">
        <f t="shared" si="18"/>
        <v>16</v>
      </c>
      <c r="N172" s="42">
        <f t="shared" si="19"/>
        <v>6</v>
      </c>
      <c r="O172" s="42">
        <f t="shared" si="20"/>
        <v>4</v>
      </c>
      <c r="P172" s="44">
        <f t="shared" si="21"/>
        <v>1</v>
      </c>
      <c r="Q172" s="3"/>
      <c r="R172" s="3"/>
    </row>
    <row r="173" spans="1:18" x14ac:dyDescent="0.3">
      <c r="A173" s="59">
        <v>1850</v>
      </c>
      <c r="B173" s="61">
        <v>0</v>
      </c>
      <c r="C173" s="43">
        <v>0</v>
      </c>
      <c r="D173" s="42">
        <v>0</v>
      </c>
      <c r="E173" s="42">
        <v>0</v>
      </c>
      <c r="F173" s="42">
        <v>0</v>
      </c>
      <c r="G173" s="42">
        <v>0</v>
      </c>
      <c r="H173" s="42">
        <v>0</v>
      </c>
      <c r="I173" s="44">
        <v>0</v>
      </c>
      <c r="J173" s="43">
        <f t="shared" si="15"/>
        <v>61</v>
      </c>
      <c r="K173" s="42">
        <f t="shared" si="16"/>
        <v>66</v>
      </c>
      <c r="L173" s="42">
        <f t="shared" si="17"/>
        <v>44</v>
      </c>
      <c r="M173" s="42">
        <f t="shared" si="18"/>
        <v>16</v>
      </c>
      <c r="N173" s="42">
        <f t="shared" si="19"/>
        <v>6</v>
      </c>
      <c r="O173" s="42">
        <f t="shared" si="20"/>
        <v>4</v>
      </c>
      <c r="P173" s="44">
        <f t="shared" si="21"/>
        <v>1</v>
      </c>
      <c r="Q173" s="3"/>
      <c r="R173" s="3"/>
    </row>
    <row r="174" spans="1:18" x14ac:dyDescent="0.3">
      <c r="A174" s="59">
        <v>1849</v>
      </c>
      <c r="B174" s="61">
        <v>4.4000000000000004</v>
      </c>
      <c r="C174" s="43">
        <v>0</v>
      </c>
      <c r="D174" s="42">
        <v>1</v>
      </c>
      <c r="E174" s="42">
        <v>1</v>
      </c>
      <c r="F174" s="42">
        <v>0</v>
      </c>
      <c r="G174" s="42">
        <v>0</v>
      </c>
      <c r="H174" s="42">
        <v>0</v>
      </c>
      <c r="I174" s="44">
        <v>0</v>
      </c>
      <c r="J174" s="43">
        <f t="shared" si="15"/>
        <v>61</v>
      </c>
      <c r="K174" s="42">
        <f t="shared" si="16"/>
        <v>67</v>
      </c>
      <c r="L174" s="42">
        <f t="shared" si="17"/>
        <v>45</v>
      </c>
      <c r="M174" s="42">
        <f t="shared" si="18"/>
        <v>16</v>
      </c>
      <c r="N174" s="42">
        <f t="shared" si="19"/>
        <v>6</v>
      </c>
      <c r="O174" s="42">
        <f t="shared" si="20"/>
        <v>4</v>
      </c>
      <c r="P174" s="44">
        <f t="shared" si="21"/>
        <v>1</v>
      </c>
      <c r="Q174" s="3"/>
      <c r="R174" s="3"/>
    </row>
    <row r="175" spans="1:18" x14ac:dyDescent="0.3">
      <c r="A175" s="59">
        <v>1848</v>
      </c>
      <c r="B175" s="61">
        <v>6</v>
      </c>
      <c r="C175" s="43">
        <v>0</v>
      </c>
      <c r="D175" s="42">
        <v>0</v>
      </c>
      <c r="E175" s="42">
        <v>0</v>
      </c>
      <c r="F175" s="42">
        <v>0</v>
      </c>
      <c r="G175" s="42">
        <v>0</v>
      </c>
      <c r="H175" s="42">
        <v>1</v>
      </c>
      <c r="I175" s="44">
        <v>0</v>
      </c>
      <c r="J175" s="43">
        <f t="shared" si="15"/>
        <v>61</v>
      </c>
      <c r="K175" s="42">
        <f t="shared" si="16"/>
        <v>67</v>
      </c>
      <c r="L175" s="42">
        <f t="shared" si="17"/>
        <v>45</v>
      </c>
      <c r="M175" s="42">
        <f t="shared" si="18"/>
        <v>16</v>
      </c>
      <c r="N175" s="42">
        <f t="shared" si="19"/>
        <v>6</v>
      </c>
      <c r="O175" s="42">
        <f t="shared" si="20"/>
        <v>5</v>
      </c>
      <c r="P175" s="44">
        <f t="shared" si="21"/>
        <v>1</v>
      </c>
      <c r="Q175" s="3"/>
      <c r="R175" s="3"/>
    </row>
    <row r="176" spans="1:18" x14ac:dyDescent="0.3">
      <c r="A176" s="59">
        <v>1847</v>
      </c>
      <c r="B176" s="61">
        <v>6.5</v>
      </c>
      <c r="C176" s="43">
        <v>0</v>
      </c>
      <c r="D176" s="42">
        <v>0</v>
      </c>
      <c r="E176" s="42">
        <v>0</v>
      </c>
      <c r="F176" s="42">
        <v>0</v>
      </c>
      <c r="G176" s="42">
        <v>0</v>
      </c>
      <c r="H176" s="42">
        <v>0</v>
      </c>
      <c r="I176" s="44">
        <v>1</v>
      </c>
      <c r="J176" s="43">
        <f t="shared" si="15"/>
        <v>61</v>
      </c>
      <c r="K176" s="42">
        <f t="shared" si="16"/>
        <v>67</v>
      </c>
      <c r="L176" s="42">
        <f t="shared" si="17"/>
        <v>45</v>
      </c>
      <c r="M176" s="42">
        <f t="shared" si="18"/>
        <v>16</v>
      </c>
      <c r="N176" s="42">
        <f t="shared" si="19"/>
        <v>6</v>
      </c>
      <c r="O176" s="42">
        <f t="shared" si="20"/>
        <v>5</v>
      </c>
      <c r="P176" s="44">
        <f t="shared" si="21"/>
        <v>2</v>
      </c>
      <c r="Q176" s="3"/>
      <c r="R176" s="3"/>
    </row>
    <row r="177" spans="1:18" x14ac:dyDescent="0.3">
      <c r="A177" s="59">
        <v>1846</v>
      </c>
      <c r="B177" s="61">
        <v>6.5</v>
      </c>
      <c r="C177" s="43">
        <v>0</v>
      </c>
      <c r="D177" s="42">
        <v>0</v>
      </c>
      <c r="E177" s="42">
        <v>0</v>
      </c>
      <c r="F177" s="42">
        <v>0</v>
      </c>
      <c r="G177" s="42">
        <v>0</v>
      </c>
      <c r="H177" s="42">
        <v>0</v>
      </c>
      <c r="I177" s="44">
        <v>1</v>
      </c>
      <c r="J177" s="43">
        <f t="shared" si="15"/>
        <v>61</v>
      </c>
      <c r="K177" s="42">
        <f t="shared" si="16"/>
        <v>67</v>
      </c>
      <c r="L177" s="42">
        <f t="shared" si="17"/>
        <v>45</v>
      </c>
      <c r="M177" s="42">
        <f t="shared" si="18"/>
        <v>16</v>
      </c>
      <c r="N177" s="42">
        <f t="shared" si="19"/>
        <v>6</v>
      </c>
      <c r="O177" s="42">
        <f t="shared" si="20"/>
        <v>5</v>
      </c>
      <c r="P177" s="44">
        <f t="shared" si="21"/>
        <v>3</v>
      </c>
      <c r="Q177" s="3"/>
      <c r="R177" s="3"/>
    </row>
    <row r="178" spans="1:18" x14ac:dyDescent="0.3">
      <c r="A178" s="59">
        <v>1845</v>
      </c>
      <c r="B178" s="61">
        <v>0</v>
      </c>
      <c r="C178" s="43">
        <v>0</v>
      </c>
      <c r="D178" s="42">
        <v>0</v>
      </c>
      <c r="E178" s="42">
        <v>0</v>
      </c>
      <c r="F178" s="42">
        <v>0</v>
      </c>
      <c r="G178" s="42">
        <v>0</v>
      </c>
      <c r="H178" s="42">
        <v>0</v>
      </c>
      <c r="I178" s="44">
        <v>0</v>
      </c>
      <c r="J178" s="43">
        <f t="shared" si="15"/>
        <v>61</v>
      </c>
      <c r="K178" s="42">
        <f t="shared" si="16"/>
        <v>67</v>
      </c>
      <c r="L178" s="42">
        <f t="shared" si="17"/>
        <v>45</v>
      </c>
      <c r="M178" s="42">
        <f t="shared" si="18"/>
        <v>16</v>
      </c>
      <c r="N178" s="42">
        <f t="shared" si="19"/>
        <v>6</v>
      </c>
      <c r="O178" s="42">
        <f t="shared" si="20"/>
        <v>5</v>
      </c>
      <c r="P178" s="44">
        <f t="shared" si="21"/>
        <v>3</v>
      </c>
      <c r="Q178" s="3"/>
      <c r="R178" s="3"/>
    </row>
    <row r="179" spans="1:18" x14ac:dyDescent="0.3">
      <c r="A179" s="59">
        <v>1844</v>
      </c>
      <c r="B179" s="61">
        <v>0</v>
      </c>
      <c r="C179" s="43">
        <v>0</v>
      </c>
      <c r="D179" s="42">
        <v>0</v>
      </c>
      <c r="E179" s="42">
        <v>0</v>
      </c>
      <c r="F179" s="42">
        <v>0</v>
      </c>
      <c r="G179" s="42">
        <v>0</v>
      </c>
      <c r="H179" s="42">
        <v>0</v>
      </c>
      <c r="I179" s="44">
        <v>0</v>
      </c>
      <c r="J179" s="43">
        <f t="shared" si="15"/>
        <v>61</v>
      </c>
      <c r="K179" s="42">
        <f t="shared" si="16"/>
        <v>67</v>
      </c>
      <c r="L179" s="42">
        <f t="shared" si="17"/>
        <v>45</v>
      </c>
      <c r="M179" s="42">
        <f t="shared" si="18"/>
        <v>16</v>
      </c>
      <c r="N179" s="42">
        <f t="shared" si="19"/>
        <v>6</v>
      </c>
      <c r="O179" s="42">
        <f t="shared" si="20"/>
        <v>5</v>
      </c>
      <c r="P179" s="44">
        <f t="shared" si="21"/>
        <v>3</v>
      </c>
      <c r="Q179" s="3"/>
      <c r="R179" s="3"/>
    </row>
    <row r="180" spans="1:18" x14ac:dyDescent="0.3">
      <c r="A180" s="59">
        <v>1843</v>
      </c>
      <c r="B180" s="61">
        <v>4.2</v>
      </c>
      <c r="C180" s="43">
        <v>0</v>
      </c>
      <c r="D180" s="42">
        <v>1</v>
      </c>
      <c r="E180" s="42">
        <v>0</v>
      </c>
      <c r="F180" s="42">
        <v>0</v>
      </c>
      <c r="G180" s="42">
        <v>0</v>
      </c>
      <c r="H180" s="42">
        <v>0</v>
      </c>
      <c r="I180" s="44">
        <v>0</v>
      </c>
      <c r="J180" s="43">
        <f t="shared" si="15"/>
        <v>61</v>
      </c>
      <c r="K180" s="42">
        <f t="shared" si="16"/>
        <v>68</v>
      </c>
      <c r="L180" s="42">
        <f t="shared" si="17"/>
        <v>45</v>
      </c>
      <c r="M180" s="42">
        <f t="shared" si="18"/>
        <v>16</v>
      </c>
      <c r="N180" s="42">
        <f t="shared" si="19"/>
        <v>6</v>
      </c>
      <c r="O180" s="42">
        <f t="shared" si="20"/>
        <v>5</v>
      </c>
      <c r="P180" s="44">
        <f t="shared" si="21"/>
        <v>3</v>
      </c>
      <c r="Q180" s="3"/>
      <c r="R180" s="3"/>
    </row>
    <row r="181" spans="1:18" x14ac:dyDescent="0.3">
      <c r="A181" s="59">
        <v>1842</v>
      </c>
      <c r="B181" s="61">
        <v>4.9000000000000004</v>
      </c>
      <c r="C181" s="43">
        <v>0</v>
      </c>
      <c r="D181" s="42">
        <v>1</v>
      </c>
      <c r="E181" s="42">
        <v>0</v>
      </c>
      <c r="F181" s="42">
        <v>0</v>
      </c>
      <c r="G181" s="42">
        <v>1</v>
      </c>
      <c r="H181" s="42">
        <v>0</v>
      </c>
      <c r="I181" s="44">
        <v>0</v>
      </c>
      <c r="J181" s="43">
        <f t="shared" si="15"/>
        <v>61</v>
      </c>
      <c r="K181" s="42">
        <f t="shared" si="16"/>
        <v>69</v>
      </c>
      <c r="L181" s="42">
        <f t="shared" si="17"/>
        <v>45</v>
      </c>
      <c r="M181" s="42">
        <f t="shared" si="18"/>
        <v>16</v>
      </c>
      <c r="N181" s="42">
        <f t="shared" si="19"/>
        <v>7</v>
      </c>
      <c r="O181" s="42">
        <f t="shared" si="20"/>
        <v>5</v>
      </c>
      <c r="P181" s="44">
        <f t="shared" si="21"/>
        <v>3</v>
      </c>
      <c r="Q181" s="3"/>
      <c r="R181" s="3"/>
    </row>
    <row r="182" spans="1:18" x14ac:dyDescent="0.3">
      <c r="A182" s="59">
        <v>1841</v>
      </c>
      <c r="B182" s="61">
        <v>0</v>
      </c>
      <c r="C182" s="43">
        <v>0</v>
      </c>
      <c r="D182" s="42">
        <v>0</v>
      </c>
      <c r="E182" s="42">
        <v>0</v>
      </c>
      <c r="F182" s="42">
        <v>0</v>
      </c>
      <c r="G182" s="42">
        <v>0</v>
      </c>
      <c r="H182" s="42">
        <v>0</v>
      </c>
      <c r="I182" s="44">
        <v>0</v>
      </c>
      <c r="J182" s="43">
        <f t="shared" si="15"/>
        <v>61</v>
      </c>
      <c r="K182" s="42">
        <f t="shared" si="16"/>
        <v>69</v>
      </c>
      <c r="L182" s="42">
        <f t="shared" si="17"/>
        <v>45</v>
      </c>
      <c r="M182" s="42">
        <f t="shared" si="18"/>
        <v>16</v>
      </c>
      <c r="N182" s="42">
        <f t="shared" si="19"/>
        <v>7</v>
      </c>
      <c r="O182" s="42">
        <f t="shared" si="20"/>
        <v>5</v>
      </c>
      <c r="P182" s="44">
        <f t="shared" si="21"/>
        <v>3</v>
      </c>
      <c r="Q182" s="3"/>
      <c r="R182" s="3"/>
    </row>
    <row r="183" spans="1:18" x14ac:dyDescent="0.3">
      <c r="A183" s="59">
        <v>1840</v>
      </c>
      <c r="B183" s="61">
        <v>4.3</v>
      </c>
      <c r="C183" s="43">
        <v>0</v>
      </c>
      <c r="D183" s="42">
        <v>1</v>
      </c>
      <c r="E183" s="42">
        <v>0</v>
      </c>
      <c r="F183" s="42">
        <v>0</v>
      </c>
      <c r="G183" s="42">
        <v>0</v>
      </c>
      <c r="H183" s="42">
        <v>0</v>
      </c>
      <c r="I183" s="44">
        <v>0</v>
      </c>
      <c r="J183" s="43">
        <f t="shared" si="15"/>
        <v>61</v>
      </c>
      <c r="K183" s="42">
        <f t="shared" si="16"/>
        <v>70</v>
      </c>
      <c r="L183" s="42">
        <f t="shared" si="17"/>
        <v>45</v>
      </c>
      <c r="M183" s="42">
        <f t="shared" si="18"/>
        <v>16</v>
      </c>
      <c r="N183" s="42">
        <f t="shared" si="19"/>
        <v>7</v>
      </c>
      <c r="O183" s="42">
        <f t="shared" si="20"/>
        <v>5</v>
      </c>
      <c r="P183" s="44">
        <f t="shared" si="21"/>
        <v>3</v>
      </c>
      <c r="Q183" s="3"/>
      <c r="R183" s="3"/>
    </row>
    <row r="184" spans="1:18" x14ac:dyDescent="0.3">
      <c r="A184" s="59">
        <v>1839</v>
      </c>
      <c r="B184" s="61">
        <v>0</v>
      </c>
      <c r="C184" s="43">
        <v>0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4">
        <v>0</v>
      </c>
      <c r="J184" s="43">
        <f t="shared" si="15"/>
        <v>61</v>
      </c>
      <c r="K184" s="42">
        <f t="shared" si="16"/>
        <v>70</v>
      </c>
      <c r="L184" s="42">
        <f t="shared" si="17"/>
        <v>45</v>
      </c>
      <c r="M184" s="42">
        <f t="shared" si="18"/>
        <v>16</v>
      </c>
      <c r="N184" s="42">
        <f t="shared" si="19"/>
        <v>7</v>
      </c>
      <c r="O184" s="42">
        <f t="shared" si="20"/>
        <v>5</v>
      </c>
      <c r="P184" s="44">
        <f t="shared" si="21"/>
        <v>3</v>
      </c>
      <c r="Q184" s="3"/>
      <c r="R184" s="3"/>
    </row>
    <row r="185" spans="1:18" x14ac:dyDescent="0.3">
      <c r="A185" s="59">
        <v>1838</v>
      </c>
      <c r="B185" s="61">
        <v>0</v>
      </c>
      <c r="C185" s="43">
        <v>0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4">
        <v>0</v>
      </c>
      <c r="J185" s="43">
        <f t="shared" si="15"/>
        <v>61</v>
      </c>
      <c r="K185" s="42">
        <f t="shared" si="16"/>
        <v>70</v>
      </c>
      <c r="L185" s="42">
        <f t="shared" si="17"/>
        <v>45</v>
      </c>
      <c r="M185" s="42">
        <f t="shared" si="18"/>
        <v>16</v>
      </c>
      <c r="N185" s="42">
        <f t="shared" si="19"/>
        <v>7</v>
      </c>
      <c r="O185" s="42">
        <f t="shared" si="20"/>
        <v>5</v>
      </c>
      <c r="P185" s="44">
        <f t="shared" si="21"/>
        <v>3</v>
      </c>
      <c r="Q185" s="3"/>
      <c r="R185" s="3"/>
    </row>
    <row r="186" spans="1:18" x14ac:dyDescent="0.3">
      <c r="A186" s="59">
        <v>1837</v>
      </c>
      <c r="B186" s="61">
        <v>0</v>
      </c>
      <c r="C186" s="43">
        <v>0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4">
        <v>0</v>
      </c>
      <c r="J186" s="43">
        <f t="shared" si="15"/>
        <v>61</v>
      </c>
      <c r="K186" s="42">
        <f t="shared" si="16"/>
        <v>70</v>
      </c>
      <c r="L186" s="42">
        <f t="shared" si="17"/>
        <v>45</v>
      </c>
      <c r="M186" s="42">
        <f t="shared" si="18"/>
        <v>16</v>
      </c>
      <c r="N186" s="42">
        <f t="shared" si="19"/>
        <v>7</v>
      </c>
      <c r="O186" s="42">
        <f t="shared" si="20"/>
        <v>5</v>
      </c>
      <c r="P186" s="44">
        <f t="shared" si="21"/>
        <v>3</v>
      </c>
      <c r="Q186" s="3"/>
      <c r="R186" s="3"/>
    </row>
    <row r="187" spans="1:18" x14ac:dyDescent="0.3">
      <c r="A187" s="59">
        <v>1836</v>
      </c>
      <c r="B187" s="61">
        <v>0</v>
      </c>
      <c r="C187" s="43">
        <v>0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4">
        <v>0</v>
      </c>
      <c r="J187" s="43">
        <f t="shared" si="15"/>
        <v>61</v>
      </c>
      <c r="K187" s="42">
        <f t="shared" si="16"/>
        <v>70</v>
      </c>
      <c r="L187" s="42">
        <f t="shared" si="17"/>
        <v>45</v>
      </c>
      <c r="M187" s="42">
        <f t="shared" si="18"/>
        <v>16</v>
      </c>
      <c r="N187" s="42">
        <f t="shared" si="19"/>
        <v>7</v>
      </c>
      <c r="O187" s="42">
        <f t="shared" si="20"/>
        <v>5</v>
      </c>
      <c r="P187" s="44">
        <f t="shared" si="21"/>
        <v>3</v>
      </c>
      <c r="Q187" s="3"/>
      <c r="R187" s="3"/>
    </row>
    <row r="188" spans="1:18" x14ac:dyDescent="0.3">
      <c r="A188" s="59">
        <v>1835</v>
      </c>
      <c r="B188" s="61">
        <v>0</v>
      </c>
      <c r="C188" s="43">
        <v>0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4">
        <v>0</v>
      </c>
      <c r="J188" s="43">
        <f t="shared" si="15"/>
        <v>61</v>
      </c>
      <c r="K188" s="42">
        <f t="shared" si="16"/>
        <v>70</v>
      </c>
      <c r="L188" s="42">
        <f t="shared" si="17"/>
        <v>45</v>
      </c>
      <c r="M188" s="42">
        <f t="shared" si="18"/>
        <v>16</v>
      </c>
      <c r="N188" s="42">
        <f t="shared" si="19"/>
        <v>7</v>
      </c>
      <c r="O188" s="42">
        <f t="shared" si="20"/>
        <v>5</v>
      </c>
      <c r="P188" s="44">
        <f t="shared" si="21"/>
        <v>3</v>
      </c>
      <c r="Q188" s="3"/>
      <c r="R188" s="3"/>
    </row>
    <row r="189" spans="1:18" x14ac:dyDescent="0.3">
      <c r="A189" s="59">
        <v>1834</v>
      </c>
      <c r="B189" s="61">
        <v>0</v>
      </c>
      <c r="C189" s="43">
        <v>0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4">
        <v>0</v>
      </c>
      <c r="J189" s="43">
        <f t="shared" si="15"/>
        <v>61</v>
      </c>
      <c r="K189" s="42">
        <f t="shared" si="16"/>
        <v>70</v>
      </c>
      <c r="L189" s="42">
        <f t="shared" si="17"/>
        <v>45</v>
      </c>
      <c r="M189" s="42">
        <f t="shared" si="18"/>
        <v>16</v>
      </c>
      <c r="N189" s="42">
        <f t="shared" si="19"/>
        <v>7</v>
      </c>
      <c r="O189" s="42">
        <f t="shared" si="20"/>
        <v>5</v>
      </c>
      <c r="P189" s="44">
        <f t="shared" si="21"/>
        <v>3</v>
      </c>
      <c r="Q189" s="3"/>
      <c r="R189" s="3"/>
    </row>
    <row r="190" spans="1:18" x14ac:dyDescent="0.3">
      <c r="A190" s="59">
        <v>1833</v>
      </c>
      <c r="B190" s="61">
        <v>0</v>
      </c>
      <c r="C190" s="43">
        <v>0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4">
        <v>0</v>
      </c>
      <c r="J190" s="43">
        <f t="shared" si="15"/>
        <v>61</v>
      </c>
      <c r="K190" s="42">
        <f t="shared" si="16"/>
        <v>70</v>
      </c>
      <c r="L190" s="42">
        <f t="shared" si="17"/>
        <v>45</v>
      </c>
      <c r="M190" s="42">
        <f t="shared" si="18"/>
        <v>16</v>
      </c>
      <c r="N190" s="42">
        <f t="shared" si="19"/>
        <v>7</v>
      </c>
      <c r="O190" s="42">
        <f t="shared" si="20"/>
        <v>5</v>
      </c>
      <c r="P190" s="44">
        <f t="shared" si="21"/>
        <v>3</v>
      </c>
      <c r="Q190" s="3"/>
      <c r="R190" s="3"/>
    </row>
    <row r="191" spans="1:18" x14ac:dyDescent="0.3">
      <c r="A191" s="59">
        <v>1832</v>
      </c>
      <c r="B191" s="61">
        <v>0</v>
      </c>
      <c r="C191" s="43">
        <v>0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4">
        <v>0</v>
      </c>
      <c r="J191" s="43">
        <f t="shared" si="15"/>
        <v>61</v>
      </c>
      <c r="K191" s="42">
        <f t="shared" si="16"/>
        <v>70</v>
      </c>
      <c r="L191" s="42">
        <f t="shared" si="17"/>
        <v>45</v>
      </c>
      <c r="M191" s="42">
        <f t="shared" si="18"/>
        <v>16</v>
      </c>
      <c r="N191" s="42">
        <f t="shared" si="19"/>
        <v>7</v>
      </c>
      <c r="O191" s="42">
        <f t="shared" si="20"/>
        <v>5</v>
      </c>
      <c r="P191" s="44">
        <f t="shared" si="21"/>
        <v>3</v>
      </c>
      <c r="Q191" s="3"/>
      <c r="R191" s="3"/>
    </row>
    <row r="192" spans="1:18" x14ac:dyDescent="0.3">
      <c r="A192" s="59">
        <v>1831</v>
      </c>
      <c r="B192" s="61">
        <v>0</v>
      </c>
      <c r="C192" s="43">
        <v>0</v>
      </c>
      <c r="D192" s="42">
        <v>0</v>
      </c>
      <c r="E192" s="42">
        <v>0</v>
      </c>
      <c r="F192" s="42">
        <v>0</v>
      </c>
      <c r="G192" s="42">
        <v>0</v>
      </c>
      <c r="H192" s="42">
        <v>0</v>
      </c>
      <c r="I192" s="44">
        <v>0</v>
      </c>
      <c r="J192" s="43">
        <f t="shared" si="15"/>
        <v>61</v>
      </c>
      <c r="K192" s="42">
        <f t="shared" si="16"/>
        <v>70</v>
      </c>
      <c r="L192" s="42">
        <f t="shared" si="17"/>
        <v>45</v>
      </c>
      <c r="M192" s="42">
        <f t="shared" si="18"/>
        <v>16</v>
      </c>
      <c r="N192" s="42">
        <f t="shared" si="19"/>
        <v>7</v>
      </c>
      <c r="O192" s="42">
        <f t="shared" si="20"/>
        <v>5</v>
      </c>
      <c r="P192" s="44">
        <f t="shared" si="21"/>
        <v>3</v>
      </c>
      <c r="Q192" s="3"/>
      <c r="R192" s="3"/>
    </row>
    <row r="193" spans="1:18" x14ac:dyDescent="0.3">
      <c r="A193" s="59">
        <v>1830</v>
      </c>
      <c r="B193" s="61">
        <v>0</v>
      </c>
      <c r="C193" s="43">
        <v>0</v>
      </c>
      <c r="D193" s="42">
        <v>0</v>
      </c>
      <c r="E193" s="42">
        <v>0</v>
      </c>
      <c r="F193" s="42">
        <v>0</v>
      </c>
      <c r="G193" s="42">
        <v>0</v>
      </c>
      <c r="H193" s="42">
        <v>0</v>
      </c>
      <c r="I193" s="44">
        <v>0</v>
      </c>
      <c r="J193" s="43">
        <f t="shared" si="15"/>
        <v>61</v>
      </c>
      <c r="K193" s="42">
        <f t="shared" si="16"/>
        <v>70</v>
      </c>
      <c r="L193" s="42">
        <f t="shared" si="17"/>
        <v>45</v>
      </c>
      <c r="M193" s="42">
        <f t="shared" si="18"/>
        <v>16</v>
      </c>
      <c r="N193" s="42">
        <f t="shared" si="19"/>
        <v>7</v>
      </c>
      <c r="O193" s="42">
        <f t="shared" si="20"/>
        <v>5</v>
      </c>
      <c r="P193" s="44">
        <f t="shared" si="21"/>
        <v>3</v>
      </c>
      <c r="Q193" s="3"/>
      <c r="R193" s="3"/>
    </row>
    <row r="194" spans="1:18" x14ac:dyDescent="0.3">
      <c r="A194" s="59">
        <v>1829</v>
      </c>
      <c r="B194" s="61">
        <v>0</v>
      </c>
      <c r="C194" s="43">
        <v>0</v>
      </c>
      <c r="D194" s="42">
        <v>0</v>
      </c>
      <c r="E194" s="42">
        <v>0</v>
      </c>
      <c r="F194" s="42">
        <v>0</v>
      </c>
      <c r="G194" s="42">
        <v>0</v>
      </c>
      <c r="H194" s="42">
        <v>0</v>
      </c>
      <c r="I194" s="44">
        <v>0</v>
      </c>
      <c r="J194" s="43">
        <f t="shared" si="15"/>
        <v>61</v>
      </c>
      <c r="K194" s="42">
        <f t="shared" si="16"/>
        <v>70</v>
      </c>
      <c r="L194" s="42">
        <f t="shared" si="17"/>
        <v>45</v>
      </c>
      <c r="M194" s="42">
        <f t="shared" si="18"/>
        <v>16</v>
      </c>
      <c r="N194" s="42">
        <f t="shared" si="19"/>
        <v>7</v>
      </c>
      <c r="O194" s="42">
        <f t="shared" si="20"/>
        <v>5</v>
      </c>
      <c r="P194" s="44">
        <f t="shared" si="21"/>
        <v>3</v>
      </c>
      <c r="Q194" s="3"/>
      <c r="R194" s="3"/>
    </row>
    <row r="195" spans="1:18" x14ac:dyDescent="0.3">
      <c r="A195" s="59">
        <v>1828</v>
      </c>
      <c r="B195" s="61">
        <v>0</v>
      </c>
      <c r="C195" s="43">
        <v>0</v>
      </c>
      <c r="D195" s="42">
        <v>0</v>
      </c>
      <c r="E195" s="42">
        <v>0</v>
      </c>
      <c r="F195" s="42">
        <v>0</v>
      </c>
      <c r="G195" s="42">
        <v>0</v>
      </c>
      <c r="H195" s="42">
        <v>0</v>
      </c>
      <c r="I195" s="44">
        <v>0</v>
      </c>
      <c r="J195" s="43">
        <f t="shared" si="15"/>
        <v>61</v>
      </c>
      <c r="K195" s="42">
        <f t="shared" si="16"/>
        <v>70</v>
      </c>
      <c r="L195" s="42">
        <f t="shared" si="17"/>
        <v>45</v>
      </c>
      <c r="M195" s="42">
        <f t="shared" si="18"/>
        <v>16</v>
      </c>
      <c r="N195" s="42">
        <f t="shared" si="19"/>
        <v>7</v>
      </c>
      <c r="O195" s="42">
        <f t="shared" si="20"/>
        <v>5</v>
      </c>
      <c r="P195" s="44">
        <f t="shared" si="21"/>
        <v>3</v>
      </c>
      <c r="Q195" s="3"/>
      <c r="R195" s="3"/>
    </row>
    <row r="196" spans="1:18" x14ac:dyDescent="0.3">
      <c r="A196" s="59">
        <v>1827</v>
      </c>
      <c r="B196" s="61">
        <v>0</v>
      </c>
      <c r="C196" s="43">
        <v>0</v>
      </c>
      <c r="D196" s="42">
        <v>0</v>
      </c>
      <c r="E196" s="42">
        <v>0</v>
      </c>
      <c r="F196" s="42">
        <v>0</v>
      </c>
      <c r="G196" s="42">
        <v>0</v>
      </c>
      <c r="H196" s="42">
        <v>0</v>
      </c>
      <c r="I196" s="44">
        <v>0</v>
      </c>
      <c r="J196" s="43">
        <f t="shared" ref="J196:J259" si="22">J195+C196</f>
        <v>61</v>
      </c>
      <c r="K196" s="42">
        <f t="shared" ref="K196:K259" si="23">K195+D196</f>
        <v>70</v>
      </c>
      <c r="L196" s="42">
        <f t="shared" ref="L196:L259" si="24">L195+E196</f>
        <v>45</v>
      </c>
      <c r="M196" s="42">
        <f t="shared" ref="M196:M259" si="25">M195+F196</f>
        <v>16</v>
      </c>
      <c r="N196" s="42">
        <f t="shared" ref="N196:N259" si="26">N195+G196</f>
        <v>7</v>
      </c>
      <c r="O196" s="42">
        <f t="shared" ref="O196:O259" si="27">O195+H196</f>
        <v>5</v>
      </c>
      <c r="P196" s="44">
        <f t="shared" ref="P196:P259" si="28">P195+I196</f>
        <v>3</v>
      </c>
      <c r="Q196" s="3"/>
      <c r="R196" s="3"/>
    </row>
    <row r="197" spans="1:18" x14ac:dyDescent="0.3">
      <c r="A197" s="59">
        <v>1826</v>
      </c>
      <c r="B197" s="61">
        <v>0</v>
      </c>
      <c r="C197" s="43">
        <v>0</v>
      </c>
      <c r="D197" s="42">
        <v>0</v>
      </c>
      <c r="E197" s="42">
        <v>0</v>
      </c>
      <c r="F197" s="42">
        <v>0</v>
      </c>
      <c r="G197" s="42">
        <v>0</v>
      </c>
      <c r="H197" s="42">
        <v>0</v>
      </c>
      <c r="I197" s="44">
        <v>0</v>
      </c>
      <c r="J197" s="43">
        <f t="shared" si="22"/>
        <v>61</v>
      </c>
      <c r="K197" s="42">
        <f t="shared" si="23"/>
        <v>70</v>
      </c>
      <c r="L197" s="42">
        <f t="shared" si="24"/>
        <v>45</v>
      </c>
      <c r="M197" s="42">
        <f t="shared" si="25"/>
        <v>16</v>
      </c>
      <c r="N197" s="42">
        <f t="shared" si="26"/>
        <v>7</v>
      </c>
      <c r="O197" s="42">
        <f t="shared" si="27"/>
        <v>5</v>
      </c>
      <c r="P197" s="44">
        <f t="shared" si="28"/>
        <v>3</v>
      </c>
      <c r="Q197" s="3"/>
      <c r="R197" s="3"/>
    </row>
    <row r="198" spans="1:18" x14ac:dyDescent="0.3">
      <c r="A198" s="59">
        <v>1825</v>
      </c>
      <c r="B198" s="61">
        <v>0</v>
      </c>
      <c r="C198" s="43">
        <v>0</v>
      </c>
      <c r="D198" s="42">
        <v>0</v>
      </c>
      <c r="E198" s="42">
        <v>0</v>
      </c>
      <c r="F198" s="42">
        <v>0</v>
      </c>
      <c r="G198" s="42">
        <v>0</v>
      </c>
      <c r="H198" s="42">
        <v>0</v>
      </c>
      <c r="I198" s="44">
        <v>0</v>
      </c>
      <c r="J198" s="43">
        <f t="shared" si="22"/>
        <v>61</v>
      </c>
      <c r="K198" s="42">
        <f t="shared" si="23"/>
        <v>70</v>
      </c>
      <c r="L198" s="42">
        <f t="shared" si="24"/>
        <v>45</v>
      </c>
      <c r="M198" s="42">
        <f t="shared" si="25"/>
        <v>16</v>
      </c>
      <c r="N198" s="42">
        <f t="shared" si="26"/>
        <v>7</v>
      </c>
      <c r="O198" s="42">
        <f t="shared" si="27"/>
        <v>5</v>
      </c>
      <c r="P198" s="44">
        <f t="shared" si="28"/>
        <v>3</v>
      </c>
      <c r="Q198" s="3"/>
      <c r="R198" s="3"/>
    </row>
    <row r="199" spans="1:18" x14ac:dyDescent="0.3">
      <c r="A199" s="59">
        <v>1824</v>
      </c>
      <c r="B199" s="61">
        <v>0</v>
      </c>
      <c r="C199" s="43">
        <v>0</v>
      </c>
      <c r="D199" s="42">
        <v>0</v>
      </c>
      <c r="E199" s="42">
        <v>0</v>
      </c>
      <c r="F199" s="42">
        <v>0</v>
      </c>
      <c r="G199" s="42">
        <v>0</v>
      </c>
      <c r="H199" s="42">
        <v>0</v>
      </c>
      <c r="I199" s="44">
        <v>0</v>
      </c>
      <c r="J199" s="43">
        <f t="shared" si="22"/>
        <v>61</v>
      </c>
      <c r="K199" s="42">
        <f t="shared" si="23"/>
        <v>70</v>
      </c>
      <c r="L199" s="42">
        <f t="shared" si="24"/>
        <v>45</v>
      </c>
      <c r="M199" s="42">
        <f t="shared" si="25"/>
        <v>16</v>
      </c>
      <c r="N199" s="42">
        <f t="shared" si="26"/>
        <v>7</v>
      </c>
      <c r="O199" s="42">
        <f t="shared" si="27"/>
        <v>5</v>
      </c>
      <c r="P199" s="44">
        <f t="shared" si="28"/>
        <v>3</v>
      </c>
      <c r="Q199" s="3"/>
      <c r="R199" s="3"/>
    </row>
    <row r="200" spans="1:18" x14ac:dyDescent="0.3">
      <c r="A200" s="59">
        <v>1823</v>
      </c>
      <c r="B200" s="61">
        <v>0</v>
      </c>
      <c r="C200" s="43">
        <v>0</v>
      </c>
      <c r="D200" s="42">
        <v>0</v>
      </c>
      <c r="E200" s="42">
        <v>0</v>
      </c>
      <c r="F200" s="42">
        <v>0</v>
      </c>
      <c r="G200" s="42">
        <v>0</v>
      </c>
      <c r="H200" s="42">
        <v>0</v>
      </c>
      <c r="I200" s="44">
        <v>0</v>
      </c>
      <c r="J200" s="43">
        <f t="shared" si="22"/>
        <v>61</v>
      </c>
      <c r="K200" s="42">
        <f t="shared" si="23"/>
        <v>70</v>
      </c>
      <c r="L200" s="42">
        <f t="shared" si="24"/>
        <v>45</v>
      </c>
      <c r="M200" s="42">
        <f t="shared" si="25"/>
        <v>16</v>
      </c>
      <c r="N200" s="42">
        <f t="shared" si="26"/>
        <v>7</v>
      </c>
      <c r="O200" s="42">
        <f t="shared" si="27"/>
        <v>5</v>
      </c>
      <c r="P200" s="44">
        <f t="shared" si="28"/>
        <v>3</v>
      </c>
      <c r="Q200" s="3"/>
      <c r="R200" s="3"/>
    </row>
    <row r="201" spans="1:18" x14ac:dyDescent="0.3">
      <c r="A201" s="59">
        <v>1822</v>
      </c>
      <c r="B201" s="61">
        <v>0</v>
      </c>
      <c r="C201" s="43">
        <v>0</v>
      </c>
      <c r="D201" s="42">
        <v>0</v>
      </c>
      <c r="E201" s="42">
        <v>0</v>
      </c>
      <c r="F201" s="42">
        <v>0</v>
      </c>
      <c r="G201" s="42">
        <v>0</v>
      </c>
      <c r="H201" s="42">
        <v>0</v>
      </c>
      <c r="I201" s="44">
        <v>0</v>
      </c>
      <c r="J201" s="43">
        <f t="shared" si="22"/>
        <v>61</v>
      </c>
      <c r="K201" s="42">
        <f t="shared" si="23"/>
        <v>70</v>
      </c>
      <c r="L201" s="42">
        <f t="shared" si="24"/>
        <v>45</v>
      </c>
      <c r="M201" s="42">
        <f t="shared" si="25"/>
        <v>16</v>
      </c>
      <c r="N201" s="42">
        <f t="shared" si="26"/>
        <v>7</v>
      </c>
      <c r="O201" s="42">
        <f t="shared" si="27"/>
        <v>5</v>
      </c>
      <c r="P201" s="44">
        <f t="shared" si="28"/>
        <v>3</v>
      </c>
      <c r="Q201" s="3"/>
      <c r="R201" s="3"/>
    </row>
    <row r="202" spans="1:18" x14ac:dyDescent="0.3">
      <c r="A202" s="59">
        <v>1821</v>
      </c>
      <c r="B202" s="61">
        <v>0</v>
      </c>
      <c r="C202" s="43">
        <v>0</v>
      </c>
      <c r="D202" s="42">
        <v>0</v>
      </c>
      <c r="E202" s="42">
        <v>0</v>
      </c>
      <c r="F202" s="42">
        <v>0</v>
      </c>
      <c r="G202" s="42">
        <v>0</v>
      </c>
      <c r="H202" s="42">
        <v>0</v>
      </c>
      <c r="I202" s="44">
        <v>0</v>
      </c>
      <c r="J202" s="43">
        <f t="shared" si="22"/>
        <v>61</v>
      </c>
      <c r="K202" s="42">
        <f t="shared" si="23"/>
        <v>70</v>
      </c>
      <c r="L202" s="42">
        <f t="shared" si="24"/>
        <v>45</v>
      </c>
      <c r="M202" s="42">
        <f t="shared" si="25"/>
        <v>16</v>
      </c>
      <c r="N202" s="42">
        <f t="shared" si="26"/>
        <v>7</v>
      </c>
      <c r="O202" s="42">
        <f t="shared" si="27"/>
        <v>5</v>
      </c>
      <c r="P202" s="44">
        <f t="shared" si="28"/>
        <v>3</v>
      </c>
      <c r="Q202" s="3"/>
      <c r="R202" s="3"/>
    </row>
    <row r="203" spans="1:18" x14ac:dyDescent="0.3">
      <c r="A203" s="59">
        <v>1820</v>
      </c>
      <c r="B203" s="61">
        <v>0</v>
      </c>
      <c r="C203" s="43">
        <v>0</v>
      </c>
      <c r="D203" s="42">
        <v>0</v>
      </c>
      <c r="E203" s="42">
        <v>0</v>
      </c>
      <c r="F203" s="42">
        <v>0</v>
      </c>
      <c r="G203" s="42">
        <v>0</v>
      </c>
      <c r="H203" s="42">
        <v>0</v>
      </c>
      <c r="I203" s="44">
        <v>0</v>
      </c>
      <c r="J203" s="43">
        <f t="shared" si="22"/>
        <v>61</v>
      </c>
      <c r="K203" s="42">
        <f t="shared" si="23"/>
        <v>70</v>
      </c>
      <c r="L203" s="42">
        <f t="shared" si="24"/>
        <v>45</v>
      </c>
      <c r="M203" s="42">
        <f t="shared" si="25"/>
        <v>16</v>
      </c>
      <c r="N203" s="42">
        <f t="shared" si="26"/>
        <v>7</v>
      </c>
      <c r="O203" s="42">
        <f t="shared" si="27"/>
        <v>5</v>
      </c>
      <c r="P203" s="44">
        <f t="shared" si="28"/>
        <v>3</v>
      </c>
      <c r="Q203" s="3"/>
      <c r="R203" s="3"/>
    </row>
    <row r="204" spans="1:18" x14ac:dyDescent="0.3">
      <c r="A204" s="59">
        <v>1819</v>
      </c>
      <c r="B204" s="61">
        <v>0</v>
      </c>
      <c r="C204" s="43">
        <v>0</v>
      </c>
      <c r="D204" s="42">
        <v>0</v>
      </c>
      <c r="E204" s="42">
        <v>0</v>
      </c>
      <c r="F204" s="42">
        <v>0</v>
      </c>
      <c r="G204" s="42">
        <v>0</v>
      </c>
      <c r="H204" s="42">
        <v>0</v>
      </c>
      <c r="I204" s="44">
        <v>0</v>
      </c>
      <c r="J204" s="43">
        <f t="shared" si="22"/>
        <v>61</v>
      </c>
      <c r="K204" s="42">
        <f t="shared" si="23"/>
        <v>70</v>
      </c>
      <c r="L204" s="42">
        <f t="shared" si="24"/>
        <v>45</v>
      </c>
      <c r="M204" s="42">
        <f t="shared" si="25"/>
        <v>16</v>
      </c>
      <c r="N204" s="42">
        <f t="shared" si="26"/>
        <v>7</v>
      </c>
      <c r="O204" s="42">
        <f t="shared" si="27"/>
        <v>5</v>
      </c>
      <c r="P204" s="44">
        <f t="shared" si="28"/>
        <v>3</v>
      </c>
      <c r="Q204" s="3"/>
      <c r="R204" s="3"/>
    </row>
    <row r="205" spans="1:18" x14ac:dyDescent="0.3">
      <c r="A205" s="59">
        <v>1818</v>
      </c>
      <c r="B205" s="61">
        <v>0</v>
      </c>
      <c r="C205" s="43">
        <v>0</v>
      </c>
      <c r="D205" s="42">
        <v>0</v>
      </c>
      <c r="E205" s="42">
        <v>0</v>
      </c>
      <c r="F205" s="42">
        <v>0</v>
      </c>
      <c r="G205" s="42">
        <v>0</v>
      </c>
      <c r="H205" s="42">
        <v>0</v>
      </c>
      <c r="I205" s="44">
        <v>0</v>
      </c>
      <c r="J205" s="43">
        <f t="shared" si="22"/>
        <v>61</v>
      </c>
      <c r="K205" s="42">
        <f t="shared" si="23"/>
        <v>70</v>
      </c>
      <c r="L205" s="42">
        <f t="shared" si="24"/>
        <v>45</v>
      </c>
      <c r="M205" s="42">
        <f t="shared" si="25"/>
        <v>16</v>
      </c>
      <c r="N205" s="42">
        <f t="shared" si="26"/>
        <v>7</v>
      </c>
      <c r="O205" s="42">
        <f t="shared" si="27"/>
        <v>5</v>
      </c>
      <c r="P205" s="44">
        <f t="shared" si="28"/>
        <v>3</v>
      </c>
      <c r="Q205" s="3"/>
      <c r="R205" s="3"/>
    </row>
    <row r="206" spans="1:18" x14ac:dyDescent="0.3">
      <c r="A206" s="59">
        <v>1817</v>
      </c>
      <c r="B206" s="61">
        <v>0</v>
      </c>
      <c r="C206" s="43">
        <v>0</v>
      </c>
      <c r="D206" s="42">
        <v>0</v>
      </c>
      <c r="E206" s="42">
        <v>0</v>
      </c>
      <c r="F206" s="42">
        <v>0</v>
      </c>
      <c r="G206" s="42">
        <v>0</v>
      </c>
      <c r="H206" s="42">
        <v>0</v>
      </c>
      <c r="I206" s="44">
        <v>0</v>
      </c>
      <c r="J206" s="43">
        <f t="shared" si="22"/>
        <v>61</v>
      </c>
      <c r="K206" s="42">
        <f t="shared" si="23"/>
        <v>70</v>
      </c>
      <c r="L206" s="42">
        <f t="shared" si="24"/>
        <v>45</v>
      </c>
      <c r="M206" s="42">
        <f t="shared" si="25"/>
        <v>16</v>
      </c>
      <c r="N206" s="42">
        <f t="shared" si="26"/>
        <v>7</v>
      </c>
      <c r="O206" s="42">
        <f t="shared" si="27"/>
        <v>5</v>
      </c>
      <c r="P206" s="44">
        <f t="shared" si="28"/>
        <v>3</v>
      </c>
      <c r="Q206" s="3"/>
      <c r="R206" s="3"/>
    </row>
    <row r="207" spans="1:18" x14ac:dyDescent="0.3">
      <c r="A207" s="59">
        <v>1816</v>
      </c>
      <c r="B207" s="61">
        <v>0</v>
      </c>
      <c r="C207" s="43">
        <v>0</v>
      </c>
      <c r="D207" s="42">
        <v>0</v>
      </c>
      <c r="E207" s="42">
        <v>0</v>
      </c>
      <c r="F207" s="42">
        <v>0</v>
      </c>
      <c r="G207" s="42">
        <v>0</v>
      </c>
      <c r="H207" s="42">
        <v>0</v>
      </c>
      <c r="I207" s="44">
        <v>0</v>
      </c>
      <c r="J207" s="43">
        <f t="shared" si="22"/>
        <v>61</v>
      </c>
      <c r="K207" s="42">
        <f t="shared" si="23"/>
        <v>70</v>
      </c>
      <c r="L207" s="42">
        <f t="shared" si="24"/>
        <v>45</v>
      </c>
      <c r="M207" s="42">
        <f t="shared" si="25"/>
        <v>16</v>
      </c>
      <c r="N207" s="42">
        <f t="shared" si="26"/>
        <v>7</v>
      </c>
      <c r="O207" s="42">
        <f t="shared" si="27"/>
        <v>5</v>
      </c>
      <c r="P207" s="44">
        <f t="shared" si="28"/>
        <v>3</v>
      </c>
      <c r="Q207" s="3"/>
      <c r="R207" s="3"/>
    </row>
    <row r="208" spans="1:18" x14ac:dyDescent="0.3">
      <c r="A208" s="59">
        <v>1815</v>
      </c>
      <c r="B208" s="61">
        <v>0</v>
      </c>
      <c r="C208" s="43">
        <v>0</v>
      </c>
      <c r="D208" s="42">
        <v>0</v>
      </c>
      <c r="E208" s="42">
        <v>0</v>
      </c>
      <c r="F208" s="42">
        <v>0</v>
      </c>
      <c r="G208" s="42">
        <v>0</v>
      </c>
      <c r="H208" s="42">
        <v>0</v>
      </c>
      <c r="I208" s="44">
        <v>0</v>
      </c>
      <c r="J208" s="43">
        <f t="shared" si="22"/>
        <v>61</v>
      </c>
      <c r="K208" s="42">
        <f t="shared" si="23"/>
        <v>70</v>
      </c>
      <c r="L208" s="42">
        <f t="shared" si="24"/>
        <v>45</v>
      </c>
      <c r="M208" s="42">
        <f t="shared" si="25"/>
        <v>16</v>
      </c>
      <c r="N208" s="42">
        <f t="shared" si="26"/>
        <v>7</v>
      </c>
      <c r="O208" s="42">
        <f t="shared" si="27"/>
        <v>5</v>
      </c>
      <c r="P208" s="44">
        <f t="shared" si="28"/>
        <v>3</v>
      </c>
      <c r="Q208" s="3"/>
      <c r="R208" s="3"/>
    </row>
    <row r="209" spans="1:18" x14ac:dyDescent="0.3">
      <c r="A209" s="59">
        <v>1814</v>
      </c>
      <c r="B209" s="61">
        <v>0</v>
      </c>
      <c r="C209" s="43">
        <v>0</v>
      </c>
      <c r="D209" s="42">
        <v>0</v>
      </c>
      <c r="E209" s="42">
        <v>0</v>
      </c>
      <c r="F209" s="42">
        <v>0</v>
      </c>
      <c r="G209" s="42">
        <v>0</v>
      </c>
      <c r="H209" s="42">
        <v>0</v>
      </c>
      <c r="I209" s="44">
        <v>0</v>
      </c>
      <c r="J209" s="43">
        <f t="shared" si="22"/>
        <v>61</v>
      </c>
      <c r="K209" s="42">
        <f t="shared" si="23"/>
        <v>70</v>
      </c>
      <c r="L209" s="42">
        <f t="shared" si="24"/>
        <v>45</v>
      </c>
      <c r="M209" s="42">
        <f t="shared" si="25"/>
        <v>16</v>
      </c>
      <c r="N209" s="42">
        <f t="shared" si="26"/>
        <v>7</v>
      </c>
      <c r="O209" s="42">
        <f t="shared" si="27"/>
        <v>5</v>
      </c>
      <c r="P209" s="44">
        <f t="shared" si="28"/>
        <v>3</v>
      </c>
      <c r="Q209" s="3"/>
      <c r="R209" s="3"/>
    </row>
    <row r="210" spans="1:18" x14ac:dyDescent="0.3">
      <c r="A210" s="59">
        <v>1813</v>
      </c>
      <c r="B210" s="61">
        <v>0</v>
      </c>
      <c r="C210" s="43">
        <v>0</v>
      </c>
      <c r="D210" s="42">
        <v>0</v>
      </c>
      <c r="E210" s="42">
        <v>0</v>
      </c>
      <c r="F210" s="42">
        <v>0</v>
      </c>
      <c r="G210" s="42">
        <v>0</v>
      </c>
      <c r="H210" s="42">
        <v>0</v>
      </c>
      <c r="I210" s="44">
        <v>0</v>
      </c>
      <c r="J210" s="43">
        <f t="shared" si="22"/>
        <v>61</v>
      </c>
      <c r="K210" s="42">
        <f t="shared" si="23"/>
        <v>70</v>
      </c>
      <c r="L210" s="42">
        <f t="shared" si="24"/>
        <v>45</v>
      </c>
      <c r="M210" s="42">
        <f t="shared" si="25"/>
        <v>16</v>
      </c>
      <c r="N210" s="42">
        <f t="shared" si="26"/>
        <v>7</v>
      </c>
      <c r="O210" s="42">
        <f t="shared" si="27"/>
        <v>5</v>
      </c>
      <c r="P210" s="44">
        <f t="shared" si="28"/>
        <v>3</v>
      </c>
      <c r="Q210" s="3"/>
      <c r="R210" s="3"/>
    </row>
    <row r="211" spans="1:18" x14ac:dyDescent="0.3">
      <c r="A211" s="59">
        <v>1812</v>
      </c>
      <c r="B211" s="61">
        <v>0</v>
      </c>
      <c r="C211" s="43">
        <v>0</v>
      </c>
      <c r="D211" s="42">
        <v>0</v>
      </c>
      <c r="E211" s="42">
        <v>0</v>
      </c>
      <c r="F211" s="42">
        <v>0</v>
      </c>
      <c r="G211" s="42">
        <v>0</v>
      </c>
      <c r="H211" s="42">
        <v>0</v>
      </c>
      <c r="I211" s="44">
        <v>0</v>
      </c>
      <c r="J211" s="43">
        <f t="shared" si="22"/>
        <v>61</v>
      </c>
      <c r="K211" s="42">
        <f t="shared" si="23"/>
        <v>70</v>
      </c>
      <c r="L211" s="42">
        <f t="shared" si="24"/>
        <v>45</v>
      </c>
      <c r="M211" s="42">
        <f t="shared" si="25"/>
        <v>16</v>
      </c>
      <c r="N211" s="42">
        <f t="shared" si="26"/>
        <v>7</v>
      </c>
      <c r="O211" s="42">
        <f t="shared" si="27"/>
        <v>5</v>
      </c>
      <c r="P211" s="44">
        <f t="shared" si="28"/>
        <v>3</v>
      </c>
      <c r="Q211" s="3"/>
      <c r="R211" s="3"/>
    </row>
    <row r="212" spans="1:18" x14ac:dyDescent="0.3">
      <c r="A212" s="59">
        <v>1811</v>
      </c>
      <c r="B212" s="61">
        <v>0</v>
      </c>
      <c r="C212" s="43">
        <v>0</v>
      </c>
      <c r="D212" s="42">
        <v>0</v>
      </c>
      <c r="E212" s="42">
        <v>0</v>
      </c>
      <c r="F212" s="42">
        <v>0</v>
      </c>
      <c r="G212" s="42">
        <v>0</v>
      </c>
      <c r="H212" s="42">
        <v>0</v>
      </c>
      <c r="I212" s="44">
        <v>0</v>
      </c>
      <c r="J212" s="43">
        <f t="shared" si="22"/>
        <v>61</v>
      </c>
      <c r="K212" s="42">
        <f t="shared" si="23"/>
        <v>70</v>
      </c>
      <c r="L212" s="42">
        <f t="shared" si="24"/>
        <v>45</v>
      </c>
      <c r="M212" s="42">
        <f t="shared" si="25"/>
        <v>16</v>
      </c>
      <c r="N212" s="42">
        <f t="shared" si="26"/>
        <v>7</v>
      </c>
      <c r="O212" s="42">
        <f t="shared" si="27"/>
        <v>5</v>
      </c>
      <c r="P212" s="44">
        <f t="shared" si="28"/>
        <v>3</v>
      </c>
      <c r="Q212" s="3"/>
      <c r="R212" s="3"/>
    </row>
    <row r="213" spans="1:18" x14ac:dyDescent="0.3">
      <c r="A213" s="59">
        <v>1810</v>
      </c>
      <c r="B213" s="61">
        <v>0</v>
      </c>
      <c r="C213" s="43">
        <v>0</v>
      </c>
      <c r="D213" s="42">
        <v>0</v>
      </c>
      <c r="E213" s="42">
        <v>0</v>
      </c>
      <c r="F213" s="42">
        <v>0</v>
      </c>
      <c r="G213" s="42">
        <v>0</v>
      </c>
      <c r="H213" s="42">
        <v>0</v>
      </c>
      <c r="I213" s="44">
        <v>0</v>
      </c>
      <c r="J213" s="43">
        <f t="shared" si="22"/>
        <v>61</v>
      </c>
      <c r="K213" s="42">
        <f t="shared" si="23"/>
        <v>70</v>
      </c>
      <c r="L213" s="42">
        <f t="shared" si="24"/>
        <v>45</v>
      </c>
      <c r="M213" s="42">
        <f t="shared" si="25"/>
        <v>16</v>
      </c>
      <c r="N213" s="42">
        <f t="shared" si="26"/>
        <v>7</v>
      </c>
      <c r="O213" s="42">
        <f t="shared" si="27"/>
        <v>5</v>
      </c>
      <c r="P213" s="44">
        <f t="shared" si="28"/>
        <v>3</v>
      </c>
      <c r="Q213" s="3"/>
      <c r="R213" s="3"/>
    </row>
    <row r="214" spans="1:18" x14ac:dyDescent="0.3">
      <c r="A214" s="59">
        <v>1809</v>
      </c>
      <c r="B214" s="61">
        <v>0</v>
      </c>
      <c r="C214" s="43">
        <v>0</v>
      </c>
      <c r="D214" s="42">
        <v>0</v>
      </c>
      <c r="E214" s="42">
        <v>0</v>
      </c>
      <c r="F214" s="42">
        <v>0</v>
      </c>
      <c r="G214" s="42">
        <v>0</v>
      </c>
      <c r="H214" s="42">
        <v>0</v>
      </c>
      <c r="I214" s="44">
        <v>0</v>
      </c>
      <c r="J214" s="43">
        <f t="shared" si="22"/>
        <v>61</v>
      </c>
      <c r="K214" s="42">
        <f t="shared" si="23"/>
        <v>70</v>
      </c>
      <c r="L214" s="42">
        <f t="shared" si="24"/>
        <v>45</v>
      </c>
      <c r="M214" s="42">
        <f t="shared" si="25"/>
        <v>16</v>
      </c>
      <c r="N214" s="42">
        <f t="shared" si="26"/>
        <v>7</v>
      </c>
      <c r="O214" s="42">
        <f t="shared" si="27"/>
        <v>5</v>
      </c>
      <c r="P214" s="44">
        <f t="shared" si="28"/>
        <v>3</v>
      </c>
      <c r="Q214" s="3"/>
      <c r="R214" s="3"/>
    </row>
    <row r="215" spans="1:18" x14ac:dyDescent="0.3">
      <c r="A215" s="59">
        <v>1808</v>
      </c>
      <c r="B215" s="61">
        <v>4.3</v>
      </c>
      <c r="C215" s="43">
        <v>0</v>
      </c>
      <c r="D215" s="42">
        <v>1</v>
      </c>
      <c r="E215" s="42">
        <v>0</v>
      </c>
      <c r="F215" s="42">
        <v>0</v>
      </c>
      <c r="G215" s="42">
        <v>0</v>
      </c>
      <c r="H215" s="42">
        <v>0</v>
      </c>
      <c r="I215" s="44">
        <v>0</v>
      </c>
      <c r="J215" s="43">
        <f t="shared" si="22"/>
        <v>61</v>
      </c>
      <c r="K215" s="42">
        <f t="shared" si="23"/>
        <v>71</v>
      </c>
      <c r="L215" s="42">
        <f t="shared" si="24"/>
        <v>45</v>
      </c>
      <c r="M215" s="42">
        <f t="shared" si="25"/>
        <v>16</v>
      </c>
      <c r="N215" s="42">
        <f t="shared" si="26"/>
        <v>7</v>
      </c>
      <c r="O215" s="42">
        <f t="shared" si="27"/>
        <v>5</v>
      </c>
      <c r="P215" s="44">
        <f t="shared" si="28"/>
        <v>3</v>
      </c>
      <c r="Q215" s="3"/>
      <c r="R215" s="3"/>
    </row>
    <row r="216" spans="1:18" x14ac:dyDescent="0.3">
      <c r="A216" s="59">
        <v>1807</v>
      </c>
      <c r="B216" s="61">
        <v>0</v>
      </c>
      <c r="C216" s="43">
        <v>0</v>
      </c>
      <c r="D216" s="42">
        <v>0</v>
      </c>
      <c r="E216" s="42">
        <v>0</v>
      </c>
      <c r="F216" s="42">
        <v>0</v>
      </c>
      <c r="G216" s="42">
        <v>0</v>
      </c>
      <c r="H216" s="42">
        <v>0</v>
      </c>
      <c r="I216" s="44">
        <v>0</v>
      </c>
      <c r="J216" s="43">
        <f t="shared" si="22"/>
        <v>61</v>
      </c>
      <c r="K216" s="42">
        <f t="shared" si="23"/>
        <v>71</v>
      </c>
      <c r="L216" s="42">
        <f t="shared" si="24"/>
        <v>45</v>
      </c>
      <c r="M216" s="42">
        <f t="shared" si="25"/>
        <v>16</v>
      </c>
      <c r="N216" s="42">
        <f t="shared" si="26"/>
        <v>7</v>
      </c>
      <c r="O216" s="42">
        <f t="shared" si="27"/>
        <v>5</v>
      </c>
      <c r="P216" s="44">
        <f t="shared" si="28"/>
        <v>3</v>
      </c>
      <c r="Q216" s="3"/>
      <c r="R216" s="3"/>
    </row>
    <row r="217" spans="1:18" x14ac:dyDescent="0.3">
      <c r="A217" s="59">
        <v>1806</v>
      </c>
      <c r="B217" s="61">
        <v>0</v>
      </c>
      <c r="C217" s="43">
        <v>0</v>
      </c>
      <c r="D217" s="42">
        <v>0</v>
      </c>
      <c r="E217" s="42">
        <v>0</v>
      </c>
      <c r="F217" s="42">
        <v>0</v>
      </c>
      <c r="G217" s="42">
        <v>0</v>
      </c>
      <c r="H217" s="42">
        <v>0</v>
      </c>
      <c r="I217" s="44">
        <v>0</v>
      </c>
      <c r="J217" s="43">
        <f t="shared" si="22"/>
        <v>61</v>
      </c>
      <c r="K217" s="42">
        <f t="shared" si="23"/>
        <v>71</v>
      </c>
      <c r="L217" s="42">
        <f t="shared" si="24"/>
        <v>45</v>
      </c>
      <c r="M217" s="42">
        <f t="shared" si="25"/>
        <v>16</v>
      </c>
      <c r="N217" s="42">
        <f t="shared" si="26"/>
        <v>7</v>
      </c>
      <c r="O217" s="42">
        <f t="shared" si="27"/>
        <v>5</v>
      </c>
      <c r="P217" s="44">
        <f t="shared" si="28"/>
        <v>3</v>
      </c>
      <c r="Q217" s="3"/>
      <c r="R217" s="3"/>
    </row>
    <row r="218" spans="1:18" x14ac:dyDescent="0.3">
      <c r="A218" s="59">
        <v>1805</v>
      </c>
      <c r="B218" s="61">
        <v>0</v>
      </c>
      <c r="C218" s="43">
        <v>0</v>
      </c>
      <c r="D218" s="42">
        <v>0</v>
      </c>
      <c r="E218" s="42">
        <v>0</v>
      </c>
      <c r="F218" s="42">
        <v>0</v>
      </c>
      <c r="G218" s="42">
        <v>0</v>
      </c>
      <c r="H218" s="42">
        <v>0</v>
      </c>
      <c r="I218" s="44">
        <v>0</v>
      </c>
      <c r="J218" s="43">
        <f t="shared" si="22"/>
        <v>61</v>
      </c>
      <c r="K218" s="42">
        <f t="shared" si="23"/>
        <v>71</v>
      </c>
      <c r="L218" s="42">
        <f t="shared" si="24"/>
        <v>45</v>
      </c>
      <c r="M218" s="42">
        <f t="shared" si="25"/>
        <v>16</v>
      </c>
      <c r="N218" s="42">
        <f t="shared" si="26"/>
        <v>7</v>
      </c>
      <c r="O218" s="42">
        <f t="shared" si="27"/>
        <v>5</v>
      </c>
      <c r="P218" s="44">
        <f t="shared" si="28"/>
        <v>3</v>
      </c>
      <c r="Q218" s="3"/>
      <c r="R218" s="3"/>
    </row>
    <row r="219" spans="1:18" x14ac:dyDescent="0.3">
      <c r="A219" s="59">
        <v>1804</v>
      </c>
      <c r="B219" s="61">
        <v>0</v>
      </c>
      <c r="C219" s="43">
        <v>0</v>
      </c>
      <c r="D219" s="42">
        <v>0</v>
      </c>
      <c r="E219" s="42">
        <v>0</v>
      </c>
      <c r="F219" s="42">
        <v>0</v>
      </c>
      <c r="G219" s="42">
        <v>0</v>
      </c>
      <c r="H219" s="42">
        <v>0</v>
      </c>
      <c r="I219" s="44">
        <v>0</v>
      </c>
      <c r="J219" s="43">
        <f t="shared" si="22"/>
        <v>61</v>
      </c>
      <c r="K219" s="42">
        <f t="shared" si="23"/>
        <v>71</v>
      </c>
      <c r="L219" s="42">
        <f t="shared" si="24"/>
        <v>45</v>
      </c>
      <c r="M219" s="42">
        <f t="shared" si="25"/>
        <v>16</v>
      </c>
      <c r="N219" s="42">
        <f t="shared" si="26"/>
        <v>7</v>
      </c>
      <c r="O219" s="42">
        <f t="shared" si="27"/>
        <v>5</v>
      </c>
      <c r="P219" s="44">
        <f t="shared" si="28"/>
        <v>3</v>
      </c>
      <c r="Q219" s="3"/>
      <c r="R219" s="3"/>
    </row>
    <row r="220" spans="1:18" x14ac:dyDescent="0.3">
      <c r="A220" s="59">
        <v>1803</v>
      </c>
      <c r="B220" s="61">
        <v>0</v>
      </c>
      <c r="C220" s="43">
        <v>0</v>
      </c>
      <c r="D220" s="42">
        <v>0</v>
      </c>
      <c r="E220" s="42">
        <v>0</v>
      </c>
      <c r="F220" s="42">
        <v>0</v>
      </c>
      <c r="G220" s="42">
        <v>0</v>
      </c>
      <c r="H220" s="42">
        <v>0</v>
      </c>
      <c r="I220" s="44">
        <v>0</v>
      </c>
      <c r="J220" s="43">
        <f t="shared" si="22"/>
        <v>61</v>
      </c>
      <c r="K220" s="42">
        <f t="shared" si="23"/>
        <v>71</v>
      </c>
      <c r="L220" s="42">
        <f t="shared" si="24"/>
        <v>45</v>
      </c>
      <c r="M220" s="42">
        <f t="shared" si="25"/>
        <v>16</v>
      </c>
      <c r="N220" s="42">
        <f t="shared" si="26"/>
        <v>7</v>
      </c>
      <c r="O220" s="42">
        <f t="shared" si="27"/>
        <v>5</v>
      </c>
      <c r="P220" s="44">
        <f t="shared" si="28"/>
        <v>3</v>
      </c>
      <c r="Q220" s="3"/>
      <c r="R220" s="3"/>
    </row>
    <row r="221" spans="1:18" x14ac:dyDescent="0.3">
      <c r="A221" s="59">
        <v>1802</v>
      </c>
      <c r="B221" s="61">
        <v>0</v>
      </c>
      <c r="C221" s="43">
        <v>0</v>
      </c>
      <c r="D221" s="42">
        <v>0</v>
      </c>
      <c r="E221" s="42">
        <v>0</v>
      </c>
      <c r="F221" s="42">
        <v>0</v>
      </c>
      <c r="G221" s="42">
        <v>0</v>
      </c>
      <c r="H221" s="42">
        <v>0</v>
      </c>
      <c r="I221" s="44">
        <v>0</v>
      </c>
      <c r="J221" s="43">
        <f t="shared" si="22"/>
        <v>61</v>
      </c>
      <c r="K221" s="42">
        <f t="shared" si="23"/>
        <v>71</v>
      </c>
      <c r="L221" s="42">
        <f t="shared" si="24"/>
        <v>45</v>
      </c>
      <c r="M221" s="42">
        <f t="shared" si="25"/>
        <v>16</v>
      </c>
      <c r="N221" s="42">
        <f t="shared" si="26"/>
        <v>7</v>
      </c>
      <c r="O221" s="42">
        <f t="shared" si="27"/>
        <v>5</v>
      </c>
      <c r="P221" s="44">
        <f t="shared" si="28"/>
        <v>3</v>
      </c>
      <c r="Q221" s="3"/>
      <c r="R221" s="3"/>
    </row>
    <row r="222" spans="1:18" x14ac:dyDescent="0.3">
      <c r="A222" s="59">
        <v>1801</v>
      </c>
      <c r="B222" s="61">
        <v>0</v>
      </c>
      <c r="C222" s="43">
        <v>0</v>
      </c>
      <c r="D222" s="42">
        <v>0</v>
      </c>
      <c r="E222" s="42">
        <v>0</v>
      </c>
      <c r="F222" s="42">
        <v>0</v>
      </c>
      <c r="G222" s="42">
        <v>0</v>
      </c>
      <c r="H222" s="42">
        <v>0</v>
      </c>
      <c r="I222" s="44">
        <v>0</v>
      </c>
      <c r="J222" s="43">
        <f t="shared" si="22"/>
        <v>61</v>
      </c>
      <c r="K222" s="42">
        <f t="shared" si="23"/>
        <v>71</v>
      </c>
      <c r="L222" s="42">
        <f t="shared" si="24"/>
        <v>45</v>
      </c>
      <c r="M222" s="42">
        <f t="shared" si="25"/>
        <v>16</v>
      </c>
      <c r="N222" s="42">
        <f t="shared" si="26"/>
        <v>7</v>
      </c>
      <c r="O222" s="42">
        <f t="shared" si="27"/>
        <v>5</v>
      </c>
      <c r="P222" s="44">
        <f t="shared" si="28"/>
        <v>3</v>
      </c>
      <c r="Q222" s="3"/>
      <c r="R222" s="3"/>
    </row>
    <row r="223" spans="1:18" x14ac:dyDescent="0.3">
      <c r="A223" s="59">
        <v>1800</v>
      </c>
      <c r="B223" s="61">
        <v>0</v>
      </c>
      <c r="C223" s="43">
        <v>0</v>
      </c>
      <c r="D223" s="42">
        <v>0</v>
      </c>
      <c r="E223" s="42">
        <v>0</v>
      </c>
      <c r="F223" s="42">
        <v>0</v>
      </c>
      <c r="G223" s="42">
        <v>0</v>
      </c>
      <c r="H223" s="42">
        <v>0</v>
      </c>
      <c r="I223" s="44">
        <v>0</v>
      </c>
      <c r="J223" s="43">
        <f t="shared" si="22"/>
        <v>61</v>
      </c>
      <c r="K223" s="42">
        <f t="shared" si="23"/>
        <v>71</v>
      </c>
      <c r="L223" s="42">
        <f t="shared" si="24"/>
        <v>45</v>
      </c>
      <c r="M223" s="42">
        <f t="shared" si="25"/>
        <v>16</v>
      </c>
      <c r="N223" s="42">
        <f t="shared" si="26"/>
        <v>7</v>
      </c>
      <c r="O223" s="42">
        <f t="shared" si="27"/>
        <v>5</v>
      </c>
      <c r="P223" s="44">
        <f t="shared" si="28"/>
        <v>3</v>
      </c>
      <c r="Q223" s="3"/>
      <c r="R223" s="3"/>
    </row>
    <row r="224" spans="1:18" x14ac:dyDescent="0.3">
      <c r="A224" s="59">
        <v>1799</v>
      </c>
      <c r="B224" s="61">
        <v>0</v>
      </c>
      <c r="C224" s="43">
        <v>0</v>
      </c>
      <c r="D224" s="42">
        <v>0</v>
      </c>
      <c r="E224" s="42">
        <v>0</v>
      </c>
      <c r="F224" s="42">
        <v>0</v>
      </c>
      <c r="G224" s="42">
        <v>0</v>
      </c>
      <c r="H224" s="42">
        <v>0</v>
      </c>
      <c r="I224" s="44">
        <v>0</v>
      </c>
      <c r="J224" s="43">
        <f t="shared" si="22"/>
        <v>61</v>
      </c>
      <c r="K224" s="42">
        <f t="shared" si="23"/>
        <v>71</v>
      </c>
      <c r="L224" s="42">
        <f t="shared" si="24"/>
        <v>45</v>
      </c>
      <c r="M224" s="42">
        <f t="shared" si="25"/>
        <v>16</v>
      </c>
      <c r="N224" s="42">
        <f t="shared" si="26"/>
        <v>7</v>
      </c>
      <c r="O224" s="42">
        <f t="shared" si="27"/>
        <v>5</v>
      </c>
      <c r="P224" s="44">
        <f t="shared" si="28"/>
        <v>3</v>
      </c>
      <c r="Q224" s="3"/>
      <c r="R224" s="3"/>
    </row>
    <row r="225" spans="1:18" x14ac:dyDescent="0.3">
      <c r="A225" s="59">
        <v>1798</v>
      </c>
      <c r="B225" s="61">
        <v>0</v>
      </c>
      <c r="C225" s="43">
        <v>0</v>
      </c>
      <c r="D225" s="42">
        <v>0</v>
      </c>
      <c r="E225" s="42">
        <v>0</v>
      </c>
      <c r="F225" s="42">
        <v>0</v>
      </c>
      <c r="G225" s="42">
        <v>0</v>
      </c>
      <c r="H225" s="42">
        <v>0</v>
      </c>
      <c r="I225" s="44">
        <v>0</v>
      </c>
      <c r="J225" s="43">
        <f t="shared" si="22"/>
        <v>61</v>
      </c>
      <c r="K225" s="42">
        <f t="shared" si="23"/>
        <v>71</v>
      </c>
      <c r="L225" s="42">
        <f t="shared" si="24"/>
        <v>45</v>
      </c>
      <c r="M225" s="42">
        <f t="shared" si="25"/>
        <v>16</v>
      </c>
      <c r="N225" s="42">
        <f t="shared" si="26"/>
        <v>7</v>
      </c>
      <c r="O225" s="42">
        <f t="shared" si="27"/>
        <v>5</v>
      </c>
      <c r="P225" s="44">
        <f t="shared" si="28"/>
        <v>3</v>
      </c>
      <c r="Q225" s="3"/>
      <c r="R225" s="3"/>
    </row>
    <row r="226" spans="1:18" x14ac:dyDescent="0.3">
      <c r="A226" s="59">
        <v>1797</v>
      </c>
      <c r="B226" s="61">
        <v>0</v>
      </c>
      <c r="C226" s="43">
        <v>0</v>
      </c>
      <c r="D226" s="42">
        <v>0</v>
      </c>
      <c r="E226" s="42">
        <v>0</v>
      </c>
      <c r="F226" s="42">
        <v>0</v>
      </c>
      <c r="G226" s="42">
        <v>0</v>
      </c>
      <c r="H226" s="42">
        <v>0</v>
      </c>
      <c r="I226" s="44">
        <v>0</v>
      </c>
      <c r="J226" s="43">
        <f t="shared" si="22"/>
        <v>61</v>
      </c>
      <c r="K226" s="42">
        <f t="shared" si="23"/>
        <v>71</v>
      </c>
      <c r="L226" s="42">
        <f t="shared" si="24"/>
        <v>45</v>
      </c>
      <c r="M226" s="42">
        <f t="shared" si="25"/>
        <v>16</v>
      </c>
      <c r="N226" s="42">
        <f t="shared" si="26"/>
        <v>7</v>
      </c>
      <c r="O226" s="42">
        <f t="shared" si="27"/>
        <v>5</v>
      </c>
      <c r="P226" s="44">
        <f t="shared" si="28"/>
        <v>3</v>
      </c>
      <c r="Q226" s="3"/>
      <c r="R226" s="3"/>
    </row>
    <row r="227" spans="1:18" x14ac:dyDescent="0.3">
      <c r="A227" s="59">
        <v>1796</v>
      </c>
      <c r="B227" s="61">
        <v>0</v>
      </c>
      <c r="C227" s="43">
        <v>0</v>
      </c>
      <c r="D227" s="42">
        <v>0</v>
      </c>
      <c r="E227" s="42">
        <v>0</v>
      </c>
      <c r="F227" s="42">
        <v>0</v>
      </c>
      <c r="G227" s="42">
        <v>0</v>
      </c>
      <c r="H227" s="42">
        <v>0</v>
      </c>
      <c r="I227" s="44">
        <v>0</v>
      </c>
      <c r="J227" s="43">
        <f t="shared" si="22"/>
        <v>61</v>
      </c>
      <c r="K227" s="42">
        <f t="shared" si="23"/>
        <v>71</v>
      </c>
      <c r="L227" s="42">
        <f t="shared" si="24"/>
        <v>45</v>
      </c>
      <c r="M227" s="42">
        <f t="shared" si="25"/>
        <v>16</v>
      </c>
      <c r="N227" s="42">
        <f t="shared" si="26"/>
        <v>7</v>
      </c>
      <c r="O227" s="42">
        <f t="shared" si="27"/>
        <v>5</v>
      </c>
      <c r="P227" s="44">
        <f t="shared" si="28"/>
        <v>3</v>
      </c>
      <c r="Q227" s="3"/>
      <c r="R227" s="3"/>
    </row>
    <row r="228" spans="1:18" x14ac:dyDescent="0.3">
      <c r="A228" s="59">
        <v>1795</v>
      </c>
      <c r="B228" s="61">
        <v>0</v>
      </c>
      <c r="C228" s="43">
        <v>0</v>
      </c>
      <c r="D228" s="42">
        <v>0</v>
      </c>
      <c r="E228" s="42">
        <v>0</v>
      </c>
      <c r="F228" s="42">
        <v>0</v>
      </c>
      <c r="G228" s="42">
        <v>0</v>
      </c>
      <c r="H228" s="42">
        <v>0</v>
      </c>
      <c r="I228" s="44">
        <v>0</v>
      </c>
      <c r="J228" s="43">
        <f t="shared" si="22"/>
        <v>61</v>
      </c>
      <c r="K228" s="42">
        <f t="shared" si="23"/>
        <v>71</v>
      </c>
      <c r="L228" s="42">
        <f t="shared" si="24"/>
        <v>45</v>
      </c>
      <c r="M228" s="42">
        <f t="shared" si="25"/>
        <v>16</v>
      </c>
      <c r="N228" s="42">
        <f t="shared" si="26"/>
        <v>7</v>
      </c>
      <c r="O228" s="42">
        <f t="shared" si="27"/>
        <v>5</v>
      </c>
      <c r="P228" s="44">
        <f t="shared" si="28"/>
        <v>3</v>
      </c>
      <c r="Q228" s="3"/>
      <c r="R228" s="3"/>
    </row>
    <row r="229" spans="1:18" x14ac:dyDescent="0.3">
      <c r="A229" s="59">
        <v>1794</v>
      </c>
      <c r="B229" s="61">
        <v>0</v>
      </c>
      <c r="C229" s="43">
        <v>0</v>
      </c>
      <c r="D229" s="42">
        <v>0</v>
      </c>
      <c r="E229" s="42">
        <v>0</v>
      </c>
      <c r="F229" s="42">
        <v>0</v>
      </c>
      <c r="G229" s="42">
        <v>0</v>
      </c>
      <c r="H229" s="42">
        <v>0</v>
      </c>
      <c r="I229" s="44">
        <v>0</v>
      </c>
      <c r="J229" s="43">
        <f t="shared" si="22"/>
        <v>61</v>
      </c>
      <c r="K229" s="42">
        <f t="shared" si="23"/>
        <v>71</v>
      </c>
      <c r="L229" s="42">
        <f t="shared" si="24"/>
        <v>45</v>
      </c>
      <c r="M229" s="42">
        <f t="shared" si="25"/>
        <v>16</v>
      </c>
      <c r="N229" s="42">
        <f t="shared" si="26"/>
        <v>7</v>
      </c>
      <c r="O229" s="42">
        <f t="shared" si="27"/>
        <v>5</v>
      </c>
      <c r="P229" s="44">
        <f t="shared" si="28"/>
        <v>3</v>
      </c>
      <c r="Q229" s="3"/>
      <c r="R229" s="3"/>
    </row>
    <row r="230" spans="1:18" x14ac:dyDescent="0.3">
      <c r="A230" s="59">
        <v>1793</v>
      </c>
      <c r="B230" s="61">
        <v>0</v>
      </c>
      <c r="C230" s="43">
        <v>0</v>
      </c>
      <c r="D230" s="42">
        <v>0</v>
      </c>
      <c r="E230" s="42">
        <v>0</v>
      </c>
      <c r="F230" s="42">
        <v>0</v>
      </c>
      <c r="G230" s="42">
        <v>0</v>
      </c>
      <c r="H230" s="42">
        <v>0</v>
      </c>
      <c r="I230" s="44">
        <v>0</v>
      </c>
      <c r="J230" s="43">
        <f t="shared" si="22"/>
        <v>61</v>
      </c>
      <c r="K230" s="42">
        <f t="shared" si="23"/>
        <v>71</v>
      </c>
      <c r="L230" s="42">
        <f t="shared" si="24"/>
        <v>45</v>
      </c>
      <c r="M230" s="42">
        <f t="shared" si="25"/>
        <v>16</v>
      </c>
      <c r="N230" s="42">
        <f t="shared" si="26"/>
        <v>7</v>
      </c>
      <c r="O230" s="42">
        <f t="shared" si="27"/>
        <v>5</v>
      </c>
      <c r="P230" s="44">
        <f t="shared" si="28"/>
        <v>3</v>
      </c>
      <c r="Q230" s="3"/>
      <c r="R230" s="3"/>
    </row>
    <row r="231" spans="1:18" x14ac:dyDescent="0.3">
      <c r="A231" s="59">
        <v>1792</v>
      </c>
      <c r="B231" s="61">
        <v>4.3</v>
      </c>
      <c r="C231" s="43">
        <v>0</v>
      </c>
      <c r="D231" s="42">
        <v>1</v>
      </c>
      <c r="E231" s="42">
        <v>0</v>
      </c>
      <c r="F231" s="42">
        <v>0</v>
      </c>
      <c r="G231" s="42">
        <v>0</v>
      </c>
      <c r="H231" s="42">
        <v>0</v>
      </c>
      <c r="I231" s="44">
        <v>0</v>
      </c>
      <c r="J231" s="43">
        <f t="shared" si="22"/>
        <v>61</v>
      </c>
      <c r="K231" s="42">
        <f t="shared" si="23"/>
        <v>72</v>
      </c>
      <c r="L231" s="42">
        <f t="shared" si="24"/>
        <v>45</v>
      </c>
      <c r="M231" s="42">
        <f t="shared" si="25"/>
        <v>16</v>
      </c>
      <c r="N231" s="42">
        <f t="shared" si="26"/>
        <v>7</v>
      </c>
      <c r="O231" s="42">
        <f t="shared" si="27"/>
        <v>5</v>
      </c>
      <c r="P231" s="44">
        <f t="shared" si="28"/>
        <v>3</v>
      </c>
      <c r="Q231" s="3"/>
      <c r="R231" s="3"/>
    </row>
    <row r="232" spans="1:18" x14ac:dyDescent="0.3">
      <c r="A232" s="59">
        <v>1791</v>
      </c>
      <c r="B232" s="61">
        <v>0</v>
      </c>
      <c r="C232" s="43">
        <v>0</v>
      </c>
      <c r="D232" s="42">
        <v>0</v>
      </c>
      <c r="E232" s="42">
        <v>0</v>
      </c>
      <c r="F232" s="42">
        <v>0</v>
      </c>
      <c r="G232" s="42">
        <v>0</v>
      </c>
      <c r="H232" s="42">
        <v>0</v>
      </c>
      <c r="I232" s="44">
        <v>0</v>
      </c>
      <c r="J232" s="43">
        <f t="shared" si="22"/>
        <v>61</v>
      </c>
      <c r="K232" s="42">
        <f t="shared" si="23"/>
        <v>72</v>
      </c>
      <c r="L232" s="42">
        <f t="shared" si="24"/>
        <v>45</v>
      </c>
      <c r="M232" s="42">
        <f t="shared" si="25"/>
        <v>16</v>
      </c>
      <c r="N232" s="42">
        <f t="shared" si="26"/>
        <v>7</v>
      </c>
      <c r="O232" s="42">
        <f t="shared" si="27"/>
        <v>5</v>
      </c>
      <c r="P232" s="44">
        <f t="shared" si="28"/>
        <v>3</v>
      </c>
      <c r="Q232" s="3"/>
      <c r="R232" s="3"/>
    </row>
    <row r="233" spans="1:18" x14ac:dyDescent="0.3">
      <c r="A233" s="59">
        <v>1790</v>
      </c>
      <c r="B233" s="61">
        <v>0</v>
      </c>
      <c r="C233" s="43">
        <v>0</v>
      </c>
      <c r="D233" s="42">
        <v>0</v>
      </c>
      <c r="E233" s="42">
        <v>0</v>
      </c>
      <c r="F233" s="42">
        <v>0</v>
      </c>
      <c r="G233" s="42">
        <v>0</v>
      </c>
      <c r="H233" s="42">
        <v>0</v>
      </c>
      <c r="I233" s="44">
        <v>0</v>
      </c>
      <c r="J233" s="43">
        <f t="shared" si="22"/>
        <v>61</v>
      </c>
      <c r="K233" s="42">
        <f t="shared" si="23"/>
        <v>72</v>
      </c>
      <c r="L233" s="42">
        <f t="shared" si="24"/>
        <v>45</v>
      </c>
      <c r="M233" s="42">
        <f t="shared" si="25"/>
        <v>16</v>
      </c>
      <c r="N233" s="42">
        <f t="shared" si="26"/>
        <v>7</v>
      </c>
      <c r="O233" s="42">
        <f t="shared" si="27"/>
        <v>5</v>
      </c>
      <c r="P233" s="44">
        <f t="shared" si="28"/>
        <v>3</v>
      </c>
      <c r="Q233" s="3"/>
      <c r="R233" s="3"/>
    </row>
    <row r="234" spans="1:18" x14ac:dyDescent="0.3">
      <c r="A234" s="59">
        <v>1789</v>
      </c>
      <c r="B234" s="61">
        <v>0</v>
      </c>
      <c r="C234" s="43">
        <v>0</v>
      </c>
      <c r="D234" s="42">
        <v>0</v>
      </c>
      <c r="E234" s="42">
        <v>0</v>
      </c>
      <c r="F234" s="42">
        <v>0</v>
      </c>
      <c r="G234" s="42">
        <v>0</v>
      </c>
      <c r="H234" s="42">
        <v>0</v>
      </c>
      <c r="I234" s="44">
        <v>0</v>
      </c>
      <c r="J234" s="43">
        <f t="shared" si="22"/>
        <v>61</v>
      </c>
      <c r="K234" s="42">
        <f t="shared" si="23"/>
        <v>72</v>
      </c>
      <c r="L234" s="42">
        <f t="shared" si="24"/>
        <v>45</v>
      </c>
      <c r="M234" s="42">
        <f t="shared" si="25"/>
        <v>16</v>
      </c>
      <c r="N234" s="42">
        <f t="shared" si="26"/>
        <v>7</v>
      </c>
      <c r="O234" s="42">
        <f t="shared" si="27"/>
        <v>5</v>
      </c>
      <c r="P234" s="44">
        <f t="shared" si="28"/>
        <v>3</v>
      </c>
      <c r="Q234" s="3"/>
      <c r="R234" s="3"/>
    </row>
    <row r="235" spans="1:18" x14ac:dyDescent="0.3">
      <c r="A235" s="59">
        <v>1788</v>
      </c>
      <c r="B235" s="61">
        <v>0</v>
      </c>
      <c r="C235" s="43">
        <v>0</v>
      </c>
      <c r="D235" s="42">
        <v>0</v>
      </c>
      <c r="E235" s="42">
        <v>0</v>
      </c>
      <c r="F235" s="42">
        <v>0</v>
      </c>
      <c r="G235" s="42">
        <v>0</v>
      </c>
      <c r="H235" s="42">
        <v>0</v>
      </c>
      <c r="I235" s="44">
        <v>0</v>
      </c>
      <c r="J235" s="43">
        <f t="shared" si="22"/>
        <v>61</v>
      </c>
      <c r="K235" s="42">
        <f t="shared" si="23"/>
        <v>72</v>
      </c>
      <c r="L235" s="42">
        <f t="shared" si="24"/>
        <v>45</v>
      </c>
      <c r="M235" s="42">
        <f t="shared" si="25"/>
        <v>16</v>
      </c>
      <c r="N235" s="42">
        <f t="shared" si="26"/>
        <v>7</v>
      </c>
      <c r="O235" s="42">
        <f t="shared" si="27"/>
        <v>5</v>
      </c>
      <c r="P235" s="44">
        <f t="shared" si="28"/>
        <v>3</v>
      </c>
      <c r="Q235" s="3"/>
      <c r="R235" s="3"/>
    </row>
    <row r="236" spans="1:18" x14ac:dyDescent="0.3">
      <c r="A236" s="59">
        <v>1787</v>
      </c>
      <c r="B236" s="61">
        <v>0</v>
      </c>
      <c r="C236" s="43">
        <v>0</v>
      </c>
      <c r="D236" s="42">
        <v>0</v>
      </c>
      <c r="E236" s="42">
        <v>0</v>
      </c>
      <c r="F236" s="42">
        <v>0</v>
      </c>
      <c r="G236" s="42">
        <v>0</v>
      </c>
      <c r="H236" s="42">
        <v>0</v>
      </c>
      <c r="I236" s="44">
        <v>0</v>
      </c>
      <c r="J236" s="43">
        <f t="shared" si="22"/>
        <v>61</v>
      </c>
      <c r="K236" s="42">
        <f t="shared" si="23"/>
        <v>72</v>
      </c>
      <c r="L236" s="42">
        <f t="shared" si="24"/>
        <v>45</v>
      </c>
      <c r="M236" s="42">
        <f t="shared" si="25"/>
        <v>16</v>
      </c>
      <c r="N236" s="42">
        <f t="shared" si="26"/>
        <v>7</v>
      </c>
      <c r="O236" s="42">
        <f t="shared" si="27"/>
        <v>5</v>
      </c>
      <c r="P236" s="44">
        <f t="shared" si="28"/>
        <v>3</v>
      </c>
      <c r="Q236" s="3"/>
      <c r="R236" s="3"/>
    </row>
    <row r="237" spans="1:18" x14ac:dyDescent="0.3">
      <c r="A237" s="59">
        <v>1786</v>
      </c>
      <c r="B237" s="61">
        <v>0</v>
      </c>
      <c r="C237" s="43">
        <v>0</v>
      </c>
      <c r="D237" s="42">
        <v>0</v>
      </c>
      <c r="E237" s="42">
        <v>0</v>
      </c>
      <c r="F237" s="42">
        <v>0</v>
      </c>
      <c r="G237" s="42">
        <v>0</v>
      </c>
      <c r="H237" s="42">
        <v>0</v>
      </c>
      <c r="I237" s="44">
        <v>0</v>
      </c>
      <c r="J237" s="43">
        <f t="shared" si="22"/>
        <v>61</v>
      </c>
      <c r="K237" s="42">
        <f t="shared" si="23"/>
        <v>72</v>
      </c>
      <c r="L237" s="42">
        <f t="shared" si="24"/>
        <v>45</v>
      </c>
      <c r="M237" s="42">
        <f t="shared" si="25"/>
        <v>16</v>
      </c>
      <c r="N237" s="42">
        <f t="shared" si="26"/>
        <v>7</v>
      </c>
      <c r="O237" s="42">
        <f t="shared" si="27"/>
        <v>5</v>
      </c>
      <c r="P237" s="44">
        <f t="shared" si="28"/>
        <v>3</v>
      </c>
      <c r="Q237" s="3"/>
      <c r="R237" s="3"/>
    </row>
    <row r="238" spans="1:18" x14ac:dyDescent="0.3">
      <c r="A238" s="59">
        <v>1785</v>
      </c>
      <c r="B238" s="61">
        <v>0</v>
      </c>
      <c r="C238" s="43">
        <v>0</v>
      </c>
      <c r="D238" s="42">
        <v>0</v>
      </c>
      <c r="E238" s="42">
        <v>0</v>
      </c>
      <c r="F238" s="42">
        <v>0</v>
      </c>
      <c r="G238" s="42">
        <v>0</v>
      </c>
      <c r="H238" s="42">
        <v>0</v>
      </c>
      <c r="I238" s="44">
        <v>0</v>
      </c>
      <c r="J238" s="43">
        <f t="shared" si="22"/>
        <v>61</v>
      </c>
      <c r="K238" s="42">
        <f t="shared" si="23"/>
        <v>72</v>
      </c>
      <c r="L238" s="42">
        <f t="shared" si="24"/>
        <v>45</v>
      </c>
      <c r="M238" s="42">
        <f t="shared" si="25"/>
        <v>16</v>
      </c>
      <c r="N238" s="42">
        <f t="shared" si="26"/>
        <v>7</v>
      </c>
      <c r="O238" s="42">
        <f t="shared" si="27"/>
        <v>5</v>
      </c>
      <c r="P238" s="44">
        <f t="shared" si="28"/>
        <v>3</v>
      </c>
      <c r="Q238" s="3"/>
      <c r="R238" s="3"/>
    </row>
    <row r="239" spans="1:18" x14ac:dyDescent="0.3">
      <c r="A239" s="59">
        <v>1784</v>
      </c>
      <c r="B239" s="61">
        <v>0</v>
      </c>
      <c r="C239" s="43">
        <v>0</v>
      </c>
      <c r="D239" s="42">
        <v>0</v>
      </c>
      <c r="E239" s="42">
        <v>0</v>
      </c>
      <c r="F239" s="42">
        <v>0</v>
      </c>
      <c r="G239" s="42">
        <v>0</v>
      </c>
      <c r="H239" s="42">
        <v>0</v>
      </c>
      <c r="I239" s="44">
        <v>0</v>
      </c>
      <c r="J239" s="43">
        <f t="shared" si="22"/>
        <v>61</v>
      </c>
      <c r="K239" s="42">
        <f t="shared" si="23"/>
        <v>72</v>
      </c>
      <c r="L239" s="42">
        <f t="shared" si="24"/>
        <v>45</v>
      </c>
      <c r="M239" s="42">
        <f t="shared" si="25"/>
        <v>16</v>
      </c>
      <c r="N239" s="42">
        <f t="shared" si="26"/>
        <v>7</v>
      </c>
      <c r="O239" s="42">
        <f t="shared" si="27"/>
        <v>5</v>
      </c>
      <c r="P239" s="44">
        <f t="shared" si="28"/>
        <v>3</v>
      </c>
      <c r="Q239" s="3"/>
      <c r="R239" s="3"/>
    </row>
    <row r="240" spans="1:18" x14ac:dyDescent="0.3">
      <c r="A240" s="59">
        <v>1783</v>
      </c>
      <c r="B240" s="61">
        <v>0</v>
      </c>
      <c r="C240" s="43">
        <v>0</v>
      </c>
      <c r="D240" s="42">
        <v>0</v>
      </c>
      <c r="E240" s="42">
        <v>0</v>
      </c>
      <c r="F240" s="42">
        <v>0</v>
      </c>
      <c r="G240" s="42">
        <v>0</v>
      </c>
      <c r="H240" s="42">
        <v>0</v>
      </c>
      <c r="I240" s="44">
        <v>0</v>
      </c>
      <c r="J240" s="43">
        <f t="shared" si="22"/>
        <v>61</v>
      </c>
      <c r="K240" s="42">
        <f t="shared" si="23"/>
        <v>72</v>
      </c>
      <c r="L240" s="42">
        <f t="shared" si="24"/>
        <v>45</v>
      </c>
      <c r="M240" s="42">
        <f t="shared" si="25"/>
        <v>16</v>
      </c>
      <c r="N240" s="42">
        <f t="shared" si="26"/>
        <v>7</v>
      </c>
      <c r="O240" s="42">
        <f t="shared" si="27"/>
        <v>5</v>
      </c>
      <c r="P240" s="44">
        <f t="shared" si="28"/>
        <v>3</v>
      </c>
      <c r="Q240" s="3"/>
      <c r="R240" s="3"/>
    </row>
    <row r="241" spans="1:18" x14ac:dyDescent="0.3">
      <c r="A241" s="59">
        <v>1782</v>
      </c>
      <c r="B241" s="61">
        <v>0</v>
      </c>
      <c r="C241" s="43">
        <v>0</v>
      </c>
      <c r="D241" s="42">
        <v>0</v>
      </c>
      <c r="E241" s="42">
        <v>0</v>
      </c>
      <c r="F241" s="42">
        <v>0</v>
      </c>
      <c r="G241" s="42">
        <v>0</v>
      </c>
      <c r="H241" s="42">
        <v>0</v>
      </c>
      <c r="I241" s="44">
        <v>0</v>
      </c>
      <c r="J241" s="43">
        <f t="shared" si="22"/>
        <v>61</v>
      </c>
      <c r="K241" s="42">
        <f t="shared" si="23"/>
        <v>72</v>
      </c>
      <c r="L241" s="42">
        <f t="shared" si="24"/>
        <v>45</v>
      </c>
      <c r="M241" s="42">
        <f t="shared" si="25"/>
        <v>16</v>
      </c>
      <c r="N241" s="42">
        <f t="shared" si="26"/>
        <v>7</v>
      </c>
      <c r="O241" s="42">
        <f t="shared" si="27"/>
        <v>5</v>
      </c>
      <c r="P241" s="44">
        <f t="shared" si="28"/>
        <v>3</v>
      </c>
      <c r="Q241" s="3"/>
      <c r="R241" s="3"/>
    </row>
    <row r="242" spans="1:18" x14ac:dyDescent="0.3">
      <c r="A242" s="59">
        <v>1781</v>
      </c>
      <c r="B242" s="61">
        <v>0</v>
      </c>
      <c r="C242" s="43">
        <v>0</v>
      </c>
      <c r="D242" s="42">
        <v>0</v>
      </c>
      <c r="E242" s="42">
        <v>0</v>
      </c>
      <c r="F242" s="42">
        <v>0</v>
      </c>
      <c r="G242" s="42">
        <v>0</v>
      </c>
      <c r="H242" s="42">
        <v>0</v>
      </c>
      <c r="I242" s="44">
        <v>0</v>
      </c>
      <c r="J242" s="43">
        <f t="shared" si="22"/>
        <v>61</v>
      </c>
      <c r="K242" s="42">
        <f t="shared" si="23"/>
        <v>72</v>
      </c>
      <c r="L242" s="42">
        <f t="shared" si="24"/>
        <v>45</v>
      </c>
      <c r="M242" s="42">
        <f t="shared" si="25"/>
        <v>16</v>
      </c>
      <c r="N242" s="42">
        <f t="shared" si="26"/>
        <v>7</v>
      </c>
      <c r="O242" s="42">
        <f t="shared" si="27"/>
        <v>5</v>
      </c>
      <c r="P242" s="44">
        <f t="shared" si="28"/>
        <v>3</v>
      </c>
      <c r="Q242" s="3"/>
      <c r="R242" s="3"/>
    </row>
    <row r="243" spans="1:18" x14ac:dyDescent="0.3">
      <c r="A243" s="59">
        <v>1780</v>
      </c>
      <c r="B243" s="61">
        <v>0</v>
      </c>
      <c r="C243" s="43">
        <v>0</v>
      </c>
      <c r="D243" s="42">
        <v>0</v>
      </c>
      <c r="E243" s="42">
        <v>0</v>
      </c>
      <c r="F243" s="42">
        <v>0</v>
      </c>
      <c r="G243" s="42">
        <v>0</v>
      </c>
      <c r="H243" s="42">
        <v>0</v>
      </c>
      <c r="I243" s="44">
        <v>0</v>
      </c>
      <c r="J243" s="43">
        <f t="shared" si="22"/>
        <v>61</v>
      </c>
      <c r="K243" s="42">
        <f t="shared" si="23"/>
        <v>72</v>
      </c>
      <c r="L243" s="42">
        <f t="shared" si="24"/>
        <v>45</v>
      </c>
      <c r="M243" s="42">
        <f t="shared" si="25"/>
        <v>16</v>
      </c>
      <c r="N243" s="42">
        <f t="shared" si="26"/>
        <v>7</v>
      </c>
      <c r="O243" s="42">
        <f t="shared" si="27"/>
        <v>5</v>
      </c>
      <c r="P243" s="44">
        <f t="shared" si="28"/>
        <v>3</v>
      </c>
      <c r="Q243" s="3"/>
      <c r="R243" s="3"/>
    </row>
    <row r="244" spans="1:18" x14ac:dyDescent="0.3">
      <c r="A244" s="59">
        <v>1779</v>
      </c>
      <c r="B244" s="61">
        <v>0</v>
      </c>
      <c r="C244" s="43">
        <v>0</v>
      </c>
      <c r="D244" s="42">
        <v>0</v>
      </c>
      <c r="E244" s="42">
        <v>0</v>
      </c>
      <c r="F244" s="42">
        <v>0</v>
      </c>
      <c r="G244" s="42">
        <v>0</v>
      </c>
      <c r="H244" s="42">
        <v>0</v>
      </c>
      <c r="I244" s="44">
        <v>0</v>
      </c>
      <c r="J244" s="43">
        <f t="shared" si="22"/>
        <v>61</v>
      </c>
      <c r="K244" s="42">
        <f t="shared" si="23"/>
        <v>72</v>
      </c>
      <c r="L244" s="42">
        <f t="shared" si="24"/>
        <v>45</v>
      </c>
      <c r="M244" s="42">
        <f t="shared" si="25"/>
        <v>16</v>
      </c>
      <c r="N244" s="42">
        <f t="shared" si="26"/>
        <v>7</v>
      </c>
      <c r="O244" s="42">
        <f t="shared" si="27"/>
        <v>5</v>
      </c>
      <c r="P244" s="44">
        <f t="shared" si="28"/>
        <v>3</v>
      </c>
      <c r="Q244" s="3"/>
      <c r="R244" s="3"/>
    </row>
    <row r="245" spans="1:18" x14ac:dyDescent="0.3">
      <c r="A245" s="59">
        <v>1778</v>
      </c>
      <c r="B245" s="61">
        <v>0</v>
      </c>
      <c r="C245" s="43">
        <v>0</v>
      </c>
      <c r="D245" s="42">
        <v>0</v>
      </c>
      <c r="E245" s="42">
        <v>0</v>
      </c>
      <c r="F245" s="42">
        <v>0</v>
      </c>
      <c r="G245" s="42">
        <v>0</v>
      </c>
      <c r="H245" s="42">
        <v>0</v>
      </c>
      <c r="I245" s="44">
        <v>0</v>
      </c>
      <c r="J245" s="43">
        <f t="shared" si="22"/>
        <v>61</v>
      </c>
      <c r="K245" s="42">
        <f t="shared" si="23"/>
        <v>72</v>
      </c>
      <c r="L245" s="42">
        <f t="shared" si="24"/>
        <v>45</v>
      </c>
      <c r="M245" s="42">
        <f t="shared" si="25"/>
        <v>16</v>
      </c>
      <c r="N245" s="42">
        <f t="shared" si="26"/>
        <v>7</v>
      </c>
      <c r="O245" s="42">
        <f t="shared" si="27"/>
        <v>5</v>
      </c>
      <c r="P245" s="44">
        <f t="shared" si="28"/>
        <v>3</v>
      </c>
      <c r="Q245" s="3"/>
      <c r="R245" s="3"/>
    </row>
    <row r="246" spans="1:18" x14ac:dyDescent="0.3">
      <c r="A246" s="59">
        <v>1777</v>
      </c>
      <c r="B246" s="61">
        <v>0</v>
      </c>
      <c r="C246" s="43">
        <v>0</v>
      </c>
      <c r="D246" s="42">
        <v>0</v>
      </c>
      <c r="E246" s="42">
        <v>0</v>
      </c>
      <c r="F246" s="42">
        <v>0</v>
      </c>
      <c r="G246" s="42">
        <v>0</v>
      </c>
      <c r="H246" s="42">
        <v>0</v>
      </c>
      <c r="I246" s="44">
        <v>0</v>
      </c>
      <c r="J246" s="43">
        <f t="shared" si="22"/>
        <v>61</v>
      </c>
      <c r="K246" s="42">
        <f t="shared" si="23"/>
        <v>72</v>
      </c>
      <c r="L246" s="42">
        <f t="shared" si="24"/>
        <v>45</v>
      </c>
      <c r="M246" s="42">
        <f t="shared" si="25"/>
        <v>16</v>
      </c>
      <c r="N246" s="42">
        <f t="shared" si="26"/>
        <v>7</v>
      </c>
      <c r="O246" s="42">
        <f t="shared" si="27"/>
        <v>5</v>
      </c>
      <c r="P246" s="44">
        <f t="shared" si="28"/>
        <v>3</v>
      </c>
      <c r="Q246" s="3"/>
      <c r="R246" s="3"/>
    </row>
    <row r="247" spans="1:18" x14ac:dyDescent="0.3">
      <c r="A247" s="59">
        <v>1776</v>
      </c>
      <c r="B247" s="61">
        <v>0</v>
      </c>
      <c r="C247" s="43">
        <v>0</v>
      </c>
      <c r="D247" s="42">
        <v>0</v>
      </c>
      <c r="E247" s="42">
        <v>0</v>
      </c>
      <c r="F247" s="42">
        <v>0</v>
      </c>
      <c r="G247" s="42">
        <v>0</v>
      </c>
      <c r="H247" s="42">
        <v>0</v>
      </c>
      <c r="I247" s="44">
        <v>0</v>
      </c>
      <c r="J247" s="43">
        <f t="shared" si="22"/>
        <v>61</v>
      </c>
      <c r="K247" s="42">
        <f t="shared" si="23"/>
        <v>72</v>
      </c>
      <c r="L247" s="42">
        <f t="shared" si="24"/>
        <v>45</v>
      </c>
      <c r="M247" s="42">
        <f t="shared" si="25"/>
        <v>16</v>
      </c>
      <c r="N247" s="42">
        <f t="shared" si="26"/>
        <v>7</v>
      </c>
      <c r="O247" s="42">
        <f t="shared" si="27"/>
        <v>5</v>
      </c>
      <c r="P247" s="44">
        <f t="shared" si="28"/>
        <v>3</v>
      </c>
      <c r="Q247" s="3"/>
      <c r="R247" s="3"/>
    </row>
    <row r="248" spans="1:18" x14ac:dyDescent="0.3">
      <c r="A248" s="59">
        <v>1775</v>
      </c>
      <c r="B248" s="61">
        <v>0</v>
      </c>
      <c r="C248" s="43">
        <v>0</v>
      </c>
      <c r="D248" s="42">
        <v>0</v>
      </c>
      <c r="E248" s="42">
        <v>0</v>
      </c>
      <c r="F248" s="42">
        <v>0</v>
      </c>
      <c r="G248" s="42">
        <v>0</v>
      </c>
      <c r="H248" s="42">
        <v>0</v>
      </c>
      <c r="I248" s="44">
        <v>0</v>
      </c>
      <c r="J248" s="43">
        <f t="shared" si="22"/>
        <v>61</v>
      </c>
      <c r="K248" s="42">
        <f t="shared" si="23"/>
        <v>72</v>
      </c>
      <c r="L248" s="42">
        <f t="shared" si="24"/>
        <v>45</v>
      </c>
      <c r="M248" s="42">
        <f t="shared" si="25"/>
        <v>16</v>
      </c>
      <c r="N248" s="42">
        <f t="shared" si="26"/>
        <v>7</v>
      </c>
      <c r="O248" s="42">
        <f t="shared" si="27"/>
        <v>5</v>
      </c>
      <c r="P248" s="44">
        <f t="shared" si="28"/>
        <v>3</v>
      </c>
      <c r="Q248" s="3"/>
      <c r="R248" s="3"/>
    </row>
    <row r="249" spans="1:18" x14ac:dyDescent="0.3">
      <c r="A249" s="59">
        <v>1774</v>
      </c>
      <c r="B249" s="61">
        <v>0</v>
      </c>
      <c r="C249" s="43">
        <v>0</v>
      </c>
      <c r="D249" s="42">
        <v>0</v>
      </c>
      <c r="E249" s="42">
        <v>0</v>
      </c>
      <c r="F249" s="42">
        <v>0</v>
      </c>
      <c r="G249" s="42">
        <v>0</v>
      </c>
      <c r="H249" s="42">
        <v>0</v>
      </c>
      <c r="I249" s="44">
        <v>0</v>
      </c>
      <c r="J249" s="43">
        <f t="shared" si="22"/>
        <v>61</v>
      </c>
      <c r="K249" s="42">
        <f t="shared" si="23"/>
        <v>72</v>
      </c>
      <c r="L249" s="42">
        <f t="shared" si="24"/>
        <v>45</v>
      </c>
      <c r="M249" s="42">
        <f t="shared" si="25"/>
        <v>16</v>
      </c>
      <c r="N249" s="42">
        <f t="shared" si="26"/>
        <v>7</v>
      </c>
      <c r="O249" s="42">
        <f t="shared" si="27"/>
        <v>5</v>
      </c>
      <c r="P249" s="44">
        <f t="shared" si="28"/>
        <v>3</v>
      </c>
      <c r="Q249" s="3"/>
      <c r="R249" s="3"/>
    </row>
    <row r="250" spans="1:18" x14ac:dyDescent="0.3">
      <c r="A250" s="59">
        <v>1773</v>
      </c>
      <c r="B250" s="61">
        <v>0</v>
      </c>
      <c r="C250" s="43">
        <v>0</v>
      </c>
      <c r="D250" s="42">
        <v>0</v>
      </c>
      <c r="E250" s="42">
        <v>0</v>
      </c>
      <c r="F250" s="42">
        <v>0</v>
      </c>
      <c r="G250" s="42">
        <v>0</v>
      </c>
      <c r="H250" s="42">
        <v>0</v>
      </c>
      <c r="I250" s="44">
        <v>0</v>
      </c>
      <c r="J250" s="43">
        <f t="shared" si="22"/>
        <v>61</v>
      </c>
      <c r="K250" s="42">
        <f t="shared" si="23"/>
        <v>72</v>
      </c>
      <c r="L250" s="42">
        <f t="shared" si="24"/>
        <v>45</v>
      </c>
      <c r="M250" s="42">
        <f t="shared" si="25"/>
        <v>16</v>
      </c>
      <c r="N250" s="42">
        <f t="shared" si="26"/>
        <v>7</v>
      </c>
      <c r="O250" s="42">
        <f t="shared" si="27"/>
        <v>5</v>
      </c>
      <c r="P250" s="44">
        <f t="shared" si="28"/>
        <v>3</v>
      </c>
      <c r="Q250" s="3"/>
      <c r="R250" s="3"/>
    </row>
    <row r="251" spans="1:18" x14ac:dyDescent="0.3">
      <c r="A251" s="59">
        <v>1772</v>
      </c>
      <c r="B251" s="61">
        <v>0</v>
      </c>
      <c r="C251" s="43">
        <v>0</v>
      </c>
      <c r="D251" s="42">
        <v>0</v>
      </c>
      <c r="E251" s="42">
        <v>0</v>
      </c>
      <c r="F251" s="42">
        <v>0</v>
      </c>
      <c r="G251" s="42">
        <v>0</v>
      </c>
      <c r="H251" s="42">
        <v>0</v>
      </c>
      <c r="I251" s="44">
        <v>0</v>
      </c>
      <c r="J251" s="43">
        <f t="shared" si="22"/>
        <v>61</v>
      </c>
      <c r="K251" s="42">
        <f t="shared" si="23"/>
        <v>72</v>
      </c>
      <c r="L251" s="42">
        <f t="shared" si="24"/>
        <v>45</v>
      </c>
      <c r="M251" s="42">
        <f t="shared" si="25"/>
        <v>16</v>
      </c>
      <c r="N251" s="42">
        <f t="shared" si="26"/>
        <v>7</v>
      </c>
      <c r="O251" s="42">
        <f t="shared" si="27"/>
        <v>5</v>
      </c>
      <c r="P251" s="44">
        <f t="shared" si="28"/>
        <v>3</v>
      </c>
      <c r="Q251" s="3"/>
      <c r="R251" s="3"/>
    </row>
    <row r="252" spans="1:18" x14ac:dyDescent="0.3">
      <c r="A252" s="59">
        <v>1771</v>
      </c>
      <c r="B252" s="61">
        <v>0</v>
      </c>
      <c r="C252" s="43">
        <v>0</v>
      </c>
      <c r="D252" s="42">
        <v>0</v>
      </c>
      <c r="E252" s="42">
        <v>0</v>
      </c>
      <c r="F252" s="42">
        <v>0</v>
      </c>
      <c r="G252" s="42">
        <v>0</v>
      </c>
      <c r="H252" s="42">
        <v>0</v>
      </c>
      <c r="I252" s="44">
        <v>0</v>
      </c>
      <c r="J252" s="43">
        <f t="shared" si="22"/>
        <v>61</v>
      </c>
      <c r="K252" s="42">
        <f t="shared" si="23"/>
        <v>72</v>
      </c>
      <c r="L252" s="42">
        <f t="shared" si="24"/>
        <v>45</v>
      </c>
      <c r="M252" s="42">
        <f t="shared" si="25"/>
        <v>16</v>
      </c>
      <c r="N252" s="42">
        <f t="shared" si="26"/>
        <v>7</v>
      </c>
      <c r="O252" s="42">
        <f t="shared" si="27"/>
        <v>5</v>
      </c>
      <c r="P252" s="44">
        <f t="shared" si="28"/>
        <v>3</v>
      </c>
      <c r="Q252" s="3"/>
      <c r="R252" s="3"/>
    </row>
    <row r="253" spans="1:18" x14ac:dyDescent="0.3">
      <c r="A253" s="59">
        <v>1770</v>
      </c>
      <c r="B253" s="61">
        <v>0</v>
      </c>
      <c r="C253" s="43">
        <v>0</v>
      </c>
      <c r="D253" s="42">
        <v>0</v>
      </c>
      <c r="E253" s="42">
        <v>0</v>
      </c>
      <c r="F253" s="42">
        <v>0</v>
      </c>
      <c r="G253" s="42">
        <v>0</v>
      </c>
      <c r="H253" s="42">
        <v>0</v>
      </c>
      <c r="I253" s="44">
        <v>0</v>
      </c>
      <c r="J253" s="43">
        <f t="shared" si="22"/>
        <v>61</v>
      </c>
      <c r="K253" s="42">
        <f t="shared" si="23"/>
        <v>72</v>
      </c>
      <c r="L253" s="42">
        <f t="shared" si="24"/>
        <v>45</v>
      </c>
      <c r="M253" s="42">
        <f t="shared" si="25"/>
        <v>16</v>
      </c>
      <c r="N253" s="42">
        <f t="shared" si="26"/>
        <v>7</v>
      </c>
      <c r="O253" s="42">
        <f t="shared" si="27"/>
        <v>5</v>
      </c>
      <c r="P253" s="44">
        <f t="shared" si="28"/>
        <v>3</v>
      </c>
      <c r="Q253" s="3"/>
      <c r="R253" s="3"/>
    </row>
    <row r="254" spans="1:18" x14ac:dyDescent="0.3">
      <c r="A254" s="59">
        <v>1769</v>
      </c>
      <c r="B254" s="61">
        <v>0</v>
      </c>
      <c r="C254" s="43">
        <v>0</v>
      </c>
      <c r="D254" s="42">
        <v>0</v>
      </c>
      <c r="E254" s="42">
        <v>0</v>
      </c>
      <c r="F254" s="42">
        <v>0</v>
      </c>
      <c r="G254" s="42">
        <v>0</v>
      </c>
      <c r="H254" s="42">
        <v>0</v>
      </c>
      <c r="I254" s="44">
        <v>0</v>
      </c>
      <c r="J254" s="43">
        <f t="shared" si="22"/>
        <v>61</v>
      </c>
      <c r="K254" s="42">
        <f t="shared" si="23"/>
        <v>72</v>
      </c>
      <c r="L254" s="42">
        <f t="shared" si="24"/>
        <v>45</v>
      </c>
      <c r="M254" s="42">
        <f t="shared" si="25"/>
        <v>16</v>
      </c>
      <c r="N254" s="42">
        <f t="shared" si="26"/>
        <v>7</v>
      </c>
      <c r="O254" s="42">
        <f t="shared" si="27"/>
        <v>5</v>
      </c>
      <c r="P254" s="44">
        <f t="shared" si="28"/>
        <v>3</v>
      </c>
      <c r="Q254" s="3"/>
      <c r="R254" s="3"/>
    </row>
    <row r="255" spans="1:18" x14ac:dyDescent="0.3">
      <c r="A255" s="59">
        <v>1768</v>
      </c>
      <c r="B255" s="61">
        <v>0</v>
      </c>
      <c r="C255" s="43">
        <v>0</v>
      </c>
      <c r="D255" s="42">
        <v>0</v>
      </c>
      <c r="E255" s="42">
        <v>0</v>
      </c>
      <c r="F255" s="42">
        <v>0</v>
      </c>
      <c r="G255" s="42">
        <v>0</v>
      </c>
      <c r="H255" s="42">
        <v>0</v>
      </c>
      <c r="I255" s="44">
        <v>0</v>
      </c>
      <c r="J255" s="43">
        <f t="shared" si="22"/>
        <v>61</v>
      </c>
      <c r="K255" s="42">
        <f t="shared" si="23"/>
        <v>72</v>
      </c>
      <c r="L255" s="42">
        <f t="shared" si="24"/>
        <v>45</v>
      </c>
      <c r="M255" s="42">
        <f t="shared" si="25"/>
        <v>16</v>
      </c>
      <c r="N255" s="42">
        <f t="shared" si="26"/>
        <v>7</v>
      </c>
      <c r="O255" s="42">
        <f t="shared" si="27"/>
        <v>5</v>
      </c>
      <c r="P255" s="44">
        <f t="shared" si="28"/>
        <v>3</v>
      </c>
      <c r="Q255" s="3"/>
      <c r="R255" s="3"/>
    </row>
    <row r="256" spans="1:18" x14ac:dyDescent="0.3">
      <c r="A256" s="59">
        <v>1767</v>
      </c>
      <c r="B256" s="61">
        <v>0</v>
      </c>
      <c r="C256" s="43">
        <v>0</v>
      </c>
      <c r="D256" s="42">
        <v>0</v>
      </c>
      <c r="E256" s="42">
        <v>0</v>
      </c>
      <c r="F256" s="42">
        <v>0</v>
      </c>
      <c r="G256" s="42">
        <v>0</v>
      </c>
      <c r="H256" s="42">
        <v>0</v>
      </c>
      <c r="I256" s="44">
        <v>0</v>
      </c>
      <c r="J256" s="43">
        <f t="shared" si="22"/>
        <v>61</v>
      </c>
      <c r="K256" s="42">
        <f t="shared" si="23"/>
        <v>72</v>
      </c>
      <c r="L256" s="42">
        <f t="shared" si="24"/>
        <v>45</v>
      </c>
      <c r="M256" s="42">
        <f t="shared" si="25"/>
        <v>16</v>
      </c>
      <c r="N256" s="42">
        <f t="shared" si="26"/>
        <v>7</v>
      </c>
      <c r="O256" s="42">
        <f t="shared" si="27"/>
        <v>5</v>
      </c>
      <c r="P256" s="44">
        <f t="shared" si="28"/>
        <v>3</v>
      </c>
      <c r="Q256" s="3"/>
      <c r="R256" s="3"/>
    </row>
    <row r="257" spans="1:18" x14ac:dyDescent="0.3">
      <c r="A257" s="59">
        <v>1766</v>
      </c>
      <c r="B257" s="61">
        <v>0</v>
      </c>
      <c r="C257" s="43">
        <v>0</v>
      </c>
      <c r="D257" s="42">
        <v>0</v>
      </c>
      <c r="E257" s="42">
        <v>0</v>
      </c>
      <c r="F257" s="42">
        <v>0</v>
      </c>
      <c r="G257" s="42">
        <v>0</v>
      </c>
      <c r="H257" s="42">
        <v>0</v>
      </c>
      <c r="I257" s="44">
        <v>0</v>
      </c>
      <c r="J257" s="43">
        <f t="shared" si="22"/>
        <v>61</v>
      </c>
      <c r="K257" s="42">
        <f t="shared" si="23"/>
        <v>72</v>
      </c>
      <c r="L257" s="42">
        <f t="shared" si="24"/>
        <v>45</v>
      </c>
      <c r="M257" s="42">
        <f t="shared" si="25"/>
        <v>16</v>
      </c>
      <c r="N257" s="42">
        <f t="shared" si="26"/>
        <v>7</v>
      </c>
      <c r="O257" s="42">
        <f t="shared" si="27"/>
        <v>5</v>
      </c>
      <c r="P257" s="44">
        <f t="shared" si="28"/>
        <v>3</v>
      </c>
      <c r="Q257" s="3"/>
      <c r="R257" s="3"/>
    </row>
    <row r="258" spans="1:18" x14ac:dyDescent="0.3">
      <c r="A258" s="59">
        <v>1765</v>
      </c>
      <c r="B258" s="61">
        <v>0</v>
      </c>
      <c r="C258" s="43">
        <v>0</v>
      </c>
      <c r="D258" s="42">
        <v>0</v>
      </c>
      <c r="E258" s="42">
        <v>0</v>
      </c>
      <c r="F258" s="42">
        <v>0</v>
      </c>
      <c r="G258" s="42">
        <v>0</v>
      </c>
      <c r="H258" s="42">
        <v>0</v>
      </c>
      <c r="I258" s="44">
        <v>0</v>
      </c>
      <c r="J258" s="43">
        <f t="shared" si="22"/>
        <v>61</v>
      </c>
      <c r="K258" s="42">
        <f t="shared" si="23"/>
        <v>72</v>
      </c>
      <c r="L258" s="42">
        <f t="shared" si="24"/>
        <v>45</v>
      </c>
      <c r="M258" s="42">
        <f t="shared" si="25"/>
        <v>16</v>
      </c>
      <c r="N258" s="42">
        <f t="shared" si="26"/>
        <v>7</v>
      </c>
      <c r="O258" s="42">
        <f t="shared" si="27"/>
        <v>5</v>
      </c>
      <c r="P258" s="44">
        <f t="shared" si="28"/>
        <v>3</v>
      </c>
      <c r="Q258" s="3"/>
      <c r="R258" s="3"/>
    </row>
    <row r="259" spans="1:18" x14ac:dyDescent="0.3">
      <c r="A259" s="59">
        <v>1764</v>
      </c>
      <c r="B259" s="61">
        <v>0</v>
      </c>
      <c r="C259" s="43">
        <v>0</v>
      </c>
      <c r="D259" s="42">
        <v>0</v>
      </c>
      <c r="E259" s="42">
        <v>0</v>
      </c>
      <c r="F259" s="42">
        <v>0</v>
      </c>
      <c r="G259" s="42">
        <v>0</v>
      </c>
      <c r="H259" s="42">
        <v>0</v>
      </c>
      <c r="I259" s="44">
        <v>0</v>
      </c>
      <c r="J259" s="43">
        <f t="shared" si="22"/>
        <v>61</v>
      </c>
      <c r="K259" s="42">
        <f t="shared" si="23"/>
        <v>72</v>
      </c>
      <c r="L259" s="42">
        <f t="shared" si="24"/>
        <v>45</v>
      </c>
      <c r="M259" s="42">
        <f t="shared" si="25"/>
        <v>16</v>
      </c>
      <c r="N259" s="42">
        <f t="shared" si="26"/>
        <v>7</v>
      </c>
      <c r="O259" s="42">
        <f t="shared" si="27"/>
        <v>5</v>
      </c>
      <c r="P259" s="44">
        <f t="shared" si="28"/>
        <v>3</v>
      </c>
      <c r="Q259" s="3"/>
      <c r="R259" s="3"/>
    </row>
    <row r="260" spans="1:18" x14ac:dyDescent="0.3">
      <c r="A260" s="59">
        <v>1763</v>
      </c>
      <c r="B260" s="61">
        <v>0</v>
      </c>
      <c r="C260" s="43">
        <v>0</v>
      </c>
      <c r="D260" s="42">
        <v>0</v>
      </c>
      <c r="E260" s="42">
        <v>0</v>
      </c>
      <c r="F260" s="42">
        <v>0</v>
      </c>
      <c r="G260" s="42">
        <v>0</v>
      </c>
      <c r="H260" s="42">
        <v>0</v>
      </c>
      <c r="I260" s="44">
        <v>0</v>
      </c>
      <c r="J260" s="43">
        <f t="shared" ref="J260:J323" si="29">J259+C260</f>
        <v>61</v>
      </c>
      <c r="K260" s="42">
        <f t="shared" ref="K260:K323" si="30">K259+D260</f>
        <v>72</v>
      </c>
      <c r="L260" s="42">
        <f t="shared" ref="L260:L323" si="31">L259+E260</f>
        <v>45</v>
      </c>
      <c r="M260" s="42">
        <f t="shared" ref="M260:M323" si="32">M259+F260</f>
        <v>16</v>
      </c>
      <c r="N260" s="42">
        <f t="shared" ref="N260:N323" si="33">N259+G260</f>
        <v>7</v>
      </c>
      <c r="O260" s="42">
        <f t="shared" ref="O260:O323" si="34">O259+H260</f>
        <v>5</v>
      </c>
      <c r="P260" s="44">
        <f t="shared" ref="P260:P323" si="35">P259+I260</f>
        <v>3</v>
      </c>
      <c r="Q260" s="3"/>
      <c r="R260" s="3"/>
    </row>
    <row r="261" spans="1:18" x14ac:dyDescent="0.3">
      <c r="A261" s="59">
        <v>1762</v>
      </c>
      <c r="B261" s="61">
        <v>0</v>
      </c>
      <c r="C261" s="43">
        <v>0</v>
      </c>
      <c r="D261" s="42">
        <v>0</v>
      </c>
      <c r="E261" s="42">
        <v>0</v>
      </c>
      <c r="F261" s="42">
        <v>0</v>
      </c>
      <c r="G261" s="42">
        <v>0</v>
      </c>
      <c r="H261" s="42">
        <v>0</v>
      </c>
      <c r="I261" s="44">
        <v>0</v>
      </c>
      <c r="J261" s="43">
        <f t="shared" si="29"/>
        <v>61</v>
      </c>
      <c r="K261" s="42">
        <f t="shared" si="30"/>
        <v>72</v>
      </c>
      <c r="L261" s="42">
        <f t="shared" si="31"/>
        <v>45</v>
      </c>
      <c r="M261" s="42">
        <f t="shared" si="32"/>
        <v>16</v>
      </c>
      <c r="N261" s="42">
        <f t="shared" si="33"/>
        <v>7</v>
      </c>
      <c r="O261" s="42">
        <f t="shared" si="34"/>
        <v>5</v>
      </c>
      <c r="P261" s="44">
        <f t="shared" si="35"/>
        <v>3</v>
      </c>
      <c r="Q261" s="3"/>
      <c r="R261" s="3"/>
    </row>
    <row r="262" spans="1:18" x14ac:dyDescent="0.3">
      <c r="A262" s="59">
        <v>1761</v>
      </c>
      <c r="B262" s="61">
        <v>0</v>
      </c>
      <c r="C262" s="43">
        <v>0</v>
      </c>
      <c r="D262" s="42">
        <v>0</v>
      </c>
      <c r="E262" s="42">
        <v>0</v>
      </c>
      <c r="F262" s="42">
        <v>0</v>
      </c>
      <c r="G262" s="42">
        <v>0</v>
      </c>
      <c r="H262" s="42">
        <v>0</v>
      </c>
      <c r="I262" s="44">
        <v>0</v>
      </c>
      <c r="J262" s="43">
        <f t="shared" si="29"/>
        <v>61</v>
      </c>
      <c r="K262" s="42">
        <f t="shared" si="30"/>
        <v>72</v>
      </c>
      <c r="L262" s="42">
        <f t="shared" si="31"/>
        <v>45</v>
      </c>
      <c r="M262" s="42">
        <f t="shared" si="32"/>
        <v>16</v>
      </c>
      <c r="N262" s="42">
        <f t="shared" si="33"/>
        <v>7</v>
      </c>
      <c r="O262" s="42">
        <f t="shared" si="34"/>
        <v>5</v>
      </c>
      <c r="P262" s="44">
        <f t="shared" si="35"/>
        <v>3</v>
      </c>
      <c r="Q262" s="3"/>
      <c r="R262" s="3"/>
    </row>
    <row r="263" spans="1:18" x14ac:dyDescent="0.3">
      <c r="A263" s="59">
        <v>1760</v>
      </c>
      <c r="B263" s="61">
        <v>0</v>
      </c>
      <c r="C263" s="43">
        <v>0</v>
      </c>
      <c r="D263" s="42">
        <v>0</v>
      </c>
      <c r="E263" s="42">
        <v>0</v>
      </c>
      <c r="F263" s="42">
        <v>0</v>
      </c>
      <c r="G263" s="42">
        <v>0</v>
      </c>
      <c r="H263" s="42">
        <v>0</v>
      </c>
      <c r="I263" s="44">
        <v>0</v>
      </c>
      <c r="J263" s="43">
        <f t="shared" si="29"/>
        <v>61</v>
      </c>
      <c r="K263" s="42">
        <f t="shared" si="30"/>
        <v>72</v>
      </c>
      <c r="L263" s="42">
        <f t="shared" si="31"/>
        <v>45</v>
      </c>
      <c r="M263" s="42">
        <f t="shared" si="32"/>
        <v>16</v>
      </c>
      <c r="N263" s="42">
        <f t="shared" si="33"/>
        <v>7</v>
      </c>
      <c r="O263" s="42">
        <f t="shared" si="34"/>
        <v>5</v>
      </c>
      <c r="P263" s="44">
        <f t="shared" si="35"/>
        <v>3</v>
      </c>
      <c r="Q263" s="3"/>
      <c r="R263" s="3"/>
    </row>
    <row r="264" spans="1:18" x14ac:dyDescent="0.3">
      <c r="A264" s="59">
        <v>1759</v>
      </c>
      <c r="B264" s="61">
        <v>0</v>
      </c>
      <c r="C264" s="43">
        <v>0</v>
      </c>
      <c r="D264" s="42">
        <v>0</v>
      </c>
      <c r="E264" s="42">
        <v>0</v>
      </c>
      <c r="F264" s="42">
        <v>0</v>
      </c>
      <c r="G264" s="42">
        <v>0</v>
      </c>
      <c r="H264" s="42">
        <v>0</v>
      </c>
      <c r="I264" s="44">
        <v>0</v>
      </c>
      <c r="J264" s="43">
        <f t="shared" si="29"/>
        <v>61</v>
      </c>
      <c r="K264" s="42">
        <f t="shared" si="30"/>
        <v>72</v>
      </c>
      <c r="L264" s="42">
        <f t="shared" si="31"/>
        <v>45</v>
      </c>
      <c r="M264" s="42">
        <f t="shared" si="32"/>
        <v>16</v>
      </c>
      <c r="N264" s="42">
        <f t="shared" si="33"/>
        <v>7</v>
      </c>
      <c r="O264" s="42">
        <f t="shared" si="34"/>
        <v>5</v>
      </c>
      <c r="P264" s="44">
        <f t="shared" si="35"/>
        <v>3</v>
      </c>
      <c r="Q264" s="3"/>
      <c r="R264" s="3"/>
    </row>
    <row r="265" spans="1:18" x14ac:dyDescent="0.3">
      <c r="A265" s="59">
        <v>1758</v>
      </c>
      <c r="B265" s="61">
        <v>0</v>
      </c>
      <c r="C265" s="43">
        <v>0</v>
      </c>
      <c r="D265" s="42">
        <v>0</v>
      </c>
      <c r="E265" s="42">
        <v>0</v>
      </c>
      <c r="F265" s="42">
        <v>0</v>
      </c>
      <c r="G265" s="42">
        <v>0</v>
      </c>
      <c r="H265" s="42">
        <v>0</v>
      </c>
      <c r="I265" s="44">
        <v>0</v>
      </c>
      <c r="J265" s="43">
        <f t="shared" si="29"/>
        <v>61</v>
      </c>
      <c r="K265" s="42">
        <f t="shared" si="30"/>
        <v>72</v>
      </c>
      <c r="L265" s="42">
        <f t="shared" si="31"/>
        <v>45</v>
      </c>
      <c r="M265" s="42">
        <f t="shared" si="32"/>
        <v>16</v>
      </c>
      <c r="N265" s="42">
        <f t="shared" si="33"/>
        <v>7</v>
      </c>
      <c r="O265" s="42">
        <f t="shared" si="34"/>
        <v>5</v>
      </c>
      <c r="P265" s="44">
        <f t="shared" si="35"/>
        <v>3</v>
      </c>
      <c r="Q265" s="3"/>
      <c r="R265" s="3"/>
    </row>
    <row r="266" spans="1:18" x14ac:dyDescent="0.3">
      <c r="A266" s="59">
        <v>1757</v>
      </c>
      <c r="B266" s="61">
        <v>0</v>
      </c>
      <c r="C266" s="43">
        <v>0</v>
      </c>
      <c r="D266" s="42">
        <v>0</v>
      </c>
      <c r="E266" s="42">
        <v>0</v>
      </c>
      <c r="F266" s="42">
        <v>0</v>
      </c>
      <c r="G266" s="42">
        <v>0</v>
      </c>
      <c r="H266" s="42">
        <v>0</v>
      </c>
      <c r="I266" s="44">
        <v>0</v>
      </c>
      <c r="J266" s="43">
        <f t="shared" si="29"/>
        <v>61</v>
      </c>
      <c r="K266" s="42">
        <f t="shared" si="30"/>
        <v>72</v>
      </c>
      <c r="L266" s="42">
        <f t="shared" si="31"/>
        <v>45</v>
      </c>
      <c r="M266" s="42">
        <f t="shared" si="32"/>
        <v>16</v>
      </c>
      <c r="N266" s="42">
        <f t="shared" si="33"/>
        <v>7</v>
      </c>
      <c r="O266" s="42">
        <f t="shared" si="34"/>
        <v>5</v>
      </c>
      <c r="P266" s="44">
        <f t="shared" si="35"/>
        <v>3</v>
      </c>
      <c r="Q266" s="3"/>
      <c r="R266" s="3"/>
    </row>
    <row r="267" spans="1:18" x14ac:dyDescent="0.3">
      <c r="A267" s="59">
        <v>1756</v>
      </c>
      <c r="B267" s="61">
        <v>0</v>
      </c>
      <c r="C267" s="43">
        <v>0</v>
      </c>
      <c r="D267" s="42">
        <v>0</v>
      </c>
      <c r="E267" s="42">
        <v>0</v>
      </c>
      <c r="F267" s="42">
        <v>0</v>
      </c>
      <c r="G267" s="42">
        <v>0</v>
      </c>
      <c r="H267" s="42">
        <v>0</v>
      </c>
      <c r="I267" s="44">
        <v>0</v>
      </c>
      <c r="J267" s="43">
        <f t="shared" si="29"/>
        <v>61</v>
      </c>
      <c r="K267" s="42">
        <f t="shared" si="30"/>
        <v>72</v>
      </c>
      <c r="L267" s="42">
        <f t="shared" si="31"/>
        <v>45</v>
      </c>
      <c r="M267" s="42">
        <f t="shared" si="32"/>
        <v>16</v>
      </c>
      <c r="N267" s="42">
        <f t="shared" si="33"/>
        <v>7</v>
      </c>
      <c r="O267" s="42">
        <f t="shared" si="34"/>
        <v>5</v>
      </c>
      <c r="P267" s="44">
        <f t="shared" si="35"/>
        <v>3</v>
      </c>
      <c r="Q267" s="3"/>
      <c r="R267" s="3"/>
    </row>
    <row r="268" spans="1:18" x14ac:dyDescent="0.3">
      <c r="A268" s="59">
        <v>1755</v>
      </c>
      <c r="B268" s="61">
        <v>0</v>
      </c>
      <c r="C268" s="43">
        <v>0</v>
      </c>
      <c r="D268" s="42">
        <v>0</v>
      </c>
      <c r="E268" s="42">
        <v>0</v>
      </c>
      <c r="F268" s="42">
        <v>0</v>
      </c>
      <c r="G268" s="42">
        <v>0</v>
      </c>
      <c r="H268" s="42">
        <v>0</v>
      </c>
      <c r="I268" s="44">
        <v>0</v>
      </c>
      <c r="J268" s="43">
        <f t="shared" si="29"/>
        <v>61</v>
      </c>
      <c r="K268" s="42">
        <f t="shared" si="30"/>
        <v>72</v>
      </c>
      <c r="L268" s="42">
        <f t="shared" si="31"/>
        <v>45</v>
      </c>
      <c r="M268" s="42">
        <f t="shared" si="32"/>
        <v>16</v>
      </c>
      <c r="N268" s="42">
        <f t="shared" si="33"/>
        <v>7</v>
      </c>
      <c r="O268" s="42">
        <f t="shared" si="34"/>
        <v>5</v>
      </c>
      <c r="P268" s="44">
        <f t="shared" si="35"/>
        <v>3</v>
      </c>
      <c r="Q268" s="3"/>
      <c r="R268" s="3"/>
    </row>
    <row r="269" spans="1:18" x14ac:dyDescent="0.3">
      <c r="A269" s="59">
        <v>1754</v>
      </c>
      <c r="B269" s="61">
        <v>0</v>
      </c>
      <c r="C269" s="43">
        <v>0</v>
      </c>
      <c r="D269" s="42">
        <v>0</v>
      </c>
      <c r="E269" s="42">
        <v>0</v>
      </c>
      <c r="F269" s="42">
        <v>0</v>
      </c>
      <c r="G269" s="42">
        <v>0</v>
      </c>
      <c r="H269" s="42">
        <v>0</v>
      </c>
      <c r="I269" s="44">
        <v>0</v>
      </c>
      <c r="J269" s="43">
        <f t="shared" si="29"/>
        <v>61</v>
      </c>
      <c r="K269" s="42">
        <f t="shared" si="30"/>
        <v>72</v>
      </c>
      <c r="L269" s="42">
        <f t="shared" si="31"/>
        <v>45</v>
      </c>
      <c r="M269" s="42">
        <f t="shared" si="32"/>
        <v>16</v>
      </c>
      <c r="N269" s="42">
        <f t="shared" si="33"/>
        <v>7</v>
      </c>
      <c r="O269" s="42">
        <f t="shared" si="34"/>
        <v>5</v>
      </c>
      <c r="P269" s="44">
        <f t="shared" si="35"/>
        <v>3</v>
      </c>
      <c r="Q269" s="3"/>
      <c r="R269" s="3"/>
    </row>
    <row r="270" spans="1:18" x14ac:dyDescent="0.3">
      <c r="A270" s="59">
        <v>1753</v>
      </c>
      <c r="B270" s="61">
        <v>0</v>
      </c>
      <c r="C270" s="43">
        <v>0</v>
      </c>
      <c r="D270" s="42">
        <v>0</v>
      </c>
      <c r="E270" s="42">
        <v>0</v>
      </c>
      <c r="F270" s="42">
        <v>0</v>
      </c>
      <c r="G270" s="42">
        <v>0</v>
      </c>
      <c r="H270" s="42">
        <v>0</v>
      </c>
      <c r="I270" s="44">
        <v>0</v>
      </c>
      <c r="J270" s="43">
        <f t="shared" si="29"/>
        <v>61</v>
      </c>
      <c r="K270" s="42">
        <f t="shared" si="30"/>
        <v>72</v>
      </c>
      <c r="L270" s="42">
        <f t="shared" si="31"/>
        <v>45</v>
      </c>
      <c r="M270" s="42">
        <f t="shared" si="32"/>
        <v>16</v>
      </c>
      <c r="N270" s="42">
        <f t="shared" si="33"/>
        <v>7</v>
      </c>
      <c r="O270" s="42">
        <f t="shared" si="34"/>
        <v>5</v>
      </c>
      <c r="P270" s="44">
        <f t="shared" si="35"/>
        <v>3</v>
      </c>
      <c r="Q270" s="3"/>
      <c r="R270" s="3"/>
    </row>
    <row r="271" spans="1:18" x14ac:dyDescent="0.3">
      <c r="A271" s="59">
        <v>1752</v>
      </c>
      <c r="B271" s="61">
        <v>4.3</v>
      </c>
      <c r="C271" s="43">
        <v>0</v>
      </c>
      <c r="D271" s="42">
        <v>2</v>
      </c>
      <c r="E271" s="42">
        <v>0</v>
      </c>
      <c r="F271" s="42">
        <v>0</v>
      </c>
      <c r="G271" s="42">
        <v>0</v>
      </c>
      <c r="H271" s="42">
        <v>0</v>
      </c>
      <c r="I271" s="44">
        <v>0</v>
      </c>
      <c r="J271" s="43">
        <f t="shared" si="29"/>
        <v>61</v>
      </c>
      <c r="K271" s="42">
        <f t="shared" si="30"/>
        <v>74</v>
      </c>
      <c r="L271" s="42">
        <f t="shared" si="31"/>
        <v>45</v>
      </c>
      <c r="M271" s="42">
        <f t="shared" si="32"/>
        <v>16</v>
      </c>
      <c r="N271" s="42">
        <f t="shared" si="33"/>
        <v>7</v>
      </c>
      <c r="O271" s="42">
        <f t="shared" si="34"/>
        <v>5</v>
      </c>
      <c r="P271" s="44">
        <f t="shared" si="35"/>
        <v>3</v>
      </c>
      <c r="Q271" s="3"/>
      <c r="R271" s="3"/>
    </row>
    <row r="272" spans="1:18" x14ac:dyDescent="0.3">
      <c r="A272" s="59">
        <v>1751</v>
      </c>
      <c r="B272" s="61">
        <v>4.3</v>
      </c>
      <c r="C272" s="43">
        <v>0</v>
      </c>
      <c r="D272" s="42">
        <v>1</v>
      </c>
      <c r="E272" s="42">
        <v>0</v>
      </c>
      <c r="F272" s="42">
        <v>0</v>
      </c>
      <c r="G272" s="42">
        <v>0</v>
      </c>
      <c r="H272" s="42">
        <v>0</v>
      </c>
      <c r="I272" s="44">
        <v>0</v>
      </c>
      <c r="J272" s="43">
        <f t="shared" si="29"/>
        <v>61</v>
      </c>
      <c r="K272" s="42">
        <f t="shared" si="30"/>
        <v>75</v>
      </c>
      <c r="L272" s="42">
        <f t="shared" si="31"/>
        <v>45</v>
      </c>
      <c r="M272" s="42">
        <f t="shared" si="32"/>
        <v>16</v>
      </c>
      <c r="N272" s="42">
        <f t="shared" si="33"/>
        <v>7</v>
      </c>
      <c r="O272" s="42">
        <f t="shared" si="34"/>
        <v>5</v>
      </c>
      <c r="P272" s="44">
        <f t="shared" si="35"/>
        <v>3</v>
      </c>
      <c r="Q272" s="3"/>
      <c r="R272" s="3"/>
    </row>
    <row r="273" spans="1:18" x14ac:dyDescent="0.3">
      <c r="A273" s="59">
        <v>1750</v>
      </c>
      <c r="B273" s="61">
        <v>0</v>
      </c>
      <c r="C273" s="43">
        <v>0</v>
      </c>
      <c r="D273" s="42">
        <v>0</v>
      </c>
      <c r="E273" s="42">
        <v>0</v>
      </c>
      <c r="F273" s="42">
        <v>0</v>
      </c>
      <c r="G273" s="42">
        <v>0</v>
      </c>
      <c r="H273" s="42">
        <v>0</v>
      </c>
      <c r="I273" s="44">
        <v>0</v>
      </c>
      <c r="J273" s="43">
        <f t="shared" si="29"/>
        <v>61</v>
      </c>
      <c r="K273" s="42">
        <f t="shared" si="30"/>
        <v>75</v>
      </c>
      <c r="L273" s="42">
        <f t="shared" si="31"/>
        <v>45</v>
      </c>
      <c r="M273" s="42">
        <f t="shared" si="32"/>
        <v>16</v>
      </c>
      <c r="N273" s="42">
        <f t="shared" si="33"/>
        <v>7</v>
      </c>
      <c r="O273" s="42">
        <f t="shared" si="34"/>
        <v>5</v>
      </c>
      <c r="P273" s="44">
        <f t="shared" si="35"/>
        <v>3</v>
      </c>
      <c r="Q273" s="3"/>
      <c r="R273" s="3"/>
    </row>
    <row r="274" spans="1:18" x14ac:dyDescent="0.3">
      <c r="A274" s="59">
        <v>1749</v>
      </c>
      <c r="B274" s="61">
        <v>0</v>
      </c>
      <c r="C274" s="43">
        <v>0</v>
      </c>
      <c r="D274" s="42">
        <v>0</v>
      </c>
      <c r="E274" s="42">
        <v>0</v>
      </c>
      <c r="F274" s="42">
        <v>0</v>
      </c>
      <c r="G274" s="42">
        <v>0</v>
      </c>
      <c r="H274" s="42">
        <v>0</v>
      </c>
      <c r="I274" s="44">
        <v>0</v>
      </c>
      <c r="J274" s="43">
        <f t="shared" si="29"/>
        <v>61</v>
      </c>
      <c r="K274" s="42">
        <f t="shared" si="30"/>
        <v>75</v>
      </c>
      <c r="L274" s="42">
        <f t="shared" si="31"/>
        <v>45</v>
      </c>
      <c r="M274" s="42">
        <f t="shared" si="32"/>
        <v>16</v>
      </c>
      <c r="N274" s="42">
        <f t="shared" si="33"/>
        <v>7</v>
      </c>
      <c r="O274" s="42">
        <f t="shared" si="34"/>
        <v>5</v>
      </c>
      <c r="P274" s="44">
        <f t="shared" si="35"/>
        <v>3</v>
      </c>
      <c r="Q274" s="3"/>
      <c r="R274" s="3"/>
    </row>
    <row r="275" spans="1:18" x14ac:dyDescent="0.3">
      <c r="A275" s="59">
        <v>1748</v>
      </c>
      <c r="B275" s="61">
        <v>0</v>
      </c>
      <c r="C275" s="43">
        <v>0</v>
      </c>
      <c r="D275" s="42">
        <v>0</v>
      </c>
      <c r="E275" s="42">
        <v>0</v>
      </c>
      <c r="F275" s="42">
        <v>0</v>
      </c>
      <c r="G275" s="42">
        <v>0</v>
      </c>
      <c r="H275" s="42">
        <v>0</v>
      </c>
      <c r="I275" s="44">
        <v>0</v>
      </c>
      <c r="J275" s="43">
        <f t="shared" si="29"/>
        <v>61</v>
      </c>
      <c r="K275" s="42">
        <f t="shared" si="30"/>
        <v>75</v>
      </c>
      <c r="L275" s="42">
        <f t="shared" si="31"/>
        <v>45</v>
      </c>
      <c r="M275" s="42">
        <f t="shared" si="32"/>
        <v>16</v>
      </c>
      <c r="N275" s="42">
        <f t="shared" si="33"/>
        <v>7</v>
      </c>
      <c r="O275" s="42">
        <f t="shared" si="34"/>
        <v>5</v>
      </c>
      <c r="P275" s="44">
        <f t="shared" si="35"/>
        <v>3</v>
      </c>
      <c r="Q275" s="3"/>
      <c r="R275" s="3"/>
    </row>
    <row r="276" spans="1:18" x14ac:dyDescent="0.3">
      <c r="A276" s="59">
        <v>1747</v>
      </c>
      <c r="B276" s="61">
        <v>0</v>
      </c>
      <c r="C276" s="43">
        <v>0</v>
      </c>
      <c r="D276" s="42">
        <v>0</v>
      </c>
      <c r="E276" s="42">
        <v>0</v>
      </c>
      <c r="F276" s="42">
        <v>0</v>
      </c>
      <c r="G276" s="42">
        <v>0</v>
      </c>
      <c r="H276" s="42">
        <v>0</v>
      </c>
      <c r="I276" s="44">
        <v>0</v>
      </c>
      <c r="J276" s="43">
        <f t="shared" si="29"/>
        <v>61</v>
      </c>
      <c r="K276" s="42">
        <f t="shared" si="30"/>
        <v>75</v>
      </c>
      <c r="L276" s="42">
        <f t="shared" si="31"/>
        <v>45</v>
      </c>
      <c r="M276" s="42">
        <f t="shared" si="32"/>
        <v>16</v>
      </c>
      <c r="N276" s="42">
        <f t="shared" si="33"/>
        <v>7</v>
      </c>
      <c r="O276" s="42">
        <f t="shared" si="34"/>
        <v>5</v>
      </c>
      <c r="P276" s="44">
        <f t="shared" si="35"/>
        <v>3</v>
      </c>
      <c r="Q276" s="3"/>
      <c r="R276" s="3"/>
    </row>
    <row r="277" spans="1:18" x14ac:dyDescent="0.3">
      <c r="A277" s="59">
        <v>1746</v>
      </c>
      <c r="B277" s="61">
        <v>0</v>
      </c>
      <c r="C277" s="43">
        <v>0</v>
      </c>
      <c r="D277" s="42">
        <v>0</v>
      </c>
      <c r="E277" s="42">
        <v>0</v>
      </c>
      <c r="F277" s="42">
        <v>0</v>
      </c>
      <c r="G277" s="42">
        <v>0</v>
      </c>
      <c r="H277" s="42">
        <v>0</v>
      </c>
      <c r="I277" s="44">
        <v>0</v>
      </c>
      <c r="J277" s="43">
        <f t="shared" si="29"/>
        <v>61</v>
      </c>
      <c r="K277" s="42">
        <f t="shared" si="30"/>
        <v>75</v>
      </c>
      <c r="L277" s="42">
        <f t="shared" si="31"/>
        <v>45</v>
      </c>
      <c r="M277" s="42">
        <f t="shared" si="32"/>
        <v>16</v>
      </c>
      <c r="N277" s="42">
        <f t="shared" si="33"/>
        <v>7</v>
      </c>
      <c r="O277" s="42">
        <f t="shared" si="34"/>
        <v>5</v>
      </c>
      <c r="P277" s="44">
        <f t="shared" si="35"/>
        <v>3</v>
      </c>
      <c r="Q277" s="3"/>
      <c r="R277" s="3"/>
    </row>
    <row r="278" spans="1:18" x14ac:dyDescent="0.3">
      <c r="A278" s="59">
        <v>1745</v>
      </c>
      <c r="B278" s="61">
        <v>0</v>
      </c>
      <c r="C278" s="43">
        <v>0</v>
      </c>
      <c r="D278" s="42">
        <v>0</v>
      </c>
      <c r="E278" s="42">
        <v>0</v>
      </c>
      <c r="F278" s="42">
        <v>0</v>
      </c>
      <c r="G278" s="42">
        <v>0</v>
      </c>
      <c r="H278" s="42">
        <v>0</v>
      </c>
      <c r="I278" s="44">
        <v>0</v>
      </c>
      <c r="J278" s="43">
        <f t="shared" si="29"/>
        <v>61</v>
      </c>
      <c r="K278" s="42">
        <f t="shared" si="30"/>
        <v>75</v>
      </c>
      <c r="L278" s="42">
        <f t="shared" si="31"/>
        <v>45</v>
      </c>
      <c r="M278" s="42">
        <f t="shared" si="32"/>
        <v>16</v>
      </c>
      <c r="N278" s="42">
        <f t="shared" si="33"/>
        <v>7</v>
      </c>
      <c r="O278" s="42">
        <f t="shared" si="34"/>
        <v>5</v>
      </c>
      <c r="P278" s="44">
        <f t="shared" si="35"/>
        <v>3</v>
      </c>
      <c r="Q278" s="3"/>
      <c r="R278" s="3"/>
    </row>
    <row r="279" spans="1:18" x14ac:dyDescent="0.3">
      <c r="A279" s="59">
        <v>1744</v>
      </c>
      <c r="B279" s="61">
        <v>0</v>
      </c>
      <c r="C279" s="43">
        <v>0</v>
      </c>
      <c r="D279" s="42">
        <v>0</v>
      </c>
      <c r="E279" s="42">
        <v>0</v>
      </c>
      <c r="F279" s="42">
        <v>0</v>
      </c>
      <c r="G279" s="42">
        <v>0</v>
      </c>
      <c r="H279" s="42">
        <v>0</v>
      </c>
      <c r="I279" s="44">
        <v>0</v>
      </c>
      <c r="J279" s="43">
        <f t="shared" si="29"/>
        <v>61</v>
      </c>
      <c r="K279" s="42">
        <f t="shared" si="30"/>
        <v>75</v>
      </c>
      <c r="L279" s="42">
        <f t="shared" si="31"/>
        <v>45</v>
      </c>
      <c r="M279" s="42">
        <f t="shared" si="32"/>
        <v>16</v>
      </c>
      <c r="N279" s="42">
        <f t="shared" si="33"/>
        <v>7</v>
      </c>
      <c r="O279" s="42">
        <f t="shared" si="34"/>
        <v>5</v>
      </c>
      <c r="P279" s="44">
        <f t="shared" si="35"/>
        <v>3</v>
      </c>
      <c r="Q279" s="3"/>
      <c r="R279" s="3"/>
    </row>
    <row r="280" spans="1:18" x14ac:dyDescent="0.3">
      <c r="A280" s="59">
        <v>1743</v>
      </c>
      <c r="B280" s="61">
        <v>0</v>
      </c>
      <c r="C280" s="43">
        <v>0</v>
      </c>
      <c r="D280" s="42">
        <v>0</v>
      </c>
      <c r="E280" s="42">
        <v>0</v>
      </c>
      <c r="F280" s="42">
        <v>0</v>
      </c>
      <c r="G280" s="42">
        <v>0</v>
      </c>
      <c r="H280" s="42">
        <v>0</v>
      </c>
      <c r="I280" s="44">
        <v>0</v>
      </c>
      <c r="J280" s="43">
        <f t="shared" si="29"/>
        <v>61</v>
      </c>
      <c r="K280" s="42">
        <f t="shared" si="30"/>
        <v>75</v>
      </c>
      <c r="L280" s="42">
        <f t="shared" si="31"/>
        <v>45</v>
      </c>
      <c r="M280" s="42">
        <f t="shared" si="32"/>
        <v>16</v>
      </c>
      <c r="N280" s="42">
        <f t="shared" si="33"/>
        <v>7</v>
      </c>
      <c r="O280" s="42">
        <f t="shared" si="34"/>
        <v>5</v>
      </c>
      <c r="P280" s="44">
        <f t="shared" si="35"/>
        <v>3</v>
      </c>
      <c r="Q280" s="3"/>
      <c r="R280" s="3"/>
    </row>
    <row r="281" spans="1:18" x14ac:dyDescent="0.3">
      <c r="A281" s="59">
        <v>1742</v>
      </c>
      <c r="B281" s="61">
        <v>0</v>
      </c>
      <c r="C281" s="43">
        <v>0</v>
      </c>
      <c r="D281" s="42">
        <v>0</v>
      </c>
      <c r="E281" s="42">
        <v>0</v>
      </c>
      <c r="F281" s="42">
        <v>0</v>
      </c>
      <c r="G281" s="42">
        <v>0</v>
      </c>
      <c r="H281" s="42">
        <v>0</v>
      </c>
      <c r="I281" s="44">
        <v>0</v>
      </c>
      <c r="J281" s="43">
        <f t="shared" si="29"/>
        <v>61</v>
      </c>
      <c r="K281" s="42">
        <f t="shared" si="30"/>
        <v>75</v>
      </c>
      <c r="L281" s="42">
        <f t="shared" si="31"/>
        <v>45</v>
      </c>
      <c r="M281" s="42">
        <f t="shared" si="32"/>
        <v>16</v>
      </c>
      <c r="N281" s="42">
        <f t="shared" si="33"/>
        <v>7</v>
      </c>
      <c r="O281" s="42">
        <f t="shared" si="34"/>
        <v>5</v>
      </c>
      <c r="P281" s="44">
        <f t="shared" si="35"/>
        <v>3</v>
      </c>
      <c r="Q281" s="3"/>
      <c r="R281" s="3"/>
    </row>
    <row r="282" spans="1:18" x14ac:dyDescent="0.3">
      <c r="A282" s="59">
        <v>1741</v>
      </c>
      <c r="B282" s="61">
        <v>0</v>
      </c>
      <c r="C282" s="43">
        <v>0</v>
      </c>
      <c r="D282" s="42">
        <v>0</v>
      </c>
      <c r="E282" s="42">
        <v>0</v>
      </c>
      <c r="F282" s="42">
        <v>0</v>
      </c>
      <c r="G282" s="42">
        <v>0</v>
      </c>
      <c r="H282" s="42">
        <v>0</v>
      </c>
      <c r="I282" s="44">
        <v>0</v>
      </c>
      <c r="J282" s="43">
        <f t="shared" si="29"/>
        <v>61</v>
      </c>
      <c r="K282" s="42">
        <f t="shared" si="30"/>
        <v>75</v>
      </c>
      <c r="L282" s="42">
        <f t="shared" si="31"/>
        <v>45</v>
      </c>
      <c r="M282" s="42">
        <f t="shared" si="32"/>
        <v>16</v>
      </c>
      <c r="N282" s="42">
        <f t="shared" si="33"/>
        <v>7</v>
      </c>
      <c r="O282" s="42">
        <f t="shared" si="34"/>
        <v>5</v>
      </c>
      <c r="P282" s="44">
        <f t="shared" si="35"/>
        <v>3</v>
      </c>
      <c r="Q282" s="3"/>
      <c r="R282" s="3"/>
    </row>
    <row r="283" spans="1:18" x14ac:dyDescent="0.3">
      <c r="A283" s="59">
        <v>1740</v>
      </c>
      <c r="B283" s="61">
        <v>0</v>
      </c>
      <c r="C283" s="43">
        <v>0</v>
      </c>
      <c r="D283" s="42">
        <v>0</v>
      </c>
      <c r="E283" s="42">
        <v>0</v>
      </c>
      <c r="F283" s="42">
        <v>0</v>
      </c>
      <c r="G283" s="42">
        <v>0</v>
      </c>
      <c r="H283" s="42">
        <v>0</v>
      </c>
      <c r="I283" s="44">
        <v>0</v>
      </c>
      <c r="J283" s="43">
        <f t="shared" si="29"/>
        <v>61</v>
      </c>
      <c r="K283" s="42">
        <f t="shared" si="30"/>
        <v>75</v>
      </c>
      <c r="L283" s="42">
        <f t="shared" si="31"/>
        <v>45</v>
      </c>
      <c r="M283" s="42">
        <f t="shared" si="32"/>
        <v>16</v>
      </c>
      <c r="N283" s="42">
        <f t="shared" si="33"/>
        <v>7</v>
      </c>
      <c r="O283" s="42">
        <f t="shared" si="34"/>
        <v>5</v>
      </c>
      <c r="P283" s="44">
        <f t="shared" si="35"/>
        <v>3</v>
      </c>
      <c r="Q283" s="3"/>
      <c r="R283" s="3"/>
    </row>
    <row r="284" spans="1:18" x14ac:dyDescent="0.3">
      <c r="A284" s="59">
        <v>1739</v>
      </c>
      <c r="B284" s="61">
        <v>0</v>
      </c>
      <c r="C284" s="43">
        <v>0</v>
      </c>
      <c r="D284" s="42">
        <v>0</v>
      </c>
      <c r="E284" s="42">
        <v>0</v>
      </c>
      <c r="F284" s="42">
        <v>0</v>
      </c>
      <c r="G284" s="42">
        <v>0</v>
      </c>
      <c r="H284" s="42">
        <v>0</v>
      </c>
      <c r="I284" s="44">
        <v>0</v>
      </c>
      <c r="J284" s="43">
        <f t="shared" si="29"/>
        <v>61</v>
      </c>
      <c r="K284" s="42">
        <f t="shared" si="30"/>
        <v>75</v>
      </c>
      <c r="L284" s="42">
        <f t="shared" si="31"/>
        <v>45</v>
      </c>
      <c r="M284" s="42">
        <f t="shared" si="32"/>
        <v>16</v>
      </c>
      <c r="N284" s="42">
        <f t="shared" si="33"/>
        <v>7</v>
      </c>
      <c r="O284" s="42">
        <f t="shared" si="34"/>
        <v>5</v>
      </c>
      <c r="P284" s="44">
        <f t="shared" si="35"/>
        <v>3</v>
      </c>
      <c r="Q284" s="3"/>
      <c r="R284" s="3"/>
    </row>
    <row r="285" spans="1:18" x14ac:dyDescent="0.3">
      <c r="A285" s="59">
        <v>1738</v>
      </c>
      <c r="B285" s="61">
        <v>0</v>
      </c>
      <c r="C285" s="43">
        <v>0</v>
      </c>
      <c r="D285" s="42">
        <v>0</v>
      </c>
      <c r="E285" s="42">
        <v>0</v>
      </c>
      <c r="F285" s="42">
        <v>0</v>
      </c>
      <c r="G285" s="42">
        <v>0</v>
      </c>
      <c r="H285" s="42">
        <v>0</v>
      </c>
      <c r="I285" s="44">
        <v>0</v>
      </c>
      <c r="J285" s="43">
        <f t="shared" si="29"/>
        <v>61</v>
      </c>
      <c r="K285" s="42">
        <f t="shared" si="30"/>
        <v>75</v>
      </c>
      <c r="L285" s="42">
        <f t="shared" si="31"/>
        <v>45</v>
      </c>
      <c r="M285" s="42">
        <f t="shared" si="32"/>
        <v>16</v>
      </c>
      <c r="N285" s="42">
        <f t="shared" si="33"/>
        <v>7</v>
      </c>
      <c r="O285" s="42">
        <f t="shared" si="34"/>
        <v>5</v>
      </c>
      <c r="P285" s="44">
        <f t="shared" si="35"/>
        <v>3</v>
      </c>
      <c r="Q285" s="3"/>
      <c r="R285" s="3"/>
    </row>
    <row r="286" spans="1:18" x14ac:dyDescent="0.3">
      <c r="A286" s="59">
        <v>1737</v>
      </c>
      <c r="B286" s="61">
        <v>0</v>
      </c>
      <c r="C286" s="43">
        <v>0</v>
      </c>
      <c r="D286" s="42">
        <v>0</v>
      </c>
      <c r="E286" s="42">
        <v>0</v>
      </c>
      <c r="F286" s="42">
        <v>0</v>
      </c>
      <c r="G286" s="42">
        <v>0</v>
      </c>
      <c r="H286" s="42">
        <v>0</v>
      </c>
      <c r="I286" s="44">
        <v>0</v>
      </c>
      <c r="J286" s="43">
        <f t="shared" si="29"/>
        <v>61</v>
      </c>
      <c r="K286" s="42">
        <f t="shared" si="30"/>
        <v>75</v>
      </c>
      <c r="L286" s="42">
        <f t="shared" si="31"/>
        <v>45</v>
      </c>
      <c r="M286" s="42">
        <f t="shared" si="32"/>
        <v>16</v>
      </c>
      <c r="N286" s="42">
        <f t="shared" si="33"/>
        <v>7</v>
      </c>
      <c r="O286" s="42">
        <f t="shared" si="34"/>
        <v>5</v>
      </c>
      <c r="P286" s="44">
        <f t="shared" si="35"/>
        <v>3</v>
      </c>
      <c r="Q286" s="3"/>
      <c r="R286" s="3"/>
    </row>
    <row r="287" spans="1:18" x14ac:dyDescent="0.3">
      <c r="A287" s="59">
        <v>1736</v>
      </c>
      <c r="B287" s="61">
        <v>0</v>
      </c>
      <c r="C287" s="43">
        <v>0</v>
      </c>
      <c r="D287" s="42">
        <v>0</v>
      </c>
      <c r="E287" s="42">
        <v>0</v>
      </c>
      <c r="F287" s="42">
        <v>0</v>
      </c>
      <c r="G287" s="42">
        <v>0</v>
      </c>
      <c r="H287" s="42">
        <v>0</v>
      </c>
      <c r="I287" s="44">
        <v>0</v>
      </c>
      <c r="J287" s="43">
        <f t="shared" si="29"/>
        <v>61</v>
      </c>
      <c r="K287" s="42">
        <f t="shared" si="30"/>
        <v>75</v>
      </c>
      <c r="L287" s="42">
        <f t="shared" si="31"/>
        <v>45</v>
      </c>
      <c r="M287" s="42">
        <f t="shared" si="32"/>
        <v>16</v>
      </c>
      <c r="N287" s="42">
        <f t="shared" si="33"/>
        <v>7</v>
      </c>
      <c r="O287" s="42">
        <f t="shared" si="34"/>
        <v>5</v>
      </c>
      <c r="P287" s="44">
        <f t="shared" si="35"/>
        <v>3</v>
      </c>
      <c r="Q287" s="3"/>
      <c r="R287" s="3"/>
    </row>
    <row r="288" spans="1:18" x14ac:dyDescent="0.3">
      <c r="A288" s="59">
        <v>1735</v>
      </c>
      <c r="B288" s="61">
        <v>0</v>
      </c>
      <c r="C288" s="43">
        <v>0</v>
      </c>
      <c r="D288" s="42">
        <v>0</v>
      </c>
      <c r="E288" s="42">
        <v>0</v>
      </c>
      <c r="F288" s="42">
        <v>0</v>
      </c>
      <c r="G288" s="42">
        <v>0</v>
      </c>
      <c r="H288" s="42">
        <v>0</v>
      </c>
      <c r="I288" s="44">
        <v>0</v>
      </c>
      <c r="J288" s="43">
        <f t="shared" si="29"/>
        <v>61</v>
      </c>
      <c r="K288" s="42">
        <f t="shared" si="30"/>
        <v>75</v>
      </c>
      <c r="L288" s="42">
        <f t="shared" si="31"/>
        <v>45</v>
      </c>
      <c r="M288" s="42">
        <f t="shared" si="32"/>
        <v>16</v>
      </c>
      <c r="N288" s="42">
        <f t="shared" si="33"/>
        <v>7</v>
      </c>
      <c r="O288" s="42">
        <f t="shared" si="34"/>
        <v>5</v>
      </c>
      <c r="P288" s="44">
        <f t="shared" si="35"/>
        <v>3</v>
      </c>
      <c r="Q288" s="3"/>
      <c r="R288" s="3"/>
    </row>
    <row r="289" spans="1:18" x14ac:dyDescent="0.3">
      <c r="A289" s="59">
        <v>1734</v>
      </c>
      <c r="B289" s="61">
        <v>0</v>
      </c>
      <c r="C289" s="43">
        <v>0</v>
      </c>
      <c r="D289" s="42">
        <v>0</v>
      </c>
      <c r="E289" s="42">
        <v>0</v>
      </c>
      <c r="F289" s="42">
        <v>0</v>
      </c>
      <c r="G289" s="42">
        <v>0</v>
      </c>
      <c r="H289" s="42">
        <v>0</v>
      </c>
      <c r="I289" s="44">
        <v>0</v>
      </c>
      <c r="J289" s="43">
        <f t="shared" si="29"/>
        <v>61</v>
      </c>
      <c r="K289" s="42">
        <f t="shared" si="30"/>
        <v>75</v>
      </c>
      <c r="L289" s="42">
        <f t="shared" si="31"/>
        <v>45</v>
      </c>
      <c r="M289" s="42">
        <f t="shared" si="32"/>
        <v>16</v>
      </c>
      <c r="N289" s="42">
        <f t="shared" si="33"/>
        <v>7</v>
      </c>
      <c r="O289" s="42">
        <f t="shared" si="34"/>
        <v>5</v>
      </c>
      <c r="P289" s="44">
        <f t="shared" si="35"/>
        <v>3</v>
      </c>
      <c r="Q289" s="3"/>
      <c r="R289" s="3"/>
    </row>
    <row r="290" spans="1:18" x14ac:dyDescent="0.3">
      <c r="A290" s="59">
        <v>1733</v>
      </c>
      <c r="B290" s="61">
        <v>0</v>
      </c>
      <c r="C290" s="43">
        <v>0</v>
      </c>
      <c r="D290" s="42">
        <v>0</v>
      </c>
      <c r="E290" s="42">
        <v>0</v>
      </c>
      <c r="F290" s="42">
        <v>0</v>
      </c>
      <c r="G290" s="42">
        <v>0</v>
      </c>
      <c r="H290" s="42">
        <v>0</v>
      </c>
      <c r="I290" s="44">
        <v>0</v>
      </c>
      <c r="J290" s="43">
        <f t="shared" si="29"/>
        <v>61</v>
      </c>
      <c r="K290" s="42">
        <f t="shared" si="30"/>
        <v>75</v>
      </c>
      <c r="L290" s="42">
        <f t="shared" si="31"/>
        <v>45</v>
      </c>
      <c r="M290" s="42">
        <f t="shared" si="32"/>
        <v>16</v>
      </c>
      <c r="N290" s="42">
        <f t="shared" si="33"/>
        <v>7</v>
      </c>
      <c r="O290" s="42">
        <f t="shared" si="34"/>
        <v>5</v>
      </c>
      <c r="P290" s="44">
        <f t="shared" si="35"/>
        <v>3</v>
      </c>
      <c r="Q290" s="3"/>
      <c r="R290" s="3"/>
    </row>
    <row r="291" spans="1:18" x14ac:dyDescent="0.3">
      <c r="A291" s="59">
        <v>1732</v>
      </c>
      <c r="B291" s="61">
        <v>0</v>
      </c>
      <c r="C291" s="43">
        <v>0</v>
      </c>
      <c r="D291" s="42">
        <v>0</v>
      </c>
      <c r="E291" s="42">
        <v>0</v>
      </c>
      <c r="F291" s="42">
        <v>0</v>
      </c>
      <c r="G291" s="42">
        <v>0</v>
      </c>
      <c r="H291" s="42">
        <v>0</v>
      </c>
      <c r="I291" s="44">
        <v>0</v>
      </c>
      <c r="J291" s="43">
        <f t="shared" si="29"/>
        <v>61</v>
      </c>
      <c r="K291" s="42">
        <f t="shared" si="30"/>
        <v>75</v>
      </c>
      <c r="L291" s="42">
        <f t="shared" si="31"/>
        <v>45</v>
      </c>
      <c r="M291" s="42">
        <f t="shared" si="32"/>
        <v>16</v>
      </c>
      <c r="N291" s="42">
        <f t="shared" si="33"/>
        <v>7</v>
      </c>
      <c r="O291" s="42">
        <f t="shared" si="34"/>
        <v>5</v>
      </c>
      <c r="P291" s="44">
        <f t="shared" si="35"/>
        <v>3</v>
      </c>
      <c r="Q291" s="3"/>
      <c r="R291" s="3"/>
    </row>
    <row r="292" spans="1:18" x14ac:dyDescent="0.3">
      <c r="A292" s="59">
        <v>1731</v>
      </c>
      <c r="B292" s="61">
        <v>0</v>
      </c>
      <c r="C292" s="43">
        <v>0</v>
      </c>
      <c r="D292" s="42">
        <v>0</v>
      </c>
      <c r="E292" s="42">
        <v>0</v>
      </c>
      <c r="F292" s="42">
        <v>0</v>
      </c>
      <c r="G292" s="42">
        <v>0</v>
      </c>
      <c r="H292" s="42">
        <v>0</v>
      </c>
      <c r="I292" s="44">
        <v>0</v>
      </c>
      <c r="J292" s="43">
        <f t="shared" si="29"/>
        <v>61</v>
      </c>
      <c r="K292" s="42">
        <f t="shared" si="30"/>
        <v>75</v>
      </c>
      <c r="L292" s="42">
        <f t="shared" si="31"/>
        <v>45</v>
      </c>
      <c r="M292" s="42">
        <f t="shared" si="32"/>
        <v>16</v>
      </c>
      <c r="N292" s="42">
        <f t="shared" si="33"/>
        <v>7</v>
      </c>
      <c r="O292" s="42">
        <f t="shared" si="34"/>
        <v>5</v>
      </c>
      <c r="P292" s="44">
        <f t="shared" si="35"/>
        <v>3</v>
      </c>
      <c r="Q292" s="3"/>
      <c r="R292" s="3"/>
    </row>
    <row r="293" spans="1:18" x14ac:dyDescent="0.3">
      <c r="A293" s="59">
        <v>1730</v>
      </c>
      <c r="B293" s="61">
        <v>0</v>
      </c>
      <c r="C293" s="43">
        <v>0</v>
      </c>
      <c r="D293" s="42">
        <v>0</v>
      </c>
      <c r="E293" s="42">
        <v>0</v>
      </c>
      <c r="F293" s="42">
        <v>0</v>
      </c>
      <c r="G293" s="42">
        <v>0</v>
      </c>
      <c r="H293" s="42">
        <v>0</v>
      </c>
      <c r="I293" s="44">
        <v>0</v>
      </c>
      <c r="J293" s="43">
        <f t="shared" si="29"/>
        <v>61</v>
      </c>
      <c r="K293" s="42">
        <f t="shared" si="30"/>
        <v>75</v>
      </c>
      <c r="L293" s="42">
        <f t="shared" si="31"/>
        <v>45</v>
      </c>
      <c r="M293" s="42">
        <f t="shared" si="32"/>
        <v>16</v>
      </c>
      <c r="N293" s="42">
        <f t="shared" si="33"/>
        <v>7</v>
      </c>
      <c r="O293" s="42">
        <f t="shared" si="34"/>
        <v>5</v>
      </c>
      <c r="P293" s="44">
        <f t="shared" si="35"/>
        <v>3</v>
      </c>
      <c r="Q293" s="3"/>
      <c r="R293" s="3"/>
    </row>
    <row r="294" spans="1:18" x14ac:dyDescent="0.3">
      <c r="A294" s="59">
        <v>1729</v>
      </c>
      <c r="B294" s="61">
        <v>0</v>
      </c>
      <c r="C294" s="43">
        <v>0</v>
      </c>
      <c r="D294" s="42">
        <v>0</v>
      </c>
      <c r="E294" s="42">
        <v>0</v>
      </c>
      <c r="F294" s="42">
        <v>0</v>
      </c>
      <c r="G294" s="42">
        <v>0</v>
      </c>
      <c r="H294" s="42">
        <v>0</v>
      </c>
      <c r="I294" s="44">
        <v>0</v>
      </c>
      <c r="J294" s="43">
        <f t="shared" si="29"/>
        <v>61</v>
      </c>
      <c r="K294" s="42">
        <f t="shared" si="30"/>
        <v>75</v>
      </c>
      <c r="L294" s="42">
        <f t="shared" si="31"/>
        <v>45</v>
      </c>
      <c r="M294" s="42">
        <f t="shared" si="32"/>
        <v>16</v>
      </c>
      <c r="N294" s="42">
        <f t="shared" si="33"/>
        <v>7</v>
      </c>
      <c r="O294" s="42">
        <f t="shared" si="34"/>
        <v>5</v>
      </c>
      <c r="P294" s="44">
        <f t="shared" si="35"/>
        <v>3</v>
      </c>
      <c r="Q294" s="3"/>
      <c r="R294" s="3"/>
    </row>
    <row r="295" spans="1:18" x14ac:dyDescent="0.3">
      <c r="A295" s="59">
        <v>1728</v>
      </c>
      <c r="B295" s="61">
        <v>0</v>
      </c>
      <c r="C295" s="43">
        <v>0</v>
      </c>
      <c r="D295" s="42">
        <v>0</v>
      </c>
      <c r="E295" s="42">
        <v>0</v>
      </c>
      <c r="F295" s="42">
        <v>0</v>
      </c>
      <c r="G295" s="42">
        <v>0</v>
      </c>
      <c r="H295" s="42">
        <v>0</v>
      </c>
      <c r="I295" s="44">
        <v>0</v>
      </c>
      <c r="J295" s="43">
        <f t="shared" si="29"/>
        <v>61</v>
      </c>
      <c r="K295" s="42">
        <f t="shared" si="30"/>
        <v>75</v>
      </c>
      <c r="L295" s="42">
        <f t="shared" si="31"/>
        <v>45</v>
      </c>
      <c r="M295" s="42">
        <f t="shared" si="32"/>
        <v>16</v>
      </c>
      <c r="N295" s="42">
        <f t="shared" si="33"/>
        <v>7</v>
      </c>
      <c r="O295" s="42">
        <f t="shared" si="34"/>
        <v>5</v>
      </c>
      <c r="P295" s="44">
        <f t="shared" si="35"/>
        <v>3</v>
      </c>
      <c r="Q295" s="3"/>
      <c r="R295" s="3"/>
    </row>
    <row r="296" spans="1:18" x14ac:dyDescent="0.3">
      <c r="A296" s="59">
        <v>1727</v>
      </c>
      <c r="B296" s="61">
        <v>0</v>
      </c>
      <c r="C296" s="43">
        <v>0</v>
      </c>
      <c r="D296" s="42">
        <v>0</v>
      </c>
      <c r="E296" s="42">
        <v>0</v>
      </c>
      <c r="F296" s="42">
        <v>0</v>
      </c>
      <c r="G296" s="42">
        <v>0</v>
      </c>
      <c r="H296" s="42">
        <v>0</v>
      </c>
      <c r="I296" s="44">
        <v>0</v>
      </c>
      <c r="J296" s="43">
        <f t="shared" si="29"/>
        <v>61</v>
      </c>
      <c r="K296" s="42">
        <f t="shared" si="30"/>
        <v>75</v>
      </c>
      <c r="L296" s="42">
        <f t="shared" si="31"/>
        <v>45</v>
      </c>
      <c r="M296" s="42">
        <f t="shared" si="32"/>
        <v>16</v>
      </c>
      <c r="N296" s="42">
        <f t="shared" si="33"/>
        <v>7</v>
      </c>
      <c r="O296" s="42">
        <f t="shared" si="34"/>
        <v>5</v>
      </c>
      <c r="P296" s="44">
        <f t="shared" si="35"/>
        <v>3</v>
      </c>
      <c r="Q296" s="3"/>
      <c r="R296" s="3"/>
    </row>
    <row r="297" spans="1:18" x14ac:dyDescent="0.3">
      <c r="A297" s="59">
        <v>1726</v>
      </c>
      <c r="B297" s="61">
        <v>0</v>
      </c>
      <c r="C297" s="43">
        <v>0</v>
      </c>
      <c r="D297" s="42">
        <v>0</v>
      </c>
      <c r="E297" s="42">
        <v>0</v>
      </c>
      <c r="F297" s="42">
        <v>0</v>
      </c>
      <c r="G297" s="42">
        <v>0</v>
      </c>
      <c r="H297" s="42">
        <v>0</v>
      </c>
      <c r="I297" s="44">
        <v>0</v>
      </c>
      <c r="J297" s="43">
        <f t="shared" si="29"/>
        <v>61</v>
      </c>
      <c r="K297" s="42">
        <f t="shared" si="30"/>
        <v>75</v>
      </c>
      <c r="L297" s="42">
        <f t="shared" si="31"/>
        <v>45</v>
      </c>
      <c r="M297" s="42">
        <f t="shared" si="32"/>
        <v>16</v>
      </c>
      <c r="N297" s="42">
        <f t="shared" si="33"/>
        <v>7</v>
      </c>
      <c r="O297" s="42">
        <f t="shared" si="34"/>
        <v>5</v>
      </c>
      <c r="P297" s="44">
        <f t="shared" si="35"/>
        <v>3</v>
      </c>
      <c r="Q297" s="3"/>
      <c r="R297" s="3"/>
    </row>
    <row r="298" spans="1:18" x14ac:dyDescent="0.3">
      <c r="A298" s="59">
        <v>1725</v>
      </c>
      <c r="B298" s="61">
        <v>0</v>
      </c>
      <c r="C298" s="43">
        <v>0</v>
      </c>
      <c r="D298" s="42">
        <v>0</v>
      </c>
      <c r="E298" s="42">
        <v>0</v>
      </c>
      <c r="F298" s="42">
        <v>0</v>
      </c>
      <c r="G298" s="42">
        <v>0</v>
      </c>
      <c r="H298" s="42">
        <v>0</v>
      </c>
      <c r="I298" s="44">
        <v>0</v>
      </c>
      <c r="J298" s="43">
        <f t="shared" si="29"/>
        <v>61</v>
      </c>
      <c r="K298" s="42">
        <f t="shared" si="30"/>
        <v>75</v>
      </c>
      <c r="L298" s="42">
        <f t="shared" si="31"/>
        <v>45</v>
      </c>
      <c r="M298" s="42">
        <f t="shared" si="32"/>
        <v>16</v>
      </c>
      <c r="N298" s="42">
        <f t="shared" si="33"/>
        <v>7</v>
      </c>
      <c r="O298" s="42">
        <f t="shared" si="34"/>
        <v>5</v>
      </c>
      <c r="P298" s="44">
        <f t="shared" si="35"/>
        <v>3</v>
      </c>
      <c r="Q298" s="3"/>
      <c r="R298" s="3"/>
    </row>
    <row r="299" spans="1:18" x14ac:dyDescent="0.3">
      <c r="A299" s="59">
        <v>1724</v>
      </c>
      <c r="B299" s="61">
        <v>0</v>
      </c>
      <c r="C299" s="43">
        <v>0</v>
      </c>
      <c r="D299" s="42">
        <v>0</v>
      </c>
      <c r="E299" s="42">
        <v>0</v>
      </c>
      <c r="F299" s="42">
        <v>0</v>
      </c>
      <c r="G299" s="42">
        <v>0</v>
      </c>
      <c r="H299" s="42">
        <v>0</v>
      </c>
      <c r="I299" s="44">
        <v>0</v>
      </c>
      <c r="J299" s="43">
        <f t="shared" si="29"/>
        <v>61</v>
      </c>
      <c r="K299" s="42">
        <f t="shared" si="30"/>
        <v>75</v>
      </c>
      <c r="L299" s="42">
        <f t="shared" si="31"/>
        <v>45</v>
      </c>
      <c r="M299" s="42">
        <f t="shared" si="32"/>
        <v>16</v>
      </c>
      <c r="N299" s="42">
        <f t="shared" si="33"/>
        <v>7</v>
      </c>
      <c r="O299" s="42">
        <f t="shared" si="34"/>
        <v>5</v>
      </c>
      <c r="P299" s="44">
        <f t="shared" si="35"/>
        <v>3</v>
      </c>
      <c r="Q299" s="3"/>
      <c r="R299" s="3"/>
    </row>
    <row r="300" spans="1:18" x14ac:dyDescent="0.3">
      <c r="A300" s="59">
        <v>1723</v>
      </c>
      <c r="B300" s="61">
        <v>0</v>
      </c>
      <c r="C300" s="43">
        <v>0</v>
      </c>
      <c r="D300" s="42">
        <v>0</v>
      </c>
      <c r="E300" s="42">
        <v>0</v>
      </c>
      <c r="F300" s="42">
        <v>0</v>
      </c>
      <c r="G300" s="42">
        <v>0</v>
      </c>
      <c r="H300" s="42">
        <v>0</v>
      </c>
      <c r="I300" s="44">
        <v>0</v>
      </c>
      <c r="J300" s="43">
        <f t="shared" si="29"/>
        <v>61</v>
      </c>
      <c r="K300" s="42">
        <f t="shared" si="30"/>
        <v>75</v>
      </c>
      <c r="L300" s="42">
        <f t="shared" si="31"/>
        <v>45</v>
      </c>
      <c r="M300" s="42">
        <f t="shared" si="32"/>
        <v>16</v>
      </c>
      <c r="N300" s="42">
        <f t="shared" si="33"/>
        <v>7</v>
      </c>
      <c r="O300" s="42">
        <f t="shared" si="34"/>
        <v>5</v>
      </c>
      <c r="P300" s="44">
        <f t="shared" si="35"/>
        <v>3</v>
      </c>
      <c r="Q300" s="3"/>
      <c r="R300" s="3"/>
    </row>
    <row r="301" spans="1:18" x14ac:dyDescent="0.3">
      <c r="A301" s="59">
        <v>1722</v>
      </c>
      <c r="B301" s="61">
        <v>0</v>
      </c>
      <c r="C301" s="43">
        <v>0</v>
      </c>
      <c r="D301" s="42">
        <v>0</v>
      </c>
      <c r="E301" s="42">
        <v>0</v>
      </c>
      <c r="F301" s="42">
        <v>0</v>
      </c>
      <c r="G301" s="42">
        <v>0</v>
      </c>
      <c r="H301" s="42">
        <v>0</v>
      </c>
      <c r="I301" s="44">
        <v>0</v>
      </c>
      <c r="J301" s="43">
        <f t="shared" si="29"/>
        <v>61</v>
      </c>
      <c r="K301" s="42">
        <f t="shared" si="30"/>
        <v>75</v>
      </c>
      <c r="L301" s="42">
        <f t="shared" si="31"/>
        <v>45</v>
      </c>
      <c r="M301" s="42">
        <f t="shared" si="32"/>
        <v>16</v>
      </c>
      <c r="N301" s="42">
        <f t="shared" si="33"/>
        <v>7</v>
      </c>
      <c r="O301" s="42">
        <f t="shared" si="34"/>
        <v>5</v>
      </c>
      <c r="P301" s="44">
        <f t="shared" si="35"/>
        <v>3</v>
      </c>
      <c r="Q301" s="3"/>
      <c r="R301" s="3"/>
    </row>
    <row r="302" spans="1:18" x14ac:dyDescent="0.3">
      <c r="A302" s="59">
        <v>1721</v>
      </c>
      <c r="B302" s="61">
        <v>0</v>
      </c>
      <c r="C302" s="43">
        <v>0</v>
      </c>
      <c r="D302" s="42">
        <v>0</v>
      </c>
      <c r="E302" s="42">
        <v>0</v>
      </c>
      <c r="F302" s="42">
        <v>0</v>
      </c>
      <c r="G302" s="42">
        <v>0</v>
      </c>
      <c r="H302" s="42">
        <v>0</v>
      </c>
      <c r="I302" s="44">
        <v>0</v>
      </c>
      <c r="J302" s="43">
        <f t="shared" si="29"/>
        <v>61</v>
      </c>
      <c r="K302" s="42">
        <f t="shared" si="30"/>
        <v>75</v>
      </c>
      <c r="L302" s="42">
        <f t="shared" si="31"/>
        <v>45</v>
      </c>
      <c r="M302" s="42">
        <f t="shared" si="32"/>
        <v>16</v>
      </c>
      <c r="N302" s="42">
        <f t="shared" si="33"/>
        <v>7</v>
      </c>
      <c r="O302" s="42">
        <f t="shared" si="34"/>
        <v>5</v>
      </c>
      <c r="P302" s="44">
        <f t="shared" si="35"/>
        <v>3</v>
      </c>
      <c r="Q302" s="3"/>
      <c r="R302" s="3"/>
    </row>
    <row r="303" spans="1:18" x14ac:dyDescent="0.3">
      <c r="A303" s="59">
        <v>1720</v>
      </c>
      <c r="B303" s="61">
        <v>0</v>
      </c>
      <c r="C303" s="43">
        <v>0</v>
      </c>
      <c r="D303" s="42">
        <v>0</v>
      </c>
      <c r="E303" s="42">
        <v>0</v>
      </c>
      <c r="F303" s="42">
        <v>0</v>
      </c>
      <c r="G303" s="42">
        <v>0</v>
      </c>
      <c r="H303" s="42">
        <v>0</v>
      </c>
      <c r="I303" s="44">
        <v>0</v>
      </c>
      <c r="J303" s="43">
        <f t="shared" si="29"/>
        <v>61</v>
      </c>
      <c r="K303" s="42">
        <f t="shared" si="30"/>
        <v>75</v>
      </c>
      <c r="L303" s="42">
        <f t="shared" si="31"/>
        <v>45</v>
      </c>
      <c r="M303" s="42">
        <f t="shared" si="32"/>
        <v>16</v>
      </c>
      <c r="N303" s="42">
        <f t="shared" si="33"/>
        <v>7</v>
      </c>
      <c r="O303" s="42">
        <f t="shared" si="34"/>
        <v>5</v>
      </c>
      <c r="P303" s="44">
        <f t="shared" si="35"/>
        <v>3</v>
      </c>
      <c r="Q303" s="3"/>
      <c r="R303" s="3"/>
    </row>
    <row r="304" spans="1:18" x14ac:dyDescent="0.3">
      <c r="A304" s="59">
        <v>1719</v>
      </c>
      <c r="B304" s="61">
        <v>0</v>
      </c>
      <c r="C304" s="43">
        <v>0</v>
      </c>
      <c r="D304" s="42">
        <v>0</v>
      </c>
      <c r="E304" s="42">
        <v>0</v>
      </c>
      <c r="F304" s="42">
        <v>0</v>
      </c>
      <c r="G304" s="42">
        <v>0</v>
      </c>
      <c r="H304" s="42">
        <v>0</v>
      </c>
      <c r="I304" s="44">
        <v>0</v>
      </c>
      <c r="J304" s="43">
        <f t="shared" si="29"/>
        <v>61</v>
      </c>
      <c r="K304" s="42">
        <f t="shared" si="30"/>
        <v>75</v>
      </c>
      <c r="L304" s="42">
        <f t="shared" si="31"/>
        <v>45</v>
      </c>
      <c r="M304" s="42">
        <f t="shared" si="32"/>
        <v>16</v>
      </c>
      <c r="N304" s="42">
        <f t="shared" si="33"/>
        <v>7</v>
      </c>
      <c r="O304" s="42">
        <f t="shared" si="34"/>
        <v>5</v>
      </c>
      <c r="P304" s="44">
        <f t="shared" si="35"/>
        <v>3</v>
      </c>
      <c r="Q304" s="3"/>
      <c r="R304" s="3"/>
    </row>
    <row r="305" spans="1:18" x14ac:dyDescent="0.3">
      <c r="A305" s="59">
        <v>1718</v>
      </c>
      <c r="B305" s="61">
        <v>0</v>
      </c>
      <c r="C305" s="43">
        <v>0</v>
      </c>
      <c r="D305" s="42">
        <v>0</v>
      </c>
      <c r="E305" s="42">
        <v>0</v>
      </c>
      <c r="F305" s="42">
        <v>0</v>
      </c>
      <c r="G305" s="42">
        <v>0</v>
      </c>
      <c r="H305" s="42">
        <v>0</v>
      </c>
      <c r="I305" s="44">
        <v>0</v>
      </c>
      <c r="J305" s="43">
        <f t="shared" si="29"/>
        <v>61</v>
      </c>
      <c r="K305" s="42">
        <f t="shared" si="30"/>
        <v>75</v>
      </c>
      <c r="L305" s="42">
        <f t="shared" si="31"/>
        <v>45</v>
      </c>
      <c r="M305" s="42">
        <f t="shared" si="32"/>
        <v>16</v>
      </c>
      <c r="N305" s="42">
        <f t="shared" si="33"/>
        <v>7</v>
      </c>
      <c r="O305" s="42">
        <f t="shared" si="34"/>
        <v>5</v>
      </c>
      <c r="P305" s="44">
        <f t="shared" si="35"/>
        <v>3</v>
      </c>
      <c r="Q305" s="3"/>
      <c r="R305" s="3"/>
    </row>
    <row r="306" spans="1:18" x14ac:dyDescent="0.3">
      <c r="A306" s="59">
        <v>1717</v>
      </c>
      <c r="B306" s="61">
        <v>0</v>
      </c>
      <c r="C306" s="43">
        <v>0</v>
      </c>
      <c r="D306" s="42">
        <v>0</v>
      </c>
      <c r="E306" s="42">
        <v>0</v>
      </c>
      <c r="F306" s="42">
        <v>0</v>
      </c>
      <c r="G306" s="42">
        <v>0</v>
      </c>
      <c r="H306" s="42">
        <v>0</v>
      </c>
      <c r="I306" s="44">
        <v>0</v>
      </c>
      <c r="J306" s="43">
        <f t="shared" si="29"/>
        <v>61</v>
      </c>
      <c r="K306" s="42">
        <f t="shared" si="30"/>
        <v>75</v>
      </c>
      <c r="L306" s="42">
        <f t="shared" si="31"/>
        <v>45</v>
      </c>
      <c r="M306" s="42">
        <f t="shared" si="32"/>
        <v>16</v>
      </c>
      <c r="N306" s="42">
        <f t="shared" si="33"/>
        <v>7</v>
      </c>
      <c r="O306" s="42">
        <f t="shared" si="34"/>
        <v>5</v>
      </c>
      <c r="P306" s="44">
        <f t="shared" si="35"/>
        <v>3</v>
      </c>
      <c r="Q306" s="3"/>
      <c r="R306" s="3"/>
    </row>
    <row r="307" spans="1:18" x14ac:dyDescent="0.3">
      <c r="A307" s="59">
        <v>1716</v>
      </c>
      <c r="B307" s="61">
        <v>0</v>
      </c>
      <c r="C307" s="43">
        <v>0</v>
      </c>
      <c r="D307" s="42">
        <v>0</v>
      </c>
      <c r="E307" s="42">
        <v>0</v>
      </c>
      <c r="F307" s="42">
        <v>0</v>
      </c>
      <c r="G307" s="42">
        <v>0</v>
      </c>
      <c r="H307" s="42">
        <v>0</v>
      </c>
      <c r="I307" s="44">
        <v>0</v>
      </c>
      <c r="J307" s="43">
        <f t="shared" si="29"/>
        <v>61</v>
      </c>
      <c r="K307" s="42">
        <f t="shared" si="30"/>
        <v>75</v>
      </c>
      <c r="L307" s="42">
        <f t="shared" si="31"/>
        <v>45</v>
      </c>
      <c r="M307" s="42">
        <f t="shared" si="32"/>
        <v>16</v>
      </c>
      <c r="N307" s="42">
        <f t="shared" si="33"/>
        <v>7</v>
      </c>
      <c r="O307" s="42">
        <f t="shared" si="34"/>
        <v>5</v>
      </c>
      <c r="P307" s="44">
        <f t="shared" si="35"/>
        <v>3</v>
      </c>
      <c r="Q307" s="3"/>
      <c r="R307" s="3"/>
    </row>
    <row r="308" spans="1:18" x14ac:dyDescent="0.3">
      <c r="A308" s="59">
        <v>1715</v>
      </c>
      <c r="B308" s="61">
        <v>0</v>
      </c>
      <c r="C308" s="43">
        <v>0</v>
      </c>
      <c r="D308" s="42">
        <v>0</v>
      </c>
      <c r="E308" s="42">
        <v>0</v>
      </c>
      <c r="F308" s="42">
        <v>0</v>
      </c>
      <c r="G308" s="42">
        <v>0</v>
      </c>
      <c r="H308" s="42">
        <v>0</v>
      </c>
      <c r="I308" s="44">
        <v>0</v>
      </c>
      <c r="J308" s="43">
        <f t="shared" si="29"/>
        <v>61</v>
      </c>
      <c r="K308" s="42">
        <f t="shared" si="30"/>
        <v>75</v>
      </c>
      <c r="L308" s="42">
        <f t="shared" si="31"/>
        <v>45</v>
      </c>
      <c r="M308" s="42">
        <f t="shared" si="32"/>
        <v>16</v>
      </c>
      <c r="N308" s="42">
        <f t="shared" si="33"/>
        <v>7</v>
      </c>
      <c r="O308" s="42">
        <f t="shared" si="34"/>
        <v>5</v>
      </c>
      <c r="P308" s="44">
        <f t="shared" si="35"/>
        <v>3</v>
      </c>
      <c r="Q308" s="3"/>
      <c r="R308" s="3"/>
    </row>
    <row r="309" spans="1:18" x14ac:dyDescent="0.3">
      <c r="A309" s="59">
        <v>1714</v>
      </c>
      <c r="B309" s="61">
        <v>0</v>
      </c>
      <c r="C309" s="43">
        <v>0</v>
      </c>
      <c r="D309" s="42">
        <v>0</v>
      </c>
      <c r="E309" s="42">
        <v>0</v>
      </c>
      <c r="F309" s="42">
        <v>0</v>
      </c>
      <c r="G309" s="42">
        <v>0</v>
      </c>
      <c r="H309" s="42">
        <v>0</v>
      </c>
      <c r="I309" s="44">
        <v>0</v>
      </c>
      <c r="J309" s="43">
        <f t="shared" si="29"/>
        <v>61</v>
      </c>
      <c r="K309" s="42">
        <f t="shared" si="30"/>
        <v>75</v>
      </c>
      <c r="L309" s="42">
        <f t="shared" si="31"/>
        <v>45</v>
      </c>
      <c r="M309" s="42">
        <f t="shared" si="32"/>
        <v>16</v>
      </c>
      <c r="N309" s="42">
        <f t="shared" si="33"/>
        <v>7</v>
      </c>
      <c r="O309" s="42">
        <f t="shared" si="34"/>
        <v>5</v>
      </c>
      <c r="P309" s="44">
        <f t="shared" si="35"/>
        <v>3</v>
      </c>
      <c r="Q309" s="3"/>
      <c r="R309" s="3"/>
    </row>
    <row r="310" spans="1:18" x14ac:dyDescent="0.3">
      <c r="A310" s="59">
        <v>1713</v>
      </c>
      <c r="B310" s="61">
        <v>0</v>
      </c>
      <c r="C310" s="43">
        <v>0</v>
      </c>
      <c r="D310" s="42">
        <v>0</v>
      </c>
      <c r="E310" s="42">
        <v>0</v>
      </c>
      <c r="F310" s="42">
        <v>0</v>
      </c>
      <c r="G310" s="42">
        <v>0</v>
      </c>
      <c r="H310" s="42">
        <v>0</v>
      </c>
      <c r="I310" s="44">
        <v>0</v>
      </c>
      <c r="J310" s="43">
        <f t="shared" si="29"/>
        <v>61</v>
      </c>
      <c r="K310" s="42">
        <f t="shared" si="30"/>
        <v>75</v>
      </c>
      <c r="L310" s="42">
        <f t="shared" si="31"/>
        <v>45</v>
      </c>
      <c r="M310" s="42">
        <f t="shared" si="32"/>
        <v>16</v>
      </c>
      <c r="N310" s="42">
        <f t="shared" si="33"/>
        <v>7</v>
      </c>
      <c r="O310" s="42">
        <f t="shared" si="34"/>
        <v>5</v>
      </c>
      <c r="P310" s="44">
        <f t="shared" si="35"/>
        <v>3</v>
      </c>
      <c r="Q310" s="3"/>
      <c r="R310" s="3"/>
    </row>
    <row r="311" spans="1:18" x14ac:dyDescent="0.3">
      <c r="A311" s="59">
        <v>1712</v>
      </c>
      <c r="B311" s="61">
        <v>0</v>
      </c>
      <c r="C311" s="43">
        <v>0</v>
      </c>
      <c r="D311" s="42">
        <v>0</v>
      </c>
      <c r="E311" s="42">
        <v>0</v>
      </c>
      <c r="F311" s="42">
        <v>0</v>
      </c>
      <c r="G311" s="42">
        <v>0</v>
      </c>
      <c r="H311" s="42">
        <v>0</v>
      </c>
      <c r="I311" s="44">
        <v>0</v>
      </c>
      <c r="J311" s="43">
        <f t="shared" si="29"/>
        <v>61</v>
      </c>
      <c r="K311" s="42">
        <f t="shared" si="30"/>
        <v>75</v>
      </c>
      <c r="L311" s="42">
        <f t="shared" si="31"/>
        <v>45</v>
      </c>
      <c r="M311" s="42">
        <f t="shared" si="32"/>
        <v>16</v>
      </c>
      <c r="N311" s="42">
        <f t="shared" si="33"/>
        <v>7</v>
      </c>
      <c r="O311" s="42">
        <f t="shared" si="34"/>
        <v>5</v>
      </c>
      <c r="P311" s="44">
        <f t="shared" si="35"/>
        <v>3</v>
      </c>
      <c r="Q311" s="3"/>
      <c r="R311" s="3"/>
    </row>
    <row r="312" spans="1:18" x14ac:dyDescent="0.3">
      <c r="A312" s="59">
        <v>1711</v>
      </c>
      <c r="B312" s="61">
        <v>0</v>
      </c>
      <c r="C312" s="43">
        <v>0</v>
      </c>
      <c r="D312" s="42">
        <v>0</v>
      </c>
      <c r="E312" s="42">
        <v>0</v>
      </c>
      <c r="F312" s="42">
        <v>0</v>
      </c>
      <c r="G312" s="42">
        <v>0</v>
      </c>
      <c r="H312" s="42">
        <v>0</v>
      </c>
      <c r="I312" s="44">
        <v>0</v>
      </c>
      <c r="J312" s="43">
        <f t="shared" si="29"/>
        <v>61</v>
      </c>
      <c r="K312" s="42">
        <f t="shared" si="30"/>
        <v>75</v>
      </c>
      <c r="L312" s="42">
        <f t="shared" si="31"/>
        <v>45</v>
      </c>
      <c r="M312" s="42">
        <f t="shared" si="32"/>
        <v>16</v>
      </c>
      <c r="N312" s="42">
        <f t="shared" si="33"/>
        <v>7</v>
      </c>
      <c r="O312" s="42">
        <f t="shared" si="34"/>
        <v>5</v>
      </c>
      <c r="P312" s="44">
        <f t="shared" si="35"/>
        <v>3</v>
      </c>
      <c r="Q312" s="3"/>
      <c r="R312" s="3"/>
    </row>
    <row r="313" spans="1:18" x14ac:dyDescent="0.3">
      <c r="A313" s="59">
        <v>1710</v>
      </c>
      <c r="B313" s="61">
        <v>0</v>
      </c>
      <c r="C313" s="43">
        <v>0</v>
      </c>
      <c r="D313" s="42">
        <v>0</v>
      </c>
      <c r="E313" s="42">
        <v>0</v>
      </c>
      <c r="F313" s="42">
        <v>0</v>
      </c>
      <c r="G313" s="42">
        <v>0</v>
      </c>
      <c r="H313" s="42">
        <v>0</v>
      </c>
      <c r="I313" s="44">
        <v>0</v>
      </c>
      <c r="J313" s="43">
        <f t="shared" si="29"/>
        <v>61</v>
      </c>
      <c r="K313" s="42">
        <f t="shared" si="30"/>
        <v>75</v>
      </c>
      <c r="L313" s="42">
        <f t="shared" si="31"/>
        <v>45</v>
      </c>
      <c r="M313" s="42">
        <f t="shared" si="32"/>
        <v>16</v>
      </c>
      <c r="N313" s="42">
        <f t="shared" si="33"/>
        <v>7</v>
      </c>
      <c r="O313" s="42">
        <f t="shared" si="34"/>
        <v>5</v>
      </c>
      <c r="P313" s="44">
        <f t="shared" si="35"/>
        <v>3</v>
      </c>
      <c r="Q313" s="3"/>
      <c r="R313" s="3"/>
    </row>
    <row r="314" spans="1:18" x14ac:dyDescent="0.3">
      <c r="A314" s="59">
        <v>1709</v>
      </c>
      <c r="B314" s="61">
        <v>0</v>
      </c>
      <c r="C314" s="43">
        <v>0</v>
      </c>
      <c r="D314" s="42">
        <v>0</v>
      </c>
      <c r="E314" s="42">
        <v>0</v>
      </c>
      <c r="F314" s="42">
        <v>0</v>
      </c>
      <c r="G314" s="42">
        <v>0</v>
      </c>
      <c r="H314" s="42">
        <v>0</v>
      </c>
      <c r="I314" s="44">
        <v>0</v>
      </c>
      <c r="J314" s="43">
        <f t="shared" si="29"/>
        <v>61</v>
      </c>
      <c r="K314" s="42">
        <f t="shared" si="30"/>
        <v>75</v>
      </c>
      <c r="L314" s="42">
        <f t="shared" si="31"/>
        <v>45</v>
      </c>
      <c r="M314" s="42">
        <f t="shared" si="32"/>
        <v>16</v>
      </c>
      <c r="N314" s="42">
        <f t="shared" si="33"/>
        <v>7</v>
      </c>
      <c r="O314" s="42">
        <f t="shared" si="34"/>
        <v>5</v>
      </c>
      <c r="P314" s="44">
        <f t="shared" si="35"/>
        <v>3</v>
      </c>
      <c r="Q314" s="3"/>
      <c r="R314" s="3"/>
    </row>
    <row r="315" spans="1:18" x14ac:dyDescent="0.3">
      <c r="A315" s="59">
        <v>1708</v>
      </c>
      <c r="B315" s="61">
        <v>0</v>
      </c>
      <c r="C315" s="43">
        <v>0</v>
      </c>
      <c r="D315" s="42">
        <v>0</v>
      </c>
      <c r="E315" s="42">
        <v>0</v>
      </c>
      <c r="F315" s="42">
        <v>0</v>
      </c>
      <c r="G315" s="42">
        <v>0</v>
      </c>
      <c r="H315" s="42">
        <v>0</v>
      </c>
      <c r="I315" s="44">
        <v>0</v>
      </c>
      <c r="J315" s="43">
        <f t="shared" si="29"/>
        <v>61</v>
      </c>
      <c r="K315" s="42">
        <f t="shared" si="30"/>
        <v>75</v>
      </c>
      <c r="L315" s="42">
        <f t="shared" si="31"/>
        <v>45</v>
      </c>
      <c r="M315" s="42">
        <f t="shared" si="32"/>
        <v>16</v>
      </c>
      <c r="N315" s="42">
        <f t="shared" si="33"/>
        <v>7</v>
      </c>
      <c r="O315" s="42">
        <f t="shared" si="34"/>
        <v>5</v>
      </c>
      <c r="P315" s="44">
        <f t="shared" si="35"/>
        <v>3</v>
      </c>
      <c r="Q315" s="3"/>
      <c r="R315" s="3"/>
    </row>
    <row r="316" spans="1:18" x14ac:dyDescent="0.3">
      <c r="A316" s="59">
        <v>1707</v>
      </c>
      <c r="B316" s="61">
        <v>0</v>
      </c>
      <c r="C316" s="43">
        <v>0</v>
      </c>
      <c r="D316" s="42">
        <v>0</v>
      </c>
      <c r="E316" s="42">
        <v>0</v>
      </c>
      <c r="F316" s="42">
        <v>0</v>
      </c>
      <c r="G316" s="42">
        <v>0</v>
      </c>
      <c r="H316" s="42">
        <v>0</v>
      </c>
      <c r="I316" s="44">
        <v>0</v>
      </c>
      <c r="J316" s="43">
        <f t="shared" si="29"/>
        <v>61</v>
      </c>
      <c r="K316" s="42">
        <f t="shared" si="30"/>
        <v>75</v>
      </c>
      <c r="L316" s="42">
        <f t="shared" si="31"/>
        <v>45</v>
      </c>
      <c r="M316" s="42">
        <f t="shared" si="32"/>
        <v>16</v>
      </c>
      <c r="N316" s="42">
        <f t="shared" si="33"/>
        <v>7</v>
      </c>
      <c r="O316" s="42">
        <f t="shared" si="34"/>
        <v>5</v>
      </c>
      <c r="P316" s="44">
        <f t="shared" si="35"/>
        <v>3</v>
      </c>
      <c r="Q316" s="3"/>
      <c r="R316" s="3"/>
    </row>
    <row r="317" spans="1:18" x14ac:dyDescent="0.3">
      <c r="A317" s="59">
        <v>1706</v>
      </c>
      <c r="B317" s="61">
        <v>0</v>
      </c>
      <c r="C317" s="43">
        <v>0</v>
      </c>
      <c r="D317" s="42">
        <v>0</v>
      </c>
      <c r="E317" s="42">
        <v>0</v>
      </c>
      <c r="F317" s="42">
        <v>0</v>
      </c>
      <c r="G317" s="42">
        <v>0</v>
      </c>
      <c r="H317" s="42">
        <v>0</v>
      </c>
      <c r="I317" s="44">
        <v>0</v>
      </c>
      <c r="J317" s="43">
        <f t="shared" si="29"/>
        <v>61</v>
      </c>
      <c r="K317" s="42">
        <f t="shared" si="30"/>
        <v>75</v>
      </c>
      <c r="L317" s="42">
        <f t="shared" si="31"/>
        <v>45</v>
      </c>
      <c r="M317" s="42">
        <f t="shared" si="32"/>
        <v>16</v>
      </c>
      <c r="N317" s="42">
        <f t="shared" si="33"/>
        <v>7</v>
      </c>
      <c r="O317" s="42">
        <f t="shared" si="34"/>
        <v>5</v>
      </c>
      <c r="P317" s="44">
        <f t="shared" si="35"/>
        <v>3</v>
      </c>
      <c r="Q317" s="3"/>
      <c r="R317" s="3"/>
    </row>
    <row r="318" spans="1:18" x14ac:dyDescent="0.3">
      <c r="A318" s="59">
        <v>1705</v>
      </c>
      <c r="B318" s="61">
        <v>7</v>
      </c>
      <c r="C318" s="43">
        <v>0</v>
      </c>
      <c r="D318" s="42">
        <v>0</v>
      </c>
      <c r="E318" s="42">
        <v>0</v>
      </c>
      <c r="F318" s="42">
        <v>0</v>
      </c>
      <c r="G318" s="42">
        <v>0</v>
      </c>
      <c r="H318" s="42">
        <v>0</v>
      </c>
      <c r="I318" s="44">
        <v>1</v>
      </c>
      <c r="J318" s="43">
        <f t="shared" si="29"/>
        <v>61</v>
      </c>
      <c r="K318" s="42">
        <f t="shared" si="30"/>
        <v>75</v>
      </c>
      <c r="L318" s="42">
        <f t="shared" si="31"/>
        <v>45</v>
      </c>
      <c r="M318" s="42">
        <f t="shared" si="32"/>
        <v>16</v>
      </c>
      <c r="N318" s="42">
        <f t="shared" si="33"/>
        <v>7</v>
      </c>
      <c r="O318" s="42">
        <f t="shared" si="34"/>
        <v>5</v>
      </c>
      <c r="P318" s="44">
        <f t="shared" si="35"/>
        <v>4</v>
      </c>
      <c r="Q318" s="3"/>
      <c r="R318" s="3"/>
    </row>
    <row r="319" spans="1:18" x14ac:dyDescent="0.3">
      <c r="A319" s="59">
        <v>1704</v>
      </c>
      <c r="B319" s="61">
        <v>0</v>
      </c>
      <c r="C319" s="43">
        <v>0</v>
      </c>
      <c r="D319" s="42">
        <v>0</v>
      </c>
      <c r="E319" s="42">
        <v>0</v>
      </c>
      <c r="F319" s="42">
        <v>0</v>
      </c>
      <c r="G319" s="42">
        <v>0</v>
      </c>
      <c r="H319" s="42">
        <v>0</v>
      </c>
      <c r="I319" s="44">
        <v>0</v>
      </c>
      <c r="J319" s="43">
        <f t="shared" si="29"/>
        <v>61</v>
      </c>
      <c r="K319" s="42">
        <f t="shared" si="30"/>
        <v>75</v>
      </c>
      <c r="L319" s="42">
        <f t="shared" si="31"/>
        <v>45</v>
      </c>
      <c r="M319" s="42">
        <f t="shared" si="32"/>
        <v>16</v>
      </c>
      <c r="N319" s="42">
        <f t="shared" si="33"/>
        <v>7</v>
      </c>
      <c r="O319" s="42">
        <f t="shared" si="34"/>
        <v>5</v>
      </c>
      <c r="P319" s="44">
        <f t="shared" si="35"/>
        <v>4</v>
      </c>
      <c r="Q319" s="3"/>
      <c r="R319" s="3"/>
    </row>
    <row r="320" spans="1:18" x14ac:dyDescent="0.3">
      <c r="A320" s="59">
        <v>1703</v>
      </c>
      <c r="B320" s="61">
        <v>0</v>
      </c>
      <c r="C320" s="43">
        <v>0</v>
      </c>
      <c r="D320" s="42">
        <v>0</v>
      </c>
      <c r="E320" s="42">
        <v>0</v>
      </c>
      <c r="F320" s="42">
        <v>0</v>
      </c>
      <c r="G320" s="42">
        <v>0</v>
      </c>
      <c r="H320" s="42">
        <v>0</v>
      </c>
      <c r="I320" s="44">
        <v>0</v>
      </c>
      <c r="J320" s="43">
        <f t="shared" si="29"/>
        <v>61</v>
      </c>
      <c r="K320" s="42">
        <f t="shared" si="30"/>
        <v>75</v>
      </c>
      <c r="L320" s="42">
        <f t="shared" si="31"/>
        <v>45</v>
      </c>
      <c r="M320" s="42">
        <f t="shared" si="32"/>
        <v>16</v>
      </c>
      <c r="N320" s="42">
        <f t="shared" si="33"/>
        <v>7</v>
      </c>
      <c r="O320" s="42">
        <f t="shared" si="34"/>
        <v>5</v>
      </c>
      <c r="P320" s="44">
        <f t="shared" si="35"/>
        <v>4</v>
      </c>
      <c r="Q320" s="3"/>
      <c r="R320" s="3"/>
    </row>
    <row r="321" spans="1:18" x14ac:dyDescent="0.3">
      <c r="A321" s="59">
        <v>1702</v>
      </c>
      <c r="B321" s="61">
        <v>0</v>
      </c>
      <c r="C321" s="43">
        <v>0</v>
      </c>
      <c r="D321" s="42">
        <v>0</v>
      </c>
      <c r="E321" s="42">
        <v>0</v>
      </c>
      <c r="F321" s="42">
        <v>0</v>
      </c>
      <c r="G321" s="42">
        <v>0</v>
      </c>
      <c r="H321" s="42">
        <v>0</v>
      </c>
      <c r="I321" s="44">
        <v>0</v>
      </c>
      <c r="J321" s="43">
        <f t="shared" si="29"/>
        <v>61</v>
      </c>
      <c r="K321" s="42">
        <f t="shared" si="30"/>
        <v>75</v>
      </c>
      <c r="L321" s="42">
        <f t="shared" si="31"/>
        <v>45</v>
      </c>
      <c r="M321" s="42">
        <f t="shared" si="32"/>
        <v>16</v>
      </c>
      <c r="N321" s="42">
        <f t="shared" si="33"/>
        <v>7</v>
      </c>
      <c r="O321" s="42">
        <f t="shared" si="34"/>
        <v>5</v>
      </c>
      <c r="P321" s="44">
        <f t="shared" si="35"/>
        <v>4</v>
      </c>
      <c r="Q321" s="3"/>
      <c r="R321" s="3"/>
    </row>
    <row r="322" spans="1:18" x14ac:dyDescent="0.3">
      <c r="A322" s="59">
        <v>1701</v>
      </c>
      <c r="B322" s="61">
        <v>0</v>
      </c>
      <c r="C322" s="43">
        <v>0</v>
      </c>
      <c r="D322" s="42">
        <v>0</v>
      </c>
      <c r="E322" s="42">
        <v>0</v>
      </c>
      <c r="F322" s="42">
        <v>0</v>
      </c>
      <c r="G322" s="42">
        <v>0</v>
      </c>
      <c r="H322" s="42">
        <v>0</v>
      </c>
      <c r="I322" s="44">
        <v>0</v>
      </c>
      <c r="J322" s="43">
        <f t="shared" si="29"/>
        <v>61</v>
      </c>
      <c r="K322" s="42">
        <f t="shared" si="30"/>
        <v>75</v>
      </c>
      <c r="L322" s="42">
        <f t="shared" si="31"/>
        <v>45</v>
      </c>
      <c r="M322" s="42">
        <f t="shared" si="32"/>
        <v>16</v>
      </c>
      <c r="N322" s="42">
        <f t="shared" si="33"/>
        <v>7</v>
      </c>
      <c r="O322" s="42">
        <f t="shared" si="34"/>
        <v>5</v>
      </c>
      <c r="P322" s="44">
        <f t="shared" si="35"/>
        <v>4</v>
      </c>
      <c r="Q322" s="3"/>
      <c r="R322" s="3"/>
    </row>
    <row r="323" spans="1:18" x14ac:dyDescent="0.3">
      <c r="A323" s="59">
        <v>1700</v>
      </c>
      <c r="B323" s="61">
        <v>0</v>
      </c>
      <c r="C323" s="43">
        <v>0</v>
      </c>
      <c r="D323" s="42">
        <v>0</v>
      </c>
      <c r="E323" s="42">
        <v>0</v>
      </c>
      <c r="F323" s="42">
        <v>0</v>
      </c>
      <c r="G323" s="42">
        <v>0</v>
      </c>
      <c r="H323" s="42">
        <v>0</v>
      </c>
      <c r="I323" s="44">
        <v>0</v>
      </c>
      <c r="J323" s="43">
        <f t="shared" si="29"/>
        <v>61</v>
      </c>
      <c r="K323" s="42">
        <f t="shared" si="30"/>
        <v>75</v>
      </c>
      <c r="L323" s="42">
        <f t="shared" si="31"/>
        <v>45</v>
      </c>
      <c r="M323" s="42">
        <f t="shared" si="32"/>
        <v>16</v>
      </c>
      <c r="N323" s="42">
        <f t="shared" si="33"/>
        <v>7</v>
      </c>
      <c r="O323" s="42">
        <f t="shared" si="34"/>
        <v>5</v>
      </c>
      <c r="P323" s="44">
        <f t="shared" si="35"/>
        <v>4</v>
      </c>
      <c r="Q323" s="3"/>
      <c r="R323" s="3"/>
    </row>
    <row r="324" spans="1:18" x14ac:dyDescent="0.3">
      <c r="A324" s="59">
        <v>1699</v>
      </c>
      <c r="B324" s="61">
        <v>0</v>
      </c>
      <c r="C324" s="43">
        <v>0</v>
      </c>
      <c r="D324" s="42">
        <v>0</v>
      </c>
      <c r="E324" s="42">
        <v>0</v>
      </c>
      <c r="F324" s="42">
        <v>0</v>
      </c>
      <c r="G324" s="42">
        <v>0</v>
      </c>
      <c r="H324" s="42">
        <v>0</v>
      </c>
      <c r="I324" s="44">
        <v>0</v>
      </c>
      <c r="J324" s="43">
        <f t="shared" ref="J324:J345" si="36">J323+C324</f>
        <v>61</v>
      </c>
      <c r="K324" s="42">
        <f t="shared" ref="K324:K345" si="37">K323+D324</f>
        <v>75</v>
      </c>
      <c r="L324" s="42">
        <f t="shared" ref="L324:L345" si="38">L323+E324</f>
        <v>45</v>
      </c>
      <c r="M324" s="42">
        <f t="shared" ref="M324:M345" si="39">M323+F324</f>
        <v>16</v>
      </c>
      <c r="N324" s="42">
        <f t="shared" ref="N324:N345" si="40">N323+G324</f>
        <v>7</v>
      </c>
      <c r="O324" s="42">
        <f t="shared" ref="O324:O345" si="41">O323+H324</f>
        <v>5</v>
      </c>
      <c r="P324" s="44">
        <f t="shared" ref="P324:P345" si="42">P323+I324</f>
        <v>4</v>
      </c>
      <c r="Q324" s="3"/>
      <c r="R324" s="3"/>
    </row>
    <row r="325" spans="1:18" x14ac:dyDescent="0.3">
      <c r="A325" s="59">
        <v>1698</v>
      </c>
      <c r="B325" s="61">
        <v>0</v>
      </c>
      <c r="C325" s="43">
        <v>0</v>
      </c>
      <c r="D325" s="42">
        <v>0</v>
      </c>
      <c r="E325" s="42">
        <v>0</v>
      </c>
      <c r="F325" s="42">
        <v>0</v>
      </c>
      <c r="G325" s="42">
        <v>0</v>
      </c>
      <c r="H325" s="42">
        <v>0</v>
      </c>
      <c r="I325" s="44">
        <v>0</v>
      </c>
      <c r="J325" s="43">
        <f t="shared" si="36"/>
        <v>61</v>
      </c>
      <c r="K325" s="42">
        <f t="shared" si="37"/>
        <v>75</v>
      </c>
      <c r="L325" s="42">
        <f t="shared" si="38"/>
        <v>45</v>
      </c>
      <c r="M325" s="42">
        <f t="shared" si="39"/>
        <v>16</v>
      </c>
      <c r="N325" s="42">
        <f t="shared" si="40"/>
        <v>7</v>
      </c>
      <c r="O325" s="42">
        <f t="shared" si="41"/>
        <v>5</v>
      </c>
      <c r="P325" s="44">
        <f t="shared" si="42"/>
        <v>4</v>
      </c>
      <c r="Q325" s="3"/>
      <c r="R325" s="3"/>
    </row>
    <row r="326" spans="1:18" x14ac:dyDescent="0.3">
      <c r="A326" s="59">
        <v>1697</v>
      </c>
      <c r="B326" s="61">
        <v>0</v>
      </c>
      <c r="C326" s="43">
        <v>0</v>
      </c>
      <c r="D326" s="42">
        <v>0</v>
      </c>
      <c r="E326" s="42">
        <v>0</v>
      </c>
      <c r="F326" s="42">
        <v>0</v>
      </c>
      <c r="G326" s="42">
        <v>0</v>
      </c>
      <c r="H326" s="42">
        <v>0</v>
      </c>
      <c r="I326" s="44">
        <v>0</v>
      </c>
      <c r="J326" s="43">
        <f t="shared" si="36"/>
        <v>61</v>
      </c>
      <c r="K326" s="42">
        <f t="shared" si="37"/>
        <v>75</v>
      </c>
      <c r="L326" s="42">
        <f t="shared" si="38"/>
        <v>45</v>
      </c>
      <c r="M326" s="42">
        <f t="shared" si="39"/>
        <v>16</v>
      </c>
      <c r="N326" s="42">
        <f t="shared" si="40"/>
        <v>7</v>
      </c>
      <c r="O326" s="42">
        <f t="shared" si="41"/>
        <v>5</v>
      </c>
      <c r="P326" s="44">
        <f t="shared" si="42"/>
        <v>4</v>
      </c>
      <c r="Q326" s="3"/>
      <c r="R326" s="3"/>
    </row>
    <row r="327" spans="1:18" x14ac:dyDescent="0.3">
      <c r="A327" s="59">
        <v>1696</v>
      </c>
      <c r="B327" s="61">
        <v>0</v>
      </c>
      <c r="C327" s="43">
        <v>0</v>
      </c>
      <c r="D327" s="42">
        <v>0</v>
      </c>
      <c r="E327" s="42">
        <v>0</v>
      </c>
      <c r="F327" s="42">
        <v>0</v>
      </c>
      <c r="G327" s="42">
        <v>0</v>
      </c>
      <c r="H327" s="42">
        <v>0</v>
      </c>
      <c r="I327" s="44">
        <v>0</v>
      </c>
      <c r="J327" s="43">
        <f t="shared" si="36"/>
        <v>61</v>
      </c>
      <c r="K327" s="42">
        <f t="shared" si="37"/>
        <v>75</v>
      </c>
      <c r="L327" s="42">
        <f t="shared" si="38"/>
        <v>45</v>
      </c>
      <c r="M327" s="42">
        <f t="shared" si="39"/>
        <v>16</v>
      </c>
      <c r="N327" s="42">
        <f t="shared" si="40"/>
        <v>7</v>
      </c>
      <c r="O327" s="42">
        <f t="shared" si="41"/>
        <v>5</v>
      </c>
      <c r="P327" s="44">
        <f t="shared" si="42"/>
        <v>4</v>
      </c>
      <c r="Q327" s="3"/>
      <c r="R327" s="3"/>
    </row>
    <row r="328" spans="1:18" x14ac:dyDescent="0.3">
      <c r="A328" s="59">
        <v>1695</v>
      </c>
      <c r="B328" s="61">
        <v>0</v>
      </c>
      <c r="C328" s="43">
        <v>0</v>
      </c>
      <c r="D328" s="42">
        <v>0</v>
      </c>
      <c r="E328" s="42">
        <v>0</v>
      </c>
      <c r="F328" s="42">
        <v>0</v>
      </c>
      <c r="G328" s="42">
        <v>0</v>
      </c>
      <c r="H328" s="42">
        <v>0</v>
      </c>
      <c r="I328" s="44">
        <v>0</v>
      </c>
      <c r="J328" s="43">
        <f t="shared" si="36"/>
        <v>61</v>
      </c>
      <c r="K328" s="42">
        <f t="shared" si="37"/>
        <v>75</v>
      </c>
      <c r="L328" s="42">
        <f t="shared" si="38"/>
        <v>45</v>
      </c>
      <c r="M328" s="42">
        <f t="shared" si="39"/>
        <v>16</v>
      </c>
      <c r="N328" s="42">
        <f t="shared" si="40"/>
        <v>7</v>
      </c>
      <c r="O328" s="42">
        <f t="shared" si="41"/>
        <v>5</v>
      </c>
      <c r="P328" s="44">
        <f t="shared" si="42"/>
        <v>4</v>
      </c>
      <c r="Q328" s="3"/>
      <c r="R328" s="3"/>
    </row>
    <row r="329" spans="1:18" x14ac:dyDescent="0.3">
      <c r="A329" s="59">
        <v>1694</v>
      </c>
      <c r="B329" s="61">
        <v>0</v>
      </c>
      <c r="C329" s="43">
        <v>0</v>
      </c>
      <c r="D329" s="42">
        <v>0</v>
      </c>
      <c r="E329" s="42">
        <v>0</v>
      </c>
      <c r="F329" s="42">
        <v>0</v>
      </c>
      <c r="G329" s="42">
        <v>0</v>
      </c>
      <c r="H329" s="42">
        <v>0</v>
      </c>
      <c r="I329" s="44">
        <v>0</v>
      </c>
      <c r="J329" s="43">
        <f t="shared" si="36"/>
        <v>61</v>
      </c>
      <c r="K329" s="42">
        <f t="shared" si="37"/>
        <v>75</v>
      </c>
      <c r="L329" s="42">
        <f t="shared" si="38"/>
        <v>45</v>
      </c>
      <c r="M329" s="42">
        <f t="shared" si="39"/>
        <v>16</v>
      </c>
      <c r="N329" s="42">
        <f t="shared" si="40"/>
        <v>7</v>
      </c>
      <c r="O329" s="42">
        <f t="shared" si="41"/>
        <v>5</v>
      </c>
      <c r="P329" s="44">
        <f t="shared" si="42"/>
        <v>4</v>
      </c>
      <c r="Q329" s="3"/>
      <c r="R329" s="3"/>
    </row>
    <row r="330" spans="1:18" x14ac:dyDescent="0.3">
      <c r="A330" s="59">
        <v>1693</v>
      </c>
      <c r="B330" s="61">
        <v>0</v>
      </c>
      <c r="C330" s="43">
        <v>0</v>
      </c>
      <c r="D330" s="42">
        <v>0</v>
      </c>
      <c r="E330" s="42">
        <v>0</v>
      </c>
      <c r="F330" s="42">
        <v>0</v>
      </c>
      <c r="G330" s="42">
        <v>0</v>
      </c>
      <c r="H330" s="42">
        <v>0</v>
      </c>
      <c r="I330" s="44">
        <v>0</v>
      </c>
      <c r="J330" s="43">
        <f t="shared" si="36"/>
        <v>61</v>
      </c>
      <c r="K330" s="42">
        <f t="shared" si="37"/>
        <v>75</v>
      </c>
      <c r="L330" s="42">
        <f t="shared" si="38"/>
        <v>45</v>
      </c>
      <c r="M330" s="42">
        <f t="shared" si="39"/>
        <v>16</v>
      </c>
      <c r="N330" s="42">
        <f t="shared" si="40"/>
        <v>7</v>
      </c>
      <c r="O330" s="42">
        <f t="shared" si="41"/>
        <v>5</v>
      </c>
      <c r="P330" s="44">
        <f t="shared" si="42"/>
        <v>4</v>
      </c>
      <c r="Q330" s="3"/>
      <c r="R330" s="3"/>
    </row>
    <row r="331" spans="1:18" x14ac:dyDescent="0.3">
      <c r="A331" s="59">
        <v>1692</v>
      </c>
      <c r="B331" s="61">
        <v>0</v>
      </c>
      <c r="C331" s="43">
        <v>0</v>
      </c>
      <c r="D331" s="42">
        <v>0</v>
      </c>
      <c r="E331" s="42">
        <v>0</v>
      </c>
      <c r="F331" s="42">
        <v>0</v>
      </c>
      <c r="G331" s="42">
        <v>0</v>
      </c>
      <c r="H331" s="42">
        <v>0</v>
      </c>
      <c r="I331" s="44">
        <v>0</v>
      </c>
      <c r="J331" s="43">
        <f t="shared" si="36"/>
        <v>61</v>
      </c>
      <c r="K331" s="42">
        <f t="shared" si="37"/>
        <v>75</v>
      </c>
      <c r="L331" s="42">
        <f t="shared" si="38"/>
        <v>45</v>
      </c>
      <c r="M331" s="42">
        <f t="shared" si="39"/>
        <v>16</v>
      </c>
      <c r="N331" s="42">
        <f t="shared" si="40"/>
        <v>7</v>
      </c>
      <c r="O331" s="42">
        <f t="shared" si="41"/>
        <v>5</v>
      </c>
      <c r="P331" s="44">
        <f t="shared" si="42"/>
        <v>4</v>
      </c>
      <c r="Q331" s="3"/>
      <c r="R331" s="3"/>
    </row>
    <row r="332" spans="1:18" x14ac:dyDescent="0.3">
      <c r="A332" s="59">
        <v>1691</v>
      </c>
      <c r="B332" s="61">
        <v>0</v>
      </c>
      <c r="C332" s="43">
        <v>0</v>
      </c>
      <c r="D332" s="42">
        <v>0</v>
      </c>
      <c r="E332" s="42">
        <v>0</v>
      </c>
      <c r="F332" s="42">
        <v>0</v>
      </c>
      <c r="G332" s="42">
        <v>0</v>
      </c>
      <c r="H332" s="42">
        <v>0</v>
      </c>
      <c r="I332" s="44">
        <v>0</v>
      </c>
      <c r="J332" s="43">
        <f t="shared" si="36"/>
        <v>61</v>
      </c>
      <c r="K332" s="42">
        <f t="shared" si="37"/>
        <v>75</v>
      </c>
      <c r="L332" s="42">
        <f t="shared" si="38"/>
        <v>45</v>
      </c>
      <c r="M332" s="42">
        <f t="shared" si="39"/>
        <v>16</v>
      </c>
      <c r="N332" s="42">
        <f t="shared" si="40"/>
        <v>7</v>
      </c>
      <c r="O332" s="42">
        <f t="shared" si="41"/>
        <v>5</v>
      </c>
      <c r="P332" s="44">
        <f t="shared" si="42"/>
        <v>4</v>
      </c>
      <c r="Q332" s="3"/>
      <c r="R332" s="3"/>
    </row>
    <row r="333" spans="1:18" x14ac:dyDescent="0.3">
      <c r="A333" s="59">
        <v>1690</v>
      </c>
      <c r="B333" s="61">
        <v>0</v>
      </c>
      <c r="C333" s="43">
        <v>0</v>
      </c>
      <c r="D333" s="42">
        <v>0</v>
      </c>
      <c r="E333" s="42">
        <v>0</v>
      </c>
      <c r="F333" s="42">
        <v>0</v>
      </c>
      <c r="G333" s="42">
        <v>0</v>
      </c>
      <c r="H333" s="42">
        <v>0</v>
      </c>
      <c r="I333" s="44">
        <v>0</v>
      </c>
      <c r="J333" s="43">
        <f t="shared" si="36"/>
        <v>61</v>
      </c>
      <c r="K333" s="42">
        <f t="shared" si="37"/>
        <v>75</v>
      </c>
      <c r="L333" s="42">
        <f t="shared" si="38"/>
        <v>45</v>
      </c>
      <c r="M333" s="42">
        <f t="shared" si="39"/>
        <v>16</v>
      </c>
      <c r="N333" s="42">
        <f t="shared" si="40"/>
        <v>7</v>
      </c>
      <c r="O333" s="42">
        <f t="shared" si="41"/>
        <v>5</v>
      </c>
      <c r="P333" s="44">
        <f t="shared" si="42"/>
        <v>4</v>
      </c>
      <c r="Q333" s="3"/>
      <c r="R333" s="3"/>
    </row>
    <row r="334" spans="1:18" x14ac:dyDescent="0.3">
      <c r="A334" s="59">
        <v>1689</v>
      </c>
      <c r="B334" s="61">
        <v>0</v>
      </c>
      <c r="C334" s="43">
        <v>0</v>
      </c>
      <c r="D334" s="42">
        <v>0</v>
      </c>
      <c r="E334" s="42">
        <v>0</v>
      </c>
      <c r="F334" s="42">
        <v>0</v>
      </c>
      <c r="G334" s="42">
        <v>0</v>
      </c>
      <c r="H334" s="42">
        <v>0</v>
      </c>
      <c r="I334" s="44">
        <v>0</v>
      </c>
      <c r="J334" s="43">
        <f t="shared" si="36"/>
        <v>61</v>
      </c>
      <c r="K334" s="42">
        <f t="shared" si="37"/>
        <v>75</v>
      </c>
      <c r="L334" s="42">
        <f t="shared" si="38"/>
        <v>45</v>
      </c>
      <c r="M334" s="42">
        <f t="shared" si="39"/>
        <v>16</v>
      </c>
      <c r="N334" s="42">
        <f t="shared" si="40"/>
        <v>7</v>
      </c>
      <c r="O334" s="42">
        <f t="shared" si="41"/>
        <v>5</v>
      </c>
      <c r="P334" s="44">
        <f t="shared" si="42"/>
        <v>4</v>
      </c>
      <c r="Q334" s="3"/>
      <c r="R334" s="3"/>
    </row>
    <row r="335" spans="1:18" x14ac:dyDescent="0.3">
      <c r="A335" s="59">
        <v>1688</v>
      </c>
      <c r="B335" s="61">
        <v>0</v>
      </c>
      <c r="C335" s="43">
        <v>0</v>
      </c>
      <c r="D335" s="42">
        <v>0</v>
      </c>
      <c r="E335" s="42">
        <v>0</v>
      </c>
      <c r="F335" s="42">
        <v>0</v>
      </c>
      <c r="G335" s="42">
        <v>0</v>
      </c>
      <c r="H335" s="42">
        <v>0</v>
      </c>
      <c r="I335" s="44">
        <v>0</v>
      </c>
      <c r="J335" s="43">
        <f t="shared" si="36"/>
        <v>61</v>
      </c>
      <c r="K335" s="42">
        <f t="shared" si="37"/>
        <v>75</v>
      </c>
      <c r="L335" s="42">
        <f t="shared" si="38"/>
        <v>45</v>
      </c>
      <c r="M335" s="42">
        <f t="shared" si="39"/>
        <v>16</v>
      </c>
      <c r="N335" s="42">
        <f t="shared" si="40"/>
        <v>7</v>
      </c>
      <c r="O335" s="42">
        <f t="shared" si="41"/>
        <v>5</v>
      </c>
      <c r="P335" s="44">
        <f t="shared" si="42"/>
        <v>4</v>
      </c>
      <c r="Q335" s="3"/>
      <c r="R335" s="3"/>
    </row>
    <row r="336" spans="1:18" x14ac:dyDescent="0.3">
      <c r="A336" s="59">
        <v>1687</v>
      </c>
      <c r="B336" s="61">
        <v>0</v>
      </c>
      <c r="C336" s="43">
        <v>0</v>
      </c>
      <c r="D336" s="42">
        <v>0</v>
      </c>
      <c r="E336" s="42">
        <v>0</v>
      </c>
      <c r="F336" s="42">
        <v>0</v>
      </c>
      <c r="G336" s="42">
        <v>0</v>
      </c>
      <c r="H336" s="42">
        <v>0</v>
      </c>
      <c r="I336" s="44">
        <v>0</v>
      </c>
      <c r="J336" s="43">
        <f t="shared" si="36"/>
        <v>61</v>
      </c>
      <c r="K336" s="42">
        <f t="shared" si="37"/>
        <v>75</v>
      </c>
      <c r="L336" s="42">
        <f t="shared" si="38"/>
        <v>45</v>
      </c>
      <c r="M336" s="42">
        <f t="shared" si="39"/>
        <v>16</v>
      </c>
      <c r="N336" s="42">
        <f t="shared" si="40"/>
        <v>7</v>
      </c>
      <c r="O336" s="42">
        <f t="shared" si="41"/>
        <v>5</v>
      </c>
      <c r="P336" s="44">
        <f t="shared" si="42"/>
        <v>4</v>
      </c>
      <c r="Q336" s="3"/>
      <c r="R336" s="3"/>
    </row>
    <row r="337" spans="1:18" x14ac:dyDescent="0.3">
      <c r="A337" s="59">
        <v>1686</v>
      </c>
      <c r="B337" s="61">
        <v>0</v>
      </c>
      <c r="C337" s="43">
        <v>0</v>
      </c>
      <c r="D337" s="42">
        <v>0</v>
      </c>
      <c r="E337" s="42">
        <v>0</v>
      </c>
      <c r="F337" s="42">
        <v>0</v>
      </c>
      <c r="G337" s="42">
        <v>0</v>
      </c>
      <c r="H337" s="42">
        <v>0</v>
      </c>
      <c r="I337" s="44">
        <v>0</v>
      </c>
      <c r="J337" s="43">
        <f t="shared" si="36"/>
        <v>61</v>
      </c>
      <c r="K337" s="42">
        <f t="shared" si="37"/>
        <v>75</v>
      </c>
      <c r="L337" s="42">
        <f t="shared" si="38"/>
        <v>45</v>
      </c>
      <c r="M337" s="42">
        <f t="shared" si="39"/>
        <v>16</v>
      </c>
      <c r="N337" s="42">
        <f t="shared" si="40"/>
        <v>7</v>
      </c>
      <c r="O337" s="42">
        <f t="shared" si="41"/>
        <v>5</v>
      </c>
      <c r="P337" s="44">
        <f t="shared" si="42"/>
        <v>4</v>
      </c>
      <c r="Q337" s="3"/>
      <c r="R337" s="3"/>
    </row>
    <row r="338" spans="1:18" x14ac:dyDescent="0.3">
      <c r="A338" s="59">
        <v>1685</v>
      </c>
      <c r="B338" s="61">
        <v>0</v>
      </c>
      <c r="C338" s="43">
        <v>0</v>
      </c>
      <c r="D338" s="42">
        <v>0</v>
      </c>
      <c r="E338" s="42">
        <v>0</v>
      </c>
      <c r="F338" s="42">
        <v>0</v>
      </c>
      <c r="G338" s="42">
        <v>0</v>
      </c>
      <c r="H338" s="42">
        <v>0</v>
      </c>
      <c r="I338" s="44">
        <v>0</v>
      </c>
      <c r="J338" s="43">
        <f t="shared" si="36"/>
        <v>61</v>
      </c>
      <c r="K338" s="42">
        <f t="shared" si="37"/>
        <v>75</v>
      </c>
      <c r="L338" s="42">
        <f t="shared" si="38"/>
        <v>45</v>
      </c>
      <c r="M338" s="42">
        <f t="shared" si="39"/>
        <v>16</v>
      </c>
      <c r="N338" s="42">
        <f t="shared" si="40"/>
        <v>7</v>
      </c>
      <c r="O338" s="42">
        <f t="shared" si="41"/>
        <v>5</v>
      </c>
      <c r="P338" s="44">
        <f t="shared" si="42"/>
        <v>4</v>
      </c>
      <c r="Q338" s="3"/>
      <c r="R338" s="3"/>
    </row>
    <row r="339" spans="1:18" x14ac:dyDescent="0.3">
      <c r="A339" s="59">
        <v>1684</v>
      </c>
      <c r="B339" s="61">
        <v>0</v>
      </c>
      <c r="C339" s="43">
        <v>0</v>
      </c>
      <c r="D339" s="42">
        <v>0</v>
      </c>
      <c r="E339" s="42">
        <v>0</v>
      </c>
      <c r="F339" s="42">
        <v>0</v>
      </c>
      <c r="G339" s="42">
        <v>0</v>
      </c>
      <c r="H339" s="42">
        <v>0</v>
      </c>
      <c r="I339" s="44">
        <v>0</v>
      </c>
      <c r="J339" s="43">
        <f t="shared" si="36"/>
        <v>61</v>
      </c>
      <c r="K339" s="42">
        <f t="shared" si="37"/>
        <v>75</v>
      </c>
      <c r="L339" s="42">
        <f t="shared" si="38"/>
        <v>45</v>
      </c>
      <c r="M339" s="42">
        <f t="shared" si="39"/>
        <v>16</v>
      </c>
      <c r="N339" s="42">
        <f t="shared" si="40"/>
        <v>7</v>
      </c>
      <c r="O339" s="42">
        <f t="shared" si="41"/>
        <v>5</v>
      </c>
      <c r="P339" s="44">
        <f t="shared" si="42"/>
        <v>4</v>
      </c>
      <c r="Q339" s="3"/>
      <c r="R339" s="3"/>
    </row>
    <row r="340" spans="1:18" x14ac:dyDescent="0.3">
      <c r="A340" s="59">
        <v>1683</v>
      </c>
      <c r="B340" s="61">
        <v>0</v>
      </c>
      <c r="C340" s="43">
        <v>0</v>
      </c>
      <c r="D340" s="42">
        <v>0</v>
      </c>
      <c r="E340" s="42">
        <v>0</v>
      </c>
      <c r="F340" s="42">
        <v>0</v>
      </c>
      <c r="G340" s="42">
        <v>0</v>
      </c>
      <c r="H340" s="42">
        <v>0</v>
      </c>
      <c r="I340" s="44">
        <v>0</v>
      </c>
      <c r="J340" s="43">
        <f t="shared" si="36"/>
        <v>61</v>
      </c>
      <c r="K340" s="42">
        <f t="shared" si="37"/>
        <v>75</v>
      </c>
      <c r="L340" s="42">
        <f t="shared" si="38"/>
        <v>45</v>
      </c>
      <c r="M340" s="42">
        <f t="shared" si="39"/>
        <v>16</v>
      </c>
      <c r="N340" s="42">
        <f t="shared" si="40"/>
        <v>7</v>
      </c>
      <c r="O340" s="42">
        <f t="shared" si="41"/>
        <v>5</v>
      </c>
      <c r="P340" s="44">
        <f t="shared" si="42"/>
        <v>4</v>
      </c>
      <c r="Q340" s="3"/>
      <c r="R340" s="3"/>
    </row>
    <row r="341" spans="1:18" x14ac:dyDescent="0.3">
      <c r="A341" s="59">
        <v>1682</v>
      </c>
      <c r="B341" s="61">
        <v>0</v>
      </c>
      <c r="C341" s="43">
        <v>0</v>
      </c>
      <c r="D341" s="42">
        <v>0</v>
      </c>
      <c r="E341" s="42">
        <v>0</v>
      </c>
      <c r="F341" s="42">
        <v>0</v>
      </c>
      <c r="G341" s="42">
        <v>0</v>
      </c>
      <c r="H341" s="42">
        <v>0</v>
      </c>
      <c r="I341" s="44">
        <v>0</v>
      </c>
      <c r="J341" s="43">
        <f t="shared" si="36"/>
        <v>61</v>
      </c>
      <c r="K341" s="42">
        <f t="shared" si="37"/>
        <v>75</v>
      </c>
      <c r="L341" s="42">
        <f t="shared" si="38"/>
        <v>45</v>
      </c>
      <c r="M341" s="42">
        <f t="shared" si="39"/>
        <v>16</v>
      </c>
      <c r="N341" s="42">
        <f t="shared" si="40"/>
        <v>7</v>
      </c>
      <c r="O341" s="42">
        <f t="shared" si="41"/>
        <v>5</v>
      </c>
      <c r="P341" s="44">
        <f t="shared" si="42"/>
        <v>4</v>
      </c>
      <c r="Q341" s="3"/>
      <c r="R341" s="3"/>
    </row>
    <row r="342" spans="1:18" x14ac:dyDescent="0.3">
      <c r="A342" s="59">
        <v>1681</v>
      </c>
      <c r="B342" s="61">
        <v>0</v>
      </c>
      <c r="C342" s="43">
        <v>0</v>
      </c>
      <c r="D342" s="42">
        <v>0</v>
      </c>
      <c r="E342" s="42">
        <v>0</v>
      </c>
      <c r="F342" s="42">
        <v>0</v>
      </c>
      <c r="G342" s="42">
        <v>0</v>
      </c>
      <c r="H342" s="42">
        <v>0</v>
      </c>
      <c r="I342" s="44">
        <v>0</v>
      </c>
      <c r="J342" s="43">
        <f t="shared" si="36"/>
        <v>61</v>
      </c>
      <c r="K342" s="42">
        <f t="shared" si="37"/>
        <v>75</v>
      </c>
      <c r="L342" s="42">
        <f t="shared" si="38"/>
        <v>45</v>
      </c>
      <c r="M342" s="42">
        <f t="shared" si="39"/>
        <v>16</v>
      </c>
      <c r="N342" s="42">
        <f t="shared" si="40"/>
        <v>7</v>
      </c>
      <c r="O342" s="42">
        <f t="shared" si="41"/>
        <v>5</v>
      </c>
      <c r="P342" s="44">
        <f t="shared" si="42"/>
        <v>4</v>
      </c>
      <c r="Q342" s="3"/>
      <c r="R342" s="3"/>
    </row>
    <row r="343" spans="1:18" x14ac:dyDescent="0.3">
      <c r="A343" s="59">
        <v>1680</v>
      </c>
      <c r="B343" s="61">
        <v>0</v>
      </c>
      <c r="C343" s="43">
        <v>0</v>
      </c>
      <c r="D343" s="42">
        <v>0</v>
      </c>
      <c r="E343" s="42">
        <v>0</v>
      </c>
      <c r="F343" s="42">
        <v>0</v>
      </c>
      <c r="G343" s="42">
        <v>0</v>
      </c>
      <c r="H343" s="42">
        <v>0</v>
      </c>
      <c r="I343" s="44">
        <v>0</v>
      </c>
      <c r="J343" s="43">
        <f t="shared" si="36"/>
        <v>61</v>
      </c>
      <c r="K343" s="42">
        <f t="shared" si="37"/>
        <v>75</v>
      </c>
      <c r="L343" s="42">
        <f t="shared" si="38"/>
        <v>45</v>
      </c>
      <c r="M343" s="42">
        <f t="shared" si="39"/>
        <v>16</v>
      </c>
      <c r="N343" s="42">
        <f t="shared" si="40"/>
        <v>7</v>
      </c>
      <c r="O343" s="42">
        <f t="shared" si="41"/>
        <v>5</v>
      </c>
      <c r="P343" s="44">
        <f t="shared" si="42"/>
        <v>4</v>
      </c>
      <c r="Q343" s="3"/>
      <c r="R343" s="3"/>
    </row>
    <row r="344" spans="1:18" x14ac:dyDescent="0.3">
      <c r="A344" s="59">
        <v>1679</v>
      </c>
      <c r="B344" s="61">
        <v>0</v>
      </c>
      <c r="C344" s="43">
        <v>0</v>
      </c>
      <c r="D344" s="42">
        <v>0</v>
      </c>
      <c r="E344" s="42">
        <v>0</v>
      </c>
      <c r="F344" s="42">
        <v>0</v>
      </c>
      <c r="G344" s="42">
        <v>0</v>
      </c>
      <c r="H344" s="42">
        <v>0</v>
      </c>
      <c r="I344" s="44">
        <v>0</v>
      </c>
      <c r="J344" s="43">
        <f t="shared" si="36"/>
        <v>61</v>
      </c>
      <c r="K344" s="42">
        <f t="shared" si="37"/>
        <v>75</v>
      </c>
      <c r="L344" s="42">
        <f t="shared" si="38"/>
        <v>45</v>
      </c>
      <c r="M344" s="42">
        <f t="shared" si="39"/>
        <v>16</v>
      </c>
      <c r="N344" s="42">
        <f t="shared" si="40"/>
        <v>7</v>
      </c>
      <c r="O344" s="42">
        <f t="shared" si="41"/>
        <v>5</v>
      </c>
      <c r="P344" s="44">
        <f t="shared" si="42"/>
        <v>4</v>
      </c>
      <c r="Q344" s="3"/>
      <c r="R344" s="3"/>
    </row>
    <row r="345" spans="1:18" ht="15" thickBot="1" x14ac:dyDescent="0.35">
      <c r="A345" s="60">
        <v>1678</v>
      </c>
      <c r="B345" s="110">
        <v>5</v>
      </c>
      <c r="C345" s="45">
        <v>0</v>
      </c>
      <c r="D345" s="46">
        <v>0</v>
      </c>
      <c r="E345" s="46">
        <v>0</v>
      </c>
      <c r="F345" s="46">
        <v>1</v>
      </c>
      <c r="G345" s="46">
        <v>0</v>
      </c>
      <c r="H345" s="46">
        <v>0</v>
      </c>
      <c r="I345" s="47">
        <v>0</v>
      </c>
      <c r="J345" s="45">
        <f t="shared" si="36"/>
        <v>61</v>
      </c>
      <c r="K345" s="46">
        <f t="shared" si="37"/>
        <v>75</v>
      </c>
      <c r="L345" s="46">
        <f t="shared" si="38"/>
        <v>45</v>
      </c>
      <c r="M345" s="46">
        <f t="shared" si="39"/>
        <v>17</v>
      </c>
      <c r="N345" s="46">
        <f t="shared" si="40"/>
        <v>7</v>
      </c>
      <c r="O345" s="46">
        <f t="shared" si="41"/>
        <v>5</v>
      </c>
      <c r="P345" s="47">
        <f t="shared" si="42"/>
        <v>4</v>
      </c>
      <c r="Q345" s="3"/>
      <c r="R345" s="3"/>
    </row>
    <row r="347" spans="1:18" ht="15" thickBot="1" x14ac:dyDescent="0.35"/>
    <row r="348" spans="1:18" ht="15" thickBot="1" x14ac:dyDescent="0.35">
      <c r="B348" s="48" t="s">
        <v>39</v>
      </c>
      <c r="C348" s="57">
        <v>343</v>
      </c>
    </row>
    <row r="349" spans="1:18" ht="15" thickBot="1" x14ac:dyDescent="0.35"/>
    <row r="350" spans="1:18" ht="15" thickBot="1" x14ac:dyDescent="0.35">
      <c r="B350" s="75" t="s">
        <v>40</v>
      </c>
      <c r="C350" s="76" t="s">
        <v>41</v>
      </c>
      <c r="D350" s="77" t="s">
        <v>60</v>
      </c>
      <c r="E350" s="77" t="s">
        <v>42</v>
      </c>
      <c r="F350" s="76" t="s">
        <v>43</v>
      </c>
      <c r="G350" s="78" t="s">
        <v>44</v>
      </c>
    </row>
    <row r="351" spans="1:18" x14ac:dyDescent="0.3">
      <c r="B351" s="49" t="s">
        <v>32</v>
      </c>
      <c r="C351" s="51">
        <v>3.7</v>
      </c>
      <c r="D351" s="51">
        <v>61</v>
      </c>
      <c r="E351" s="51">
        <f t="shared" ref="E351:E355" si="43">E352+D351</f>
        <v>214</v>
      </c>
      <c r="F351" s="51">
        <f t="shared" ref="F351:F357" si="44">E351/$C$348</f>
        <v>0.62390670553935856</v>
      </c>
      <c r="G351" s="18">
        <f t="shared" ref="G351:G357" si="45">LOG10(F351)</f>
        <v>-0.20488034669357968</v>
      </c>
    </row>
    <row r="352" spans="1:18" x14ac:dyDescent="0.3">
      <c r="B352" s="49" t="s">
        <v>33</v>
      </c>
      <c r="C352" s="51">
        <v>4.2</v>
      </c>
      <c r="D352" s="51">
        <v>75</v>
      </c>
      <c r="E352" s="51">
        <f t="shared" si="43"/>
        <v>153</v>
      </c>
      <c r="F352" s="51">
        <f t="shared" si="44"/>
        <v>0.44606413994169097</v>
      </c>
      <c r="G352" s="18">
        <f t="shared" si="45"/>
        <v>-0.35060268922517168</v>
      </c>
    </row>
    <row r="353" spans="2:7" x14ac:dyDescent="0.3">
      <c r="B353" s="49" t="s">
        <v>34</v>
      </c>
      <c r="C353" s="51">
        <v>4.7</v>
      </c>
      <c r="D353" s="51">
        <v>45</v>
      </c>
      <c r="E353" s="51">
        <f t="shared" si="43"/>
        <v>78</v>
      </c>
      <c r="F353" s="51">
        <f t="shared" si="44"/>
        <v>0.22740524781341107</v>
      </c>
      <c r="G353" s="18">
        <f t="shared" si="45"/>
        <v>-0.64319951735229008</v>
      </c>
    </row>
    <row r="354" spans="2:7" x14ac:dyDescent="0.3">
      <c r="B354" s="49" t="s">
        <v>35</v>
      </c>
      <c r="C354" s="51">
        <v>5.2</v>
      </c>
      <c r="D354" s="51">
        <v>17</v>
      </c>
      <c r="E354" s="51">
        <f t="shared" si="43"/>
        <v>33</v>
      </c>
      <c r="F354" s="51">
        <f t="shared" si="44"/>
        <v>9.6209912536443148E-2</v>
      </c>
      <c r="G354" s="18">
        <f t="shared" si="45"/>
        <v>-1.016780180164883</v>
      </c>
    </row>
    <row r="355" spans="2:7" x14ac:dyDescent="0.3">
      <c r="B355" s="49" t="s">
        <v>36</v>
      </c>
      <c r="C355" s="51">
        <v>5.7</v>
      </c>
      <c r="D355" s="51">
        <v>7</v>
      </c>
      <c r="E355" s="51">
        <f t="shared" si="43"/>
        <v>16</v>
      </c>
      <c r="F355" s="51">
        <f t="shared" si="44"/>
        <v>4.6647230320699708E-2</v>
      </c>
      <c r="G355" s="18">
        <f t="shared" si="45"/>
        <v>-1.3311741373868458</v>
      </c>
    </row>
    <row r="356" spans="2:7" x14ac:dyDescent="0.3">
      <c r="B356" s="49" t="s">
        <v>37</v>
      </c>
      <c r="C356" s="51">
        <v>6.2</v>
      </c>
      <c r="D356" s="51">
        <v>5</v>
      </c>
      <c r="E356" s="51">
        <f>E357+D356</f>
        <v>9</v>
      </c>
      <c r="F356" s="51">
        <f t="shared" si="44"/>
        <v>2.6239067055393587E-2</v>
      </c>
      <c r="G356" s="18">
        <f t="shared" si="45"/>
        <v>-1.5810516106034456</v>
      </c>
    </row>
    <row r="357" spans="2:7" ht="15" thickBot="1" x14ac:dyDescent="0.35">
      <c r="B357" s="50" t="s">
        <v>38</v>
      </c>
      <c r="C357" s="52">
        <v>6.7</v>
      </c>
      <c r="D357" s="52">
        <v>4</v>
      </c>
      <c r="E357" s="52">
        <f>D357</f>
        <v>4</v>
      </c>
      <c r="F357" s="52">
        <f t="shared" si="44"/>
        <v>1.1661807580174927E-2</v>
      </c>
      <c r="G357" s="19">
        <f t="shared" si="45"/>
        <v>-1.933234128714808</v>
      </c>
    </row>
    <row r="358" spans="2:7" ht="26.25" customHeight="1" x14ac:dyDescent="0.3">
      <c r="B358" s="73" t="s">
        <v>379</v>
      </c>
      <c r="C358" s="74" t="s">
        <v>380</v>
      </c>
      <c r="D358" s="3"/>
      <c r="E358" s="3"/>
      <c r="F358" s="3"/>
      <c r="G358" s="3"/>
    </row>
    <row r="359" spans="2:7" x14ac:dyDescent="0.3">
      <c r="B359" s="3"/>
      <c r="C359" s="3"/>
      <c r="D359" s="3"/>
      <c r="E359" s="3"/>
      <c r="F359" s="3"/>
      <c r="G359" s="3"/>
    </row>
    <row r="361" spans="2:7" ht="15" thickBot="1" x14ac:dyDescent="0.35"/>
    <row r="362" spans="2:7" x14ac:dyDescent="0.3">
      <c r="B362" s="53" t="s">
        <v>45</v>
      </c>
      <c r="C362" s="55">
        <v>2.2949999999999999</v>
      </c>
    </row>
    <row r="363" spans="2:7" ht="15" thickBot="1" x14ac:dyDescent="0.35">
      <c r="B363" s="54" t="s">
        <v>46</v>
      </c>
      <c r="C363" s="56">
        <v>0.63</v>
      </c>
    </row>
  </sheetData>
  <mergeCells count="4">
    <mergeCell ref="C1:I1"/>
    <mergeCell ref="J1:P1"/>
    <mergeCell ref="B1:B2"/>
    <mergeCell ref="A1:A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346"/>
  <sheetViews>
    <sheetView workbookViewId="0">
      <selection activeCell="AK10" sqref="AK10"/>
    </sheetView>
  </sheetViews>
  <sheetFormatPr defaultRowHeight="14.4" x14ac:dyDescent="0.3"/>
  <cols>
    <col min="2" max="2" width="11.5546875" customWidth="1"/>
    <col min="3" max="3" width="7" customWidth="1"/>
    <col min="4" max="4" width="7.88671875" customWidth="1"/>
    <col min="5" max="5" width="3.6640625" customWidth="1"/>
    <col min="6" max="7" width="5.6640625" customWidth="1"/>
    <col min="8" max="8" width="3.6640625" customWidth="1"/>
    <col min="9" max="10" width="5.6640625" customWidth="1"/>
    <col min="11" max="11" width="3.6640625" customWidth="1"/>
    <col min="12" max="13" width="5.6640625" customWidth="1"/>
    <col min="14" max="14" width="3.6640625" customWidth="1"/>
    <col min="15" max="16" width="5.6640625" customWidth="1"/>
    <col min="17" max="17" width="3.6640625" customWidth="1"/>
    <col min="18" max="19" width="5.6640625" customWidth="1"/>
    <col min="20" max="20" width="3.6640625" customWidth="1"/>
    <col min="21" max="22" width="5.6640625" customWidth="1"/>
  </cols>
  <sheetData>
    <row r="1" spans="1:37" ht="15" thickBot="1" x14ac:dyDescent="0.35">
      <c r="A1" s="27"/>
      <c r="B1" s="28" t="s">
        <v>47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7"/>
      <c r="R1" s="29"/>
      <c r="S1" s="29"/>
      <c r="T1" s="27"/>
      <c r="U1" s="29"/>
      <c r="V1" s="29"/>
      <c r="W1" s="21"/>
      <c r="X1" s="20"/>
      <c r="Y1" s="20"/>
      <c r="Z1" s="20"/>
      <c r="AA1" s="20"/>
      <c r="AB1" s="20"/>
      <c r="AC1" s="22"/>
      <c r="AD1" s="22"/>
      <c r="AE1" s="22"/>
      <c r="AF1" s="22"/>
      <c r="AG1" s="22"/>
      <c r="AH1" s="22"/>
      <c r="AI1" s="22"/>
      <c r="AJ1" s="22"/>
      <c r="AK1" s="22"/>
    </row>
    <row r="2" spans="1:37" s="3" customFormat="1" ht="15" thickBot="1" x14ac:dyDescent="0.35">
      <c r="A2" s="30"/>
      <c r="B2" s="141" t="s">
        <v>384</v>
      </c>
      <c r="C2" s="141" t="s">
        <v>49</v>
      </c>
      <c r="D2" s="143" t="s">
        <v>59</v>
      </c>
      <c r="E2" s="139" t="s">
        <v>50</v>
      </c>
      <c r="F2" s="137"/>
      <c r="G2" s="140"/>
      <c r="H2" s="136" t="s">
        <v>51</v>
      </c>
      <c r="I2" s="137"/>
      <c r="J2" s="140"/>
      <c r="K2" s="136" t="s">
        <v>52</v>
      </c>
      <c r="L2" s="137"/>
      <c r="M2" s="140"/>
      <c r="N2" s="136" t="s">
        <v>53</v>
      </c>
      <c r="O2" s="137"/>
      <c r="P2" s="140"/>
      <c r="Q2" s="136" t="s">
        <v>54</v>
      </c>
      <c r="R2" s="137"/>
      <c r="S2" s="138"/>
      <c r="T2" s="139" t="s">
        <v>55</v>
      </c>
      <c r="U2" s="137"/>
      <c r="V2" s="138"/>
      <c r="W2" s="23"/>
      <c r="AK2" s="26"/>
    </row>
    <row r="3" spans="1:37" s="3" customFormat="1" ht="15" thickBot="1" x14ac:dyDescent="0.35">
      <c r="A3" s="31" t="s">
        <v>48</v>
      </c>
      <c r="B3" s="142"/>
      <c r="C3" s="142"/>
      <c r="D3" s="144"/>
      <c r="E3" s="35" t="s">
        <v>56</v>
      </c>
      <c r="F3" s="33" t="s">
        <v>57</v>
      </c>
      <c r="G3" s="34" t="s">
        <v>58</v>
      </c>
      <c r="H3" s="32" t="s">
        <v>56</v>
      </c>
      <c r="I3" s="33" t="s">
        <v>57</v>
      </c>
      <c r="J3" s="34" t="s">
        <v>58</v>
      </c>
      <c r="K3" s="32" t="s">
        <v>56</v>
      </c>
      <c r="L3" s="33" t="s">
        <v>57</v>
      </c>
      <c r="M3" s="34" t="s">
        <v>58</v>
      </c>
      <c r="N3" s="32" t="s">
        <v>56</v>
      </c>
      <c r="O3" s="33" t="s">
        <v>57</v>
      </c>
      <c r="P3" s="34" t="s">
        <v>58</v>
      </c>
      <c r="Q3" s="32" t="s">
        <v>56</v>
      </c>
      <c r="R3" s="33" t="s">
        <v>57</v>
      </c>
      <c r="S3" s="34" t="s">
        <v>58</v>
      </c>
      <c r="T3" s="36" t="s">
        <v>56</v>
      </c>
      <c r="U3" s="37" t="s">
        <v>57</v>
      </c>
      <c r="V3" s="34" t="s">
        <v>58</v>
      </c>
      <c r="W3" s="25"/>
      <c r="AK3" s="26"/>
    </row>
    <row r="4" spans="1:37" s="3" customFormat="1" x14ac:dyDescent="0.3">
      <c r="A4" s="38">
        <v>2020</v>
      </c>
      <c r="B4" s="118">
        <f>A4</f>
        <v>2020</v>
      </c>
      <c r="C4" s="30">
        <v>1</v>
      </c>
      <c r="D4" s="119">
        <f>ROUND(1/SQRT(C4),5)</f>
        <v>1</v>
      </c>
      <c r="E4" s="120">
        <v>1</v>
      </c>
      <c r="F4" s="121">
        <f>ROUND(E4/$C4,5)</f>
        <v>1</v>
      </c>
      <c r="G4" s="119">
        <f>ROUND(SQRT(F4)*$D4,5)</f>
        <v>1</v>
      </c>
      <c r="H4" s="120">
        <v>0</v>
      </c>
      <c r="I4" s="121">
        <f>ROUND(H4/$C4,5)</f>
        <v>0</v>
      </c>
      <c r="J4" s="119">
        <f>ROUND(SQRT(I4)*$D4,5)</f>
        <v>0</v>
      </c>
      <c r="K4" s="120">
        <v>3</v>
      </c>
      <c r="L4" s="121">
        <f>ROUND(K4/$C4,5)</f>
        <v>3</v>
      </c>
      <c r="M4" s="119">
        <f>ROUND(SQRT(L4)*$D4,5)</f>
        <v>1.7320500000000001</v>
      </c>
      <c r="N4" s="120">
        <v>0</v>
      </c>
      <c r="O4" s="121">
        <f>ROUND(N4/$C4,5)</f>
        <v>0</v>
      </c>
      <c r="P4" s="119">
        <f>ROUND(SQRT(O4)*$D4,5)</f>
        <v>0</v>
      </c>
      <c r="Q4" s="120">
        <v>0</v>
      </c>
      <c r="R4" s="121">
        <f>ROUND(Q4/$C4,5)</f>
        <v>0</v>
      </c>
      <c r="S4" s="119">
        <f>ROUND(SQRT(R4)*$D4,5)</f>
        <v>0</v>
      </c>
      <c r="T4" s="120">
        <v>0</v>
      </c>
      <c r="U4" s="121">
        <f>ROUND(T4/$C4,5)</f>
        <v>0</v>
      </c>
      <c r="V4" s="119">
        <f>ROUND(SQRT(U4)*$D4,5)</f>
        <v>0</v>
      </c>
      <c r="W4" s="24"/>
      <c r="AK4" s="26"/>
    </row>
    <row r="5" spans="1:37" s="3" customFormat="1" x14ac:dyDescent="0.3">
      <c r="A5" s="38">
        <v>2019</v>
      </c>
      <c r="B5" s="122" t="str">
        <f>A5&amp;"-2020"</f>
        <v>2019-2020</v>
      </c>
      <c r="C5" s="123">
        <v>2</v>
      </c>
      <c r="D5" s="124">
        <f t="shared" ref="D5:D6" si="0">ROUND(1/SQRT(C5),5)</f>
        <v>0.70711000000000002</v>
      </c>
      <c r="E5" s="125">
        <v>9</v>
      </c>
      <c r="F5" s="126">
        <f t="shared" ref="F5:F68" si="1">ROUND(E5/$C5,5)</f>
        <v>4.5</v>
      </c>
      <c r="G5" s="124">
        <f t="shared" ref="G5:G68" si="2">ROUND(SQRT(F5)*$D5,5)</f>
        <v>1.5000100000000001</v>
      </c>
      <c r="H5" s="125">
        <v>0</v>
      </c>
      <c r="I5" s="126">
        <f t="shared" ref="I5:I68" si="3">ROUND(H5/$C5,5)</f>
        <v>0</v>
      </c>
      <c r="J5" s="124">
        <f t="shared" ref="J5:J68" si="4">ROUND(SQRT(I5)*$D5,5)</f>
        <v>0</v>
      </c>
      <c r="K5" s="125">
        <v>7</v>
      </c>
      <c r="L5" s="126">
        <f t="shared" ref="L5:L68" si="5">ROUND(K5/$C5,5)</f>
        <v>3.5</v>
      </c>
      <c r="M5" s="124">
        <f t="shared" ref="M5:M68" si="6">ROUND(SQRT(L5)*$D5,5)</f>
        <v>1.3228800000000001</v>
      </c>
      <c r="N5" s="125">
        <v>0</v>
      </c>
      <c r="O5" s="126">
        <f t="shared" ref="O5:O68" si="7">ROUND(N5/$C5,5)</f>
        <v>0</v>
      </c>
      <c r="P5" s="124">
        <f t="shared" ref="P5:P68" si="8">ROUND(SQRT(O5)*$D5,5)</f>
        <v>0</v>
      </c>
      <c r="Q5" s="125">
        <v>0</v>
      </c>
      <c r="R5" s="126">
        <f t="shared" ref="R5:R68" si="9">ROUND(Q5/$C5,5)</f>
        <v>0</v>
      </c>
      <c r="S5" s="124">
        <f t="shared" ref="S5:S68" si="10">ROUND(SQRT(R5)*$D5,5)</f>
        <v>0</v>
      </c>
      <c r="T5" s="125">
        <v>0</v>
      </c>
      <c r="U5" s="126">
        <f t="shared" ref="U5:U68" si="11">ROUND(T5/$C5,5)</f>
        <v>0</v>
      </c>
      <c r="V5" s="124">
        <f t="shared" ref="V5:V68" si="12">ROUND(SQRT(U5)*$D5,5)</f>
        <v>0</v>
      </c>
      <c r="W5" s="24"/>
      <c r="AK5" s="26"/>
    </row>
    <row r="6" spans="1:37" s="3" customFormat="1" x14ac:dyDescent="0.3">
      <c r="A6" s="38">
        <v>2018</v>
      </c>
      <c r="B6" s="122" t="str">
        <f t="shared" ref="B6:B69" si="13">A6&amp;"-2020"</f>
        <v>2018-2020</v>
      </c>
      <c r="C6" s="127">
        <v>3</v>
      </c>
      <c r="D6" s="128">
        <f t="shared" si="0"/>
        <v>0.57735000000000003</v>
      </c>
      <c r="E6" s="125">
        <v>12</v>
      </c>
      <c r="F6" s="126">
        <f t="shared" si="1"/>
        <v>4</v>
      </c>
      <c r="G6" s="124">
        <f t="shared" si="2"/>
        <v>1.1547000000000001</v>
      </c>
      <c r="H6" s="125">
        <v>1</v>
      </c>
      <c r="I6" s="126">
        <f t="shared" si="3"/>
        <v>0.33333000000000002</v>
      </c>
      <c r="J6" s="124">
        <f t="shared" si="4"/>
        <v>0.33333000000000002</v>
      </c>
      <c r="K6" s="125">
        <v>7</v>
      </c>
      <c r="L6" s="126">
        <f t="shared" si="5"/>
        <v>2.3333300000000001</v>
      </c>
      <c r="M6" s="124">
        <f t="shared" si="6"/>
        <v>0.88192000000000004</v>
      </c>
      <c r="N6" s="125">
        <v>0</v>
      </c>
      <c r="O6" s="126">
        <f t="shared" si="7"/>
        <v>0</v>
      </c>
      <c r="P6" s="124">
        <f t="shared" si="8"/>
        <v>0</v>
      </c>
      <c r="Q6" s="125">
        <v>0</v>
      </c>
      <c r="R6" s="126">
        <f t="shared" si="9"/>
        <v>0</v>
      </c>
      <c r="S6" s="124">
        <f t="shared" si="10"/>
        <v>0</v>
      </c>
      <c r="T6" s="125">
        <v>0</v>
      </c>
      <c r="U6" s="126">
        <f t="shared" si="11"/>
        <v>0</v>
      </c>
      <c r="V6" s="124">
        <f t="shared" si="12"/>
        <v>0</v>
      </c>
      <c r="W6" s="24"/>
      <c r="X6" s="20"/>
      <c r="Y6" s="20"/>
      <c r="Z6" s="20"/>
      <c r="AA6" s="20"/>
      <c r="AB6" s="20"/>
      <c r="AC6" s="26"/>
      <c r="AD6" s="26"/>
      <c r="AE6" s="26"/>
      <c r="AF6" s="26"/>
      <c r="AG6" s="26"/>
      <c r="AH6" s="26"/>
      <c r="AI6" s="26"/>
      <c r="AJ6" s="26"/>
      <c r="AK6" s="26"/>
    </row>
    <row r="7" spans="1:37" s="3" customFormat="1" x14ac:dyDescent="0.3">
      <c r="A7" s="38">
        <v>2017</v>
      </c>
      <c r="B7" s="122" t="str">
        <f t="shared" si="13"/>
        <v>2017-2020</v>
      </c>
      <c r="C7" s="123">
        <v>4</v>
      </c>
      <c r="D7" s="124">
        <f t="shared" ref="D7:D70" si="14">ROUND(1/SQRT(C7),5)</f>
        <v>0.5</v>
      </c>
      <c r="E7" s="125">
        <v>14</v>
      </c>
      <c r="F7" s="126">
        <f t="shared" si="1"/>
        <v>3.5</v>
      </c>
      <c r="G7" s="124">
        <f t="shared" si="2"/>
        <v>0.93540999999999996</v>
      </c>
      <c r="H7" s="125">
        <v>1</v>
      </c>
      <c r="I7" s="126">
        <f t="shared" si="3"/>
        <v>0.25</v>
      </c>
      <c r="J7" s="124">
        <f t="shared" si="4"/>
        <v>0.25</v>
      </c>
      <c r="K7" s="125">
        <v>9</v>
      </c>
      <c r="L7" s="126">
        <f t="shared" si="5"/>
        <v>2.25</v>
      </c>
      <c r="M7" s="124">
        <f t="shared" si="6"/>
        <v>0.75</v>
      </c>
      <c r="N7" s="125">
        <v>0</v>
      </c>
      <c r="O7" s="126">
        <f t="shared" si="7"/>
        <v>0</v>
      </c>
      <c r="P7" s="124">
        <f t="shared" si="8"/>
        <v>0</v>
      </c>
      <c r="Q7" s="125">
        <v>0</v>
      </c>
      <c r="R7" s="126">
        <f t="shared" si="9"/>
        <v>0</v>
      </c>
      <c r="S7" s="124">
        <f t="shared" si="10"/>
        <v>0</v>
      </c>
      <c r="T7" s="125">
        <v>0</v>
      </c>
      <c r="U7" s="126">
        <f t="shared" si="11"/>
        <v>0</v>
      </c>
      <c r="V7" s="124">
        <f t="shared" si="12"/>
        <v>0</v>
      </c>
      <c r="W7" s="24"/>
      <c r="X7" s="20"/>
      <c r="Y7" s="20"/>
      <c r="Z7" s="20"/>
      <c r="AA7" s="20"/>
      <c r="AB7" s="20"/>
      <c r="AC7" s="26"/>
      <c r="AD7" s="26"/>
      <c r="AE7" s="26"/>
      <c r="AF7" s="26"/>
      <c r="AG7" s="26"/>
      <c r="AH7" s="26"/>
      <c r="AI7" s="26"/>
      <c r="AJ7" s="26"/>
      <c r="AK7" s="26"/>
    </row>
    <row r="8" spans="1:37" s="3" customFormat="1" x14ac:dyDescent="0.3">
      <c r="A8" s="38">
        <v>2016</v>
      </c>
      <c r="B8" s="122" t="str">
        <f t="shared" si="13"/>
        <v>2016-2020</v>
      </c>
      <c r="C8" s="127">
        <v>5</v>
      </c>
      <c r="D8" s="128">
        <f t="shared" si="14"/>
        <v>0.44721</v>
      </c>
      <c r="E8" s="125">
        <v>15</v>
      </c>
      <c r="F8" s="126">
        <f t="shared" si="1"/>
        <v>3</v>
      </c>
      <c r="G8" s="124">
        <f t="shared" si="2"/>
        <v>0.77459</v>
      </c>
      <c r="H8" s="125">
        <v>6</v>
      </c>
      <c r="I8" s="126">
        <f t="shared" si="3"/>
        <v>1.2</v>
      </c>
      <c r="J8" s="124">
        <f t="shared" si="4"/>
        <v>0.48988999999999999</v>
      </c>
      <c r="K8" s="125">
        <v>10</v>
      </c>
      <c r="L8" s="126">
        <f t="shared" si="5"/>
        <v>2</v>
      </c>
      <c r="M8" s="124">
        <f t="shared" si="6"/>
        <v>0.63244999999999996</v>
      </c>
      <c r="N8" s="125">
        <v>0</v>
      </c>
      <c r="O8" s="126">
        <f t="shared" si="7"/>
        <v>0</v>
      </c>
      <c r="P8" s="124">
        <f t="shared" si="8"/>
        <v>0</v>
      </c>
      <c r="Q8" s="125">
        <v>0</v>
      </c>
      <c r="R8" s="126">
        <f t="shared" si="9"/>
        <v>0</v>
      </c>
      <c r="S8" s="124">
        <f t="shared" si="10"/>
        <v>0</v>
      </c>
      <c r="T8" s="125">
        <v>0</v>
      </c>
      <c r="U8" s="126">
        <f t="shared" si="11"/>
        <v>0</v>
      </c>
      <c r="V8" s="124">
        <f t="shared" si="12"/>
        <v>0</v>
      </c>
      <c r="W8" s="24"/>
      <c r="X8" s="20"/>
      <c r="Y8" s="20"/>
      <c r="Z8" s="20"/>
      <c r="AA8" s="20"/>
      <c r="AB8" s="20"/>
      <c r="AC8" s="26"/>
      <c r="AD8" s="26"/>
      <c r="AE8" s="26"/>
      <c r="AF8" s="26"/>
      <c r="AG8" s="26"/>
      <c r="AH8" s="26"/>
      <c r="AI8" s="26"/>
      <c r="AJ8" s="26"/>
      <c r="AK8" s="26"/>
    </row>
    <row r="9" spans="1:37" s="3" customFormat="1" x14ac:dyDescent="0.3">
      <c r="A9" s="38">
        <v>2015</v>
      </c>
      <c r="B9" s="122" t="str">
        <f t="shared" si="13"/>
        <v>2015-2020</v>
      </c>
      <c r="C9" s="123">
        <v>6</v>
      </c>
      <c r="D9" s="124">
        <f t="shared" si="14"/>
        <v>0.40825</v>
      </c>
      <c r="E9" s="125">
        <v>16</v>
      </c>
      <c r="F9" s="126">
        <f t="shared" si="1"/>
        <v>2.6666699999999999</v>
      </c>
      <c r="G9" s="124">
        <f t="shared" si="2"/>
        <v>0.66666999999999998</v>
      </c>
      <c r="H9" s="125">
        <v>7</v>
      </c>
      <c r="I9" s="126">
        <f t="shared" si="3"/>
        <v>1.1666700000000001</v>
      </c>
      <c r="J9" s="124">
        <f t="shared" si="4"/>
        <v>0.44096000000000002</v>
      </c>
      <c r="K9" s="125">
        <v>11</v>
      </c>
      <c r="L9" s="126">
        <f t="shared" si="5"/>
        <v>1.8333299999999999</v>
      </c>
      <c r="M9" s="124">
        <f t="shared" si="6"/>
        <v>0.55276999999999998</v>
      </c>
      <c r="N9" s="125">
        <v>0</v>
      </c>
      <c r="O9" s="126">
        <f t="shared" si="7"/>
        <v>0</v>
      </c>
      <c r="P9" s="124">
        <f t="shared" si="8"/>
        <v>0</v>
      </c>
      <c r="Q9" s="125">
        <v>0</v>
      </c>
      <c r="R9" s="126">
        <f t="shared" si="9"/>
        <v>0</v>
      </c>
      <c r="S9" s="124">
        <f t="shared" si="10"/>
        <v>0</v>
      </c>
      <c r="T9" s="125">
        <v>0</v>
      </c>
      <c r="U9" s="126">
        <f t="shared" si="11"/>
        <v>0</v>
      </c>
      <c r="V9" s="124">
        <f t="shared" si="12"/>
        <v>0</v>
      </c>
      <c r="W9" s="24"/>
      <c r="X9" s="20"/>
      <c r="Y9" s="20"/>
      <c r="Z9" s="20"/>
      <c r="AA9" s="20"/>
      <c r="AB9" s="20"/>
      <c r="AC9" s="26"/>
      <c r="AD9" s="26"/>
      <c r="AE9" s="26"/>
      <c r="AF9" s="26"/>
      <c r="AG9" s="26"/>
      <c r="AH9" s="26"/>
      <c r="AI9" s="26"/>
      <c r="AJ9" s="26"/>
      <c r="AK9" s="26"/>
    </row>
    <row r="10" spans="1:37" s="3" customFormat="1" x14ac:dyDescent="0.3">
      <c r="A10" s="38">
        <v>2014</v>
      </c>
      <c r="B10" s="122" t="str">
        <f t="shared" si="13"/>
        <v>2014-2020</v>
      </c>
      <c r="C10" s="127">
        <v>7</v>
      </c>
      <c r="D10" s="128">
        <f t="shared" si="14"/>
        <v>0.37796000000000002</v>
      </c>
      <c r="E10" s="125">
        <v>16</v>
      </c>
      <c r="F10" s="126">
        <f t="shared" si="1"/>
        <v>2.2857099999999999</v>
      </c>
      <c r="G10" s="124">
        <f t="shared" si="2"/>
        <v>0.57142000000000004</v>
      </c>
      <c r="H10" s="125">
        <v>12</v>
      </c>
      <c r="I10" s="126">
        <f t="shared" si="3"/>
        <v>1.7142900000000001</v>
      </c>
      <c r="J10" s="124">
        <f t="shared" si="4"/>
        <v>0.49486999999999998</v>
      </c>
      <c r="K10" s="125">
        <v>11</v>
      </c>
      <c r="L10" s="126">
        <f t="shared" si="5"/>
        <v>1.5714300000000001</v>
      </c>
      <c r="M10" s="124">
        <f t="shared" si="6"/>
        <v>0.4738</v>
      </c>
      <c r="N10" s="125">
        <v>0</v>
      </c>
      <c r="O10" s="126">
        <f t="shared" si="7"/>
        <v>0</v>
      </c>
      <c r="P10" s="124">
        <f t="shared" si="8"/>
        <v>0</v>
      </c>
      <c r="Q10" s="125">
        <v>0</v>
      </c>
      <c r="R10" s="126">
        <f t="shared" si="9"/>
        <v>0</v>
      </c>
      <c r="S10" s="124">
        <f t="shared" si="10"/>
        <v>0</v>
      </c>
      <c r="T10" s="125">
        <v>0</v>
      </c>
      <c r="U10" s="126">
        <f t="shared" si="11"/>
        <v>0</v>
      </c>
      <c r="V10" s="124">
        <f t="shared" si="12"/>
        <v>0</v>
      </c>
    </row>
    <row r="11" spans="1:37" s="3" customFormat="1" x14ac:dyDescent="0.3">
      <c r="A11" s="38">
        <v>2013</v>
      </c>
      <c r="B11" s="122" t="str">
        <f t="shared" si="13"/>
        <v>2013-2020</v>
      </c>
      <c r="C11" s="123">
        <v>8</v>
      </c>
      <c r="D11" s="124">
        <f t="shared" si="14"/>
        <v>0.35354999999999998</v>
      </c>
      <c r="E11" s="125">
        <v>18</v>
      </c>
      <c r="F11" s="126">
        <f t="shared" si="1"/>
        <v>2.25</v>
      </c>
      <c r="G11" s="124">
        <f t="shared" si="2"/>
        <v>0.53032999999999997</v>
      </c>
      <c r="H11" s="125">
        <v>14</v>
      </c>
      <c r="I11" s="126">
        <f t="shared" si="3"/>
        <v>1.75</v>
      </c>
      <c r="J11" s="124">
        <f t="shared" si="4"/>
        <v>0.4677</v>
      </c>
      <c r="K11" s="125">
        <v>12</v>
      </c>
      <c r="L11" s="126">
        <f t="shared" si="5"/>
        <v>1.5</v>
      </c>
      <c r="M11" s="124">
        <f t="shared" si="6"/>
        <v>0.43301000000000001</v>
      </c>
      <c r="N11" s="125">
        <v>0</v>
      </c>
      <c r="O11" s="126">
        <f t="shared" si="7"/>
        <v>0</v>
      </c>
      <c r="P11" s="124">
        <f t="shared" si="8"/>
        <v>0</v>
      </c>
      <c r="Q11" s="125">
        <v>0</v>
      </c>
      <c r="R11" s="126">
        <f t="shared" si="9"/>
        <v>0</v>
      </c>
      <c r="S11" s="124">
        <f t="shared" si="10"/>
        <v>0</v>
      </c>
      <c r="T11" s="125">
        <v>0</v>
      </c>
      <c r="U11" s="126">
        <f t="shared" si="11"/>
        <v>0</v>
      </c>
      <c r="V11" s="124">
        <f t="shared" si="12"/>
        <v>0</v>
      </c>
    </row>
    <row r="12" spans="1:37" s="3" customFormat="1" x14ac:dyDescent="0.3">
      <c r="A12" s="38">
        <v>2012</v>
      </c>
      <c r="B12" s="122" t="str">
        <f t="shared" si="13"/>
        <v>2012-2020</v>
      </c>
      <c r="C12" s="127">
        <v>9</v>
      </c>
      <c r="D12" s="128">
        <f t="shared" si="14"/>
        <v>0.33333000000000002</v>
      </c>
      <c r="E12" s="125">
        <v>19</v>
      </c>
      <c r="F12" s="126">
        <f t="shared" si="1"/>
        <v>2.11111</v>
      </c>
      <c r="G12" s="124">
        <f t="shared" si="2"/>
        <v>0.48431999999999997</v>
      </c>
      <c r="H12" s="125">
        <v>17</v>
      </c>
      <c r="I12" s="126">
        <f t="shared" si="3"/>
        <v>1.88889</v>
      </c>
      <c r="J12" s="124">
        <f t="shared" si="4"/>
        <v>0.45812000000000003</v>
      </c>
      <c r="K12" s="125">
        <v>12</v>
      </c>
      <c r="L12" s="126">
        <f t="shared" si="5"/>
        <v>1.3333299999999999</v>
      </c>
      <c r="M12" s="124">
        <f t="shared" si="6"/>
        <v>0.38490000000000002</v>
      </c>
      <c r="N12" s="125">
        <v>0</v>
      </c>
      <c r="O12" s="126">
        <f t="shared" si="7"/>
        <v>0</v>
      </c>
      <c r="P12" s="124">
        <f t="shared" si="8"/>
        <v>0</v>
      </c>
      <c r="Q12" s="125">
        <v>0</v>
      </c>
      <c r="R12" s="126">
        <f t="shared" si="9"/>
        <v>0</v>
      </c>
      <c r="S12" s="124">
        <f t="shared" si="10"/>
        <v>0</v>
      </c>
      <c r="T12" s="125">
        <v>0</v>
      </c>
      <c r="U12" s="126">
        <f t="shared" si="11"/>
        <v>0</v>
      </c>
      <c r="V12" s="124">
        <f t="shared" si="12"/>
        <v>0</v>
      </c>
    </row>
    <row r="13" spans="1:37" s="3" customFormat="1" x14ac:dyDescent="0.3">
      <c r="A13" s="38">
        <v>2011</v>
      </c>
      <c r="B13" s="122" t="str">
        <f t="shared" si="13"/>
        <v>2011-2020</v>
      </c>
      <c r="C13" s="123">
        <v>10</v>
      </c>
      <c r="D13" s="124">
        <f t="shared" si="14"/>
        <v>0.31623000000000001</v>
      </c>
      <c r="E13" s="125">
        <v>19</v>
      </c>
      <c r="F13" s="126">
        <f t="shared" si="1"/>
        <v>1.9</v>
      </c>
      <c r="G13" s="124">
        <f t="shared" si="2"/>
        <v>0.43589</v>
      </c>
      <c r="H13" s="125">
        <v>18</v>
      </c>
      <c r="I13" s="126">
        <f t="shared" si="3"/>
        <v>1.8</v>
      </c>
      <c r="J13" s="124">
        <f t="shared" si="4"/>
        <v>0.42426999999999998</v>
      </c>
      <c r="K13" s="125">
        <v>12</v>
      </c>
      <c r="L13" s="126">
        <f t="shared" si="5"/>
        <v>1.2</v>
      </c>
      <c r="M13" s="124">
        <f t="shared" si="6"/>
        <v>0.34641</v>
      </c>
      <c r="N13" s="125">
        <v>0</v>
      </c>
      <c r="O13" s="126">
        <f t="shared" si="7"/>
        <v>0</v>
      </c>
      <c r="P13" s="124">
        <f t="shared" si="8"/>
        <v>0</v>
      </c>
      <c r="Q13" s="125">
        <v>0</v>
      </c>
      <c r="R13" s="126">
        <f t="shared" si="9"/>
        <v>0</v>
      </c>
      <c r="S13" s="124">
        <f t="shared" si="10"/>
        <v>0</v>
      </c>
      <c r="T13" s="125">
        <v>0</v>
      </c>
      <c r="U13" s="126">
        <f t="shared" si="11"/>
        <v>0</v>
      </c>
      <c r="V13" s="124">
        <f t="shared" si="12"/>
        <v>0</v>
      </c>
    </row>
    <row r="14" spans="1:37" s="3" customFormat="1" x14ac:dyDescent="0.3">
      <c r="A14" s="38">
        <v>2010</v>
      </c>
      <c r="B14" s="122" t="str">
        <f t="shared" si="13"/>
        <v>2010-2020</v>
      </c>
      <c r="C14" s="127">
        <v>11</v>
      </c>
      <c r="D14" s="128">
        <f t="shared" si="14"/>
        <v>0.30151</v>
      </c>
      <c r="E14" s="125">
        <v>20</v>
      </c>
      <c r="F14" s="126">
        <f t="shared" si="1"/>
        <v>1.8181799999999999</v>
      </c>
      <c r="G14" s="124">
        <f t="shared" si="2"/>
        <v>0.40655999999999998</v>
      </c>
      <c r="H14" s="125">
        <v>20</v>
      </c>
      <c r="I14" s="126">
        <f t="shared" si="3"/>
        <v>1.8181799999999999</v>
      </c>
      <c r="J14" s="124">
        <f t="shared" si="4"/>
        <v>0.40655999999999998</v>
      </c>
      <c r="K14" s="125">
        <v>14</v>
      </c>
      <c r="L14" s="126">
        <f t="shared" si="5"/>
        <v>1.2727299999999999</v>
      </c>
      <c r="M14" s="124">
        <f t="shared" si="6"/>
        <v>0.34015000000000001</v>
      </c>
      <c r="N14" s="125">
        <v>1</v>
      </c>
      <c r="O14" s="126">
        <f t="shared" si="7"/>
        <v>9.0910000000000005E-2</v>
      </c>
      <c r="P14" s="124">
        <f t="shared" si="8"/>
        <v>9.0910000000000005E-2</v>
      </c>
      <c r="Q14" s="125">
        <v>0</v>
      </c>
      <c r="R14" s="126">
        <f t="shared" si="9"/>
        <v>0</v>
      </c>
      <c r="S14" s="124">
        <f t="shared" si="10"/>
        <v>0</v>
      </c>
      <c r="T14" s="125">
        <v>0</v>
      </c>
      <c r="U14" s="126">
        <f t="shared" si="11"/>
        <v>0</v>
      </c>
      <c r="V14" s="124">
        <f t="shared" si="12"/>
        <v>0</v>
      </c>
    </row>
    <row r="15" spans="1:37" s="3" customFormat="1" x14ac:dyDescent="0.3">
      <c r="A15" s="38">
        <v>2009</v>
      </c>
      <c r="B15" s="122" t="str">
        <f t="shared" si="13"/>
        <v>2009-2020</v>
      </c>
      <c r="C15" s="123">
        <v>12</v>
      </c>
      <c r="D15" s="124">
        <f t="shared" si="14"/>
        <v>0.28867999999999999</v>
      </c>
      <c r="E15" s="125">
        <v>20</v>
      </c>
      <c r="F15" s="126">
        <f t="shared" si="1"/>
        <v>1.6666700000000001</v>
      </c>
      <c r="G15" s="124">
        <f t="shared" si="2"/>
        <v>0.37268000000000001</v>
      </c>
      <c r="H15" s="125">
        <v>21</v>
      </c>
      <c r="I15" s="126">
        <f t="shared" si="3"/>
        <v>1.75</v>
      </c>
      <c r="J15" s="124">
        <f t="shared" si="4"/>
        <v>0.38189000000000001</v>
      </c>
      <c r="K15" s="125">
        <v>15</v>
      </c>
      <c r="L15" s="126">
        <f t="shared" si="5"/>
        <v>1.25</v>
      </c>
      <c r="M15" s="124">
        <f t="shared" si="6"/>
        <v>0.32274999999999998</v>
      </c>
      <c r="N15" s="125">
        <v>1</v>
      </c>
      <c r="O15" s="126">
        <f t="shared" si="7"/>
        <v>8.3330000000000001E-2</v>
      </c>
      <c r="P15" s="124">
        <f t="shared" si="8"/>
        <v>8.3330000000000001E-2</v>
      </c>
      <c r="Q15" s="125">
        <v>0</v>
      </c>
      <c r="R15" s="126">
        <f t="shared" si="9"/>
        <v>0</v>
      </c>
      <c r="S15" s="124">
        <f t="shared" si="10"/>
        <v>0</v>
      </c>
      <c r="T15" s="125">
        <v>0</v>
      </c>
      <c r="U15" s="126">
        <f t="shared" si="11"/>
        <v>0</v>
      </c>
      <c r="V15" s="124">
        <f t="shared" si="12"/>
        <v>0</v>
      </c>
    </row>
    <row r="16" spans="1:37" s="3" customFormat="1" x14ac:dyDescent="0.3">
      <c r="A16" s="38">
        <v>2008</v>
      </c>
      <c r="B16" s="122" t="str">
        <f t="shared" si="13"/>
        <v>2008-2020</v>
      </c>
      <c r="C16" s="127">
        <v>13</v>
      </c>
      <c r="D16" s="128">
        <f t="shared" si="14"/>
        <v>0.27734999999999999</v>
      </c>
      <c r="E16" s="125">
        <v>22</v>
      </c>
      <c r="F16" s="126">
        <f t="shared" si="1"/>
        <v>1.69231</v>
      </c>
      <c r="G16" s="124">
        <f t="shared" si="2"/>
        <v>0.36080000000000001</v>
      </c>
      <c r="H16" s="125">
        <v>25</v>
      </c>
      <c r="I16" s="126">
        <f t="shared" si="3"/>
        <v>1.9230799999999999</v>
      </c>
      <c r="J16" s="124">
        <f t="shared" si="4"/>
        <v>0.38462000000000002</v>
      </c>
      <c r="K16" s="125">
        <v>15</v>
      </c>
      <c r="L16" s="126">
        <f t="shared" si="5"/>
        <v>1.15385</v>
      </c>
      <c r="M16" s="124">
        <f t="shared" si="6"/>
        <v>0.29792000000000002</v>
      </c>
      <c r="N16" s="125">
        <v>1</v>
      </c>
      <c r="O16" s="126">
        <f t="shared" si="7"/>
        <v>7.6920000000000002E-2</v>
      </c>
      <c r="P16" s="124">
        <f t="shared" si="8"/>
        <v>7.6920000000000002E-2</v>
      </c>
      <c r="Q16" s="125">
        <v>0</v>
      </c>
      <c r="R16" s="126">
        <f t="shared" si="9"/>
        <v>0</v>
      </c>
      <c r="S16" s="124">
        <f t="shared" si="10"/>
        <v>0</v>
      </c>
      <c r="T16" s="125">
        <v>1</v>
      </c>
      <c r="U16" s="126">
        <f t="shared" si="11"/>
        <v>7.6920000000000002E-2</v>
      </c>
      <c r="V16" s="124">
        <f t="shared" si="12"/>
        <v>7.6920000000000002E-2</v>
      </c>
    </row>
    <row r="17" spans="1:22" s="3" customFormat="1" x14ac:dyDescent="0.3">
      <c r="A17" s="38">
        <v>2007</v>
      </c>
      <c r="B17" s="122" t="str">
        <f t="shared" si="13"/>
        <v>2007-2020</v>
      </c>
      <c r="C17" s="123">
        <v>14</v>
      </c>
      <c r="D17" s="124">
        <f t="shared" si="14"/>
        <v>0.26726</v>
      </c>
      <c r="E17" s="125">
        <v>22</v>
      </c>
      <c r="F17" s="126">
        <f t="shared" si="1"/>
        <v>1.5714300000000001</v>
      </c>
      <c r="G17" s="124">
        <f t="shared" si="2"/>
        <v>0.33502999999999999</v>
      </c>
      <c r="H17" s="125">
        <v>26</v>
      </c>
      <c r="I17" s="126">
        <f t="shared" si="3"/>
        <v>1.85714</v>
      </c>
      <c r="J17" s="124">
        <f t="shared" si="4"/>
        <v>0.36420999999999998</v>
      </c>
      <c r="K17" s="125">
        <v>16</v>
      </c>
      <c r="L17" s="126">
        <f t="shared" si="5"/>
        <v>1.14286</v>
      </c>
      <c r="M17" s="124">
        <f t="shared" si="6"/>
        <v>0.28571000000000002</v>
      </c>
      <c r="N17" s="125">
        <v>1</v>
      </c>
      <c r="O17" s="126">
        <f t="shared" si="7"/>
        <v>7.1429999999999993E-2</v>
      </c>
      <c r="P17" s="124">
        <f t="shared" si="8"/>
        <v>7.1429999999999993E-2</v>
      </c>
      <c r="Q17" s="125">
        <v>0</v>
      </c>
      <c r="R17" s="126">
        <f t="shared" si="9"/>
        <v>0</v>
      </c>
      <c r="S17" s="124">
        <f t="shared" si="10"/>
        <v>0</v>
      </c>
      <c r="T17" s="125">
        <v>1</v>
      </c>
      <c r="U17" s="126">
        <f t="shared" si="11"/>
        <v>7.1429999999999993E-2</v>
      </c>
      <c r="V17" s="124">
        <f t="shared" si="12"/>
        <v>7.1429999999999993E-2</v>
      </c>
    </row>
    <row r="18" spans="1:22" s="3" customFormat="1" x14ac:dyDescent="0.3">
      <c r="A18" s="38">
        <v>2006</v>
      </c>
      <c r="B18" s="122" t="str">
        <f t="shared" si="13"/>
        <v>2006-2020</v>
      </c>
      <c r="C18" s="127">
        <v>15</v>
      </c>
      <c r="D18" s="128">
        <f t="shared" si="14"/>
        <v>0.25819999999999999</v>
      </c>
      <c r="E18" s="125">
        <v>23</v>
      </c>
      <c r="F18" s="126">
        <f t="shared" si="1"/>
        <v>1.5333300000000001</v>
      </c>
      <c r="G18" s="124">
        <f t="shared" si="2"/>
        <v>0.31972</v>
      </c>
      <c r="H18" s="125">
        <v>29</v>
      </c>
      <c r="I18" s="126">
        <f t="shared" si="3"/>
        <v>1.93333</v>
      </c>
      <c r="J18" s="124">
        <f t="shared" si="4"/>
        <v>0.35901</v>
      </c>
      <c r="K18" s="125">
        <v>18</v>
      </c>
      <c r="L18" s="126">
        <f t="shared" si="5"/>
        <v>1.2</v>
      </c>
      <c r="M18" s="124">
        <f t="shared" si="6"/>
        <v>0.28283999999999998</v>
      </c>
      <c r="N18" s="125">
        <v>1</v>
      </c>
      <c r="O18" s="126">
        <f t="shared" si="7"/>
        <v>6.6669999999999993E-2</v>
      </c>
      <c r="P18" s="124">
        <f t="shared" si="8"/>
        <v>6.6669999999999993E-2</v>
      </c>
      <c r="Q18" s="125">
        <v>0</v>
      </c>
      <c r="R18" s="126">
        <f t="shared" si="9"/>
        <v>0</v>
      </c>
      <c r="S18" s="124">
        <f t="shared" si="10"/>
        <v>0</v>
      </c>
      <c r="T18" s="125">
        <v>1</v>
      </c>
      <c r="U18" s="126">
        <f t="shared" si="11"/>
        <v>6.6669999999999993E-2</v>
      </c>
      <c r="V18" s="124">
        <f t="shared" si="12"/>
        <v>6.6669999999999993E-2</v>
      </c>
    </row>
    <row r="19" spans="1:22" s="3" customFormat="1" x14ac:dyDescent="0.3">
      <c r="A19" s="38">
        <v>2005</v>
      </c>
      <c r="B19" s="122" t="str">
        <f t="shared" si="13"/>
        <v>2005-2020</v>
      </c>
      <c r="C19" s="123">
        <v>16</v>
      </c>
      <c r="D19" s="124">
        <f t="shared" si="14"/>
        <v>0.25</v>
      </c>
      <c r="E19" s="125">
        <v>27</v>
      </c>
      <c r="F19" s="126">
        <f t="shared" si="1"/>
        <v>1.6875</v>
      </c>
      <c r="G19" s="124">
        <f t="shared" si="2"/>
        <v>0.32475999999999999</v>
      </c>
      <c r="H19" s="125">
        <v>35</v>
      </c>
      <c r="I19" s="126">
        <f t="shared" si="3"/>
        <v>2.1875</v>
      </c>
      <c r="J19" s="124">
        <f t="shared" si="4"/>
        <v>0.36975000000000002</v>
      </c>
      <c r="K19" s="125">
        <v>18</v>
      </c>
      <c r="L19" s="126">
        <f t="shared" si="5"/>
        <v>1.125</v>
      </c>
      <c r="M19" s="124">
        <f t="shared" si="6"/>
        <v>0.26517000000000002</v>
      </c>
      <c r="N19" s="125">
        <v>1</v>
      </c>
      <c r="O19" s="126">
        <f t="shared" si="7"/>
        <v>6.25E-2</v>
      </c>
      <c r="P19" s="124">
        <f t="shared" si="8"/>
        <v>6.25E-2</v>
      </c>
      <c r="Q19" s="125">
        <v>0</v>
      </c>
      <c r="R19" s="126">
        <f t="shared" si="9"/>
        <v>0</v>
      </c>
      <c r="S19" s="124">
        <f t="shared" si="10"/>
        <v>0</v>
      </c>
      <c r="T19" s="125">
        <v>1</v>
      </c>
      <c r="U19" s="126">
        <f t="shared" si="11"/>
        <v>6.25E-2</v>
      </c>
      <c r="V19" s="124">
        <f t="shared" si="12"/>
        <v>6.25E-2</v>
      </c>
    </row>
    <row r="20" spans="1:22" s="3" customFormat="1" x14ac:dyDescent="0.3">
      <c r="A20" s="38">
        <v>2004</v>
      </c>
      <c r="B20" s="122" t="str">
        <f t="shared" si="13"/>
        <v>2004-2020</v>
      </c>
      <c r="C20" s="127">
        <v>17</v>
      </c>
      <c r="D20" s="128">
        <f t="shared" si="14"/>
        <v>0.24254000000000001</v>
      </c>
      <c r="E20" s="125">
        <v>30</v>
      </c>
      <c r="F20" s="126">
        <f t="shared" si="1"/>
        <v>1.76471</v>
      </c>
      <c r="G20" s="124">
        <f t="shared" si="2"/>
        <v>0.32219999999999999</v>
      </c>
      <c r="H20" s="125">
        <v>35</v>
      </c>
      <c r="I20" s="126">
        <f t="shared" si="3"/>
        <v>2.0588199999999999</v>
      </c>
      <c r="J20" s="124">
        <f t="shared" si="4"/>
        <v>0.34800999999999999</v>
      </c>
      <c r="K20" s="125">
        <v>21</v>
      </c>
      <c r="L20" s="126">
        <f t="shared" si="5"/>
        <v>1.23529</v>
      </c>
      <c r="M20" s="124">
        <f t="shared" si="6"/>
        <v>0.26956999999999998</v>
      </c>
      <c r="N20" s="125">
        <v>1</v>
      </c>
      <c r="O20" s="126">
        <f t="shared" si="7"/>
        <v>5.8819999999999997E-2</v>
      </c>
      <c r="P20" s="124">
        <f t="shared" si="8"/>
        <v>5.8819999999999997E-2</v>
      </c>
      <c r="Q20" s="125">
        <v>0</v>
      </c>
      <c r="R20" s="126">
        <f t="shared" si="9"/>
        <v>0</v>
      </c>
      <c r="S20" s="124">
        <f t="shared" si="10"/>
        <v>0</v>
      </c>
      <c r="T20" s="125">
        <v>1</v>
      </c>
      <c r="U20" s="126">
        <f t="shared" si="11"/>
        <v>5.8819999999999997E-2</v>
      </c>
      <c r="V20" s="124">
        <f t="shared" si="12"/>
        <v>5.8819999999999997E-2</v>
      </c>
    </row>
    <row r="21" spans="1:22" s="3" customFormat="1" x14ac:dyDescent="0.3">
      <c r="A21" s="38">
        <v>2003</v>
      </c>
      <c r="B21" s="122" t="str">
        <f t="shared" si="13"/>
        <v>2003-2020</v>
      </c>
      <c r="C21" s="123">
        <v>18</v>
      </c>
      <c r="D21" s="124">
        <f t="shared" si="14"/>
        <v>0.23569999999999999</v>
      </c>
      <c r="E21" s="125">
        <v>31</v>
      </c>
      <c r="F21" s="126">
        <f t="shared" si="1"/>
        <v>1.7222200000000001</v>
      </c>
      <c r="G21" s="124">
        <f t="shared" si="2"/>
        <v>0.30931999999999998</v>
      </c>
      <c r="H21" s="125">
        <v>37</v>
      </c>
      <c r="I21" s="126">
        <f t="shared" si="3"/>
        <v>2.0555599999999998</v>
      </c>
      <c r="J21" s="124">
        <f t="shared" si="4"/>
        <v>0.33793000000000001</v>
      </c>
      <c r="K21" s="125">
        <v>23</v>
      </c>
      <c r="L21" s="126">
        <f t="shared" si="5"/>
        <v>1.2777799999999999</v>
      </c>
      <c r="M21" s="124">
        <f t="shared" si="6"/>
        <v>0.26643</v>
      </c>
      <c r="N21" s="125">
        <v>1</v>
      </c>
      <c r="O21" s="126">
        <f t="shared" si="7"/>
        <v>5.5559999999999998E-2</v>
      </c>
      <c r="P21" s="124">
        <f t="shared" si="8"/>
        <v>5.5559999999999998E-2</v>
      </c>
      <c r="Q21" s="125">
        <v>0</v>
      </c>
      <c r="R21" s="126">
        <f t="shared" si="9"/>
        <v>0</v>
      </c>
      <c r="S21" s="124">
        <f t="shared" si="10"/>
        <v>0</v>
      </c>
      <c r="T21" s="125">
        <v>1</v>
      </c>
      <c r="U21" s="126">
        <f t="shared" si="11"/>
        <v>5.5559999999999998E-2</v>
      </c>
      <c r="V21" s="124">
        <f t="shared" si="12"/>
        <v>5.5559999999999998E-2</v>
      </c>
    </row>
    <row r="22" spans="1:22" s="3" customFormat="1" x14ac:dyDescent="0.3">
      <c r="A22" s="38">
        <v>2002</v>
      </c>
      <c r="B22" s="122" t="str">
        <f t="shared" si="13"/>
        <v>2002-2020</v>
      </c>
      <c r="C22" s="127">
        <v>19</v>
      </c>
      <c r="D22" s="128">
        <f t="shared" si="14"/>
        <v>0.22942000000000001</v>
      </c>
      <c r="E22" s="125">
        <v>38</v>
      </c>
      <c r="F22" s="126">
        <f t="shared" si="1"/>
        <v>2</v>
      </c>
      <c r="G22" s="124">
        <f t="shared" si="2"/>
        <v>0.32445000000000002</v>
      </c>
      <c r="H22" s="125">
        <v>42</v>
      </c>
      <c r="I22" s="126">
        <f t="shared" si="3"/>
        <v>2.2105299999999999</v>
      </c>
      <c r="J22" s="124">
        <f t="shared" si="4"/>
        <v>0.34110000000000001</v>
      </c>
      <c r="K22" s="125">
        <v>24</v>
      </c>
      <c r="L22" s="126">
        <f t="shared" si="5"/>
        <v>1.2631600000000001</v>
      </c>
      <c r="M22" s="124">
        <f t="shared" si="6"/>
        <v>0.25785000000000002</v>
      </c>
      <c r="N22" s="125">
        <v>1</v>
      </c>
      <c r="O22" s="126">
        <f t="shared" si="7"/>
        <v>5.2630000000000003E-2</v>
      </c>
      <c r="P22" s="124">
        <f t="shared" si="8"/>
        <v>5.2630000000000003E-2</v>
      </c>
      <c r="Q22" s="125">
        <v>0</v>
      </c>
      <c r="R22" s="126">
        <f t="shared" si="9"/>
        <v>0</v>
      </c>
      <c r="S22" s="124">
        <f t="shared" si="10"/>
        <v>0</v>
      </c>
      <c r="T22" s="125">
        <v>1</v>
      </c>
      <c r="U22" s="126">
        <f t="shared" si="11"/>
        <v>5.2630000000000003E-2</v>
      </c>
      <c r="V22" s="124">
        <f t="shared" si="12"/>
        <v>5.2630000000000003E-2</v>
      </c>
    </row>
    <row r="23" spans="1:22" s="3" customFormat="1" x14ac:dyDescent="0.3">
      <c r="A23" s="38">
        <v>2001</v>
      </c>
      <c r="B23" s="122" t="str">
        <f t="shared" si="13"/>
        <v>2001-2020</v>
      </c>
      <c r="C23" s="123">
        <v>20</v>
      </c>
      <c r="D23" s="124">
        <f t="shared" si="14"/>
        <v>0.22361</v>
      </c>
      <c r="E23" s="125">
        <v>44</v>
      </c>
      <c r="F23" s="126">
        <f t="shared" si="1"/>
        <v>2.2000000000000002</v>
      </c>
      <c r="G23" s="124">
        <f t="shared" si="2"/>
        <v>0.33167000000000002</v>
      </c>
      <c r="H23" s="125">
        <v>47</v>
      </c>
      <c r="I23" s="126">
        <f t="shared" si="3"/>
        <v>2.35</v>
      </c>
      <c r="J23" s="124">
        <f t="shared" si="4"/>
        <v>0.34278999999999998</v>
      </c>
      <c r="K23" s="125">
        <v>24</v>
      </c>
      <c r="L23" s="126">
        <f t="shared" si="5"/>
        <v>1.2</v>
      </c>
      <c r="M23" s="124">
        <f t="shared" si="6"/>
        <v>0.24495</v>
      </c>
      <c r="N23" s="125">
        <v>2</v>
      </c>
      <c r="O23" s="126">
        <f t="shared" si="7"/>
        <v>0.1</v>
      </c>
      <c r="P23" s="124">
        <f t="shared" si="8"/>
        <v>7.0709999999999995E-2</v>
      </c>
      <c r="Q23" s="125">
        <v>0</v>
      </c>
      <c r="R23" s="126">
        <f t="shared" si="9"/>
        <v>0</v>
      </c>
      <c r="S23" s="124">
        <f t="shared" si="10"/>
        <v>0</v>
      </c>
      <c r="T23" s="125">
        <v>1</v>
      </c>
      <c r="U23" s="126">
        <f t="shared" si="11"/>
        <v>0.05</v>
      </c>
      <c r="V23" s="124">
        <f t="shared" si="12"/>
        <v>0.05</v>
      </c>
    </row>
    <row r="24" spans="1:22" s="3" customFormat="1" x14ac:dyDescent="0.3">
      <c r="A24" s="38">
        <v>2000</v>
      </c>
      <c r="B24" s="122" t="str">
        <f t="shared" si="13"/>
        <v>2000-2020</v>
      </c>
      <c r="C24" s="127">
        <v>21</v>
      </c>
      <c r="D24" s="128">
        <f t="shared" si="14"/>
        <v>0.21822</v>
      </c>
      <c r="E24" s="125">
        <v>49</v>
      </c>
      <c r="F24" s="126">
        <f t="shared" si="1"/>
        <v>2.3333300000000001</v>
      </c>
      <c r="G24" s="124">
        <f t="shared" si="2"/>
        <v>0.33334000000000003</v>
      </c>
      <c r="H24" s="125">
        <v>51</v>
      </c>
      <c r="I24" s="126">
        <f t="shared" si="3"/>
        <v>2.4285700000000001</v>
      </c>
      <c r="J24" s="124">
        <f t="shared" si="4"/>
        <v>0.34006999999999998</v>
      </c>
      <c r="K24" s="125">
        <v>26</v>
      </c>
      <c r="L24" s="126">
        <f t="shared" si="5"/>
        <v>1.2381</v>
      </c>
      <c r="M24" s="124">
        <f t="shared" si="6"/>
        <v>0.24281</v>
      </c>
      <c r="N24" s="125">
        <v>3</v>
      </c>
      <c r="O24" s="126">
        <f t="shared" si="7"/>
        <v>0.14285999999999999</v>
      </c>
      <c r="P24" s="124">
        <f t="shared" si="8"/>
        <v>8.2479999999999998E-2</v>
      </c>
      <c r="Q24" s="125">
        <v>0</v>
      </c>
      <c r="R24" s="126">
        <f t="shared" si="9"/>
        <v>0</v>
      </c>
      <c r="S24" s="124">
        <f t="shared" si="10"/>
        <v>0</v>
      </c>
      <c r="T24" s="125">
        <v>1</v>
      </c>
      <c r="U24" s="126">
        <f t="shared" si="11"/>
        <v>4.7620000000000003E-2</v>
      </c>
      <c r="V24" s="124">
        <f t="shared" si="12"/>
        <v>4.7620000000000003E-2</v>
      </c>
    </row>
    <row r="25" spans="1:22" s="3" customFormat="1" x14ac:dyDescent="0.3">
      <c r="A25" s="38">
        <v>1999</v>
      </c>
      <c r="B25" s="122" t="str">
        <f t="shared" si="13"/>
        <v>1999-2020</v>
      </c>
      <c r="C25" s="123">
        <v>22</v>
      </c>
      <c r="D25" s="124">
        <f t="shared" si="14"/>
        <v>0.2132</v>
      </c>
      <c r="E25" s="125">
        <v>53</v>
      </c>
      <c r="F25" s="126">
        <f t="shared" si="1"/>
        <v>2.40909</v>
      </c>
      <c r="G25" s="124">
        <f t="shared" si="2"/>
        <v>0.33090999999999998</v>
      </c>
      <c r="H25" s="125">
        <v>53</v>
      </c>
      <c r="I25" s="126">
        <f t="shared" si="3"/>
        <v>2.40909</v>
      </c>
      <c r="J25" s="124">
        <f t="shared" si="4"/>
        <v>0.33090999999999998</v>
      </c>
      <c r="K25" s="125">
        <v>28</v>
      </c>
      <c r="L25" s="126">
        <f t="shared" si="5"/>
        <v>1.2727299999999999</v>
      </c>
      <c r="M25" s="124">
        <f t="shared" si="6"/>
        <v>0.24052000000000001</v>
      </c>
      <c r="N25" s="125">
        <v>3</v>
      </c>
      <c r="O25" s="126">
        <f t="shared" si="7"/>
        <v>0.13636000000000001</v>
      </c>
      <c r="P25" s="124">
        <f t="shared" si="8"/>
        <v>7.8729999999999994E-2</v>
      </c>
      <c r="Q25" s="125">
        <v>0</v>
      </c>
      <c r="R25" s="126">
        <f t="shared" si="9"/>
        <v>0</v>
      </c>
      <c r="S25" s="124">
        <f t="shared" si="10"/>
        <v>0</v>
      </c>
      <c r="T25" s="125">
        <v>1</v>
      </c>
      <c r="U25" s="126">
        <f t="shared" si="11"/>
        <v>4.5449999999999997E-2</v>
      </c>
      <c r="V25" s="124">
        <f t="shared" si="12"/>
        <v>4.5449999999999997E-2</v>
      </c>
    </row>
    <row r="26" spans="1:22" s="3" customFormat="1" x14ac:dyDescent="0.3">
      <c r="A26" s="38">
        <v>1998</v>
      </c>
      <c r="B26" s="122" t="str">
        <f t="shared" si="13"/>
        <v>1998-2020</v>
      </c>
      <c r="C26" s="127">
        <v>23</v>
      </c>
      <c r="D26" s="128">
        <f t="shared" si="14"/>
        <v>0.20851</v>
      </c>
      <c r="E26" s="125">
        <v>57</v>
      </c>
      <c r="F26" s="126">
        <f t="shared" si="1"/>
        <v>2.4782600000000001</v>
      </c>
      <c r="G26" s="124">
        <f t="shared" si="2"/>
        <v>0.32824999999999999</v>
      </c>
      <c r="H26" s="125">
        <v>59</v>
      </c>
      <c r="I26" s="126">
        <f t="shared" si="3"/>
        <v>2.5652200000000001</v>
      </c>
      <c r="J26" s="124">
        <f t="shared" si="4"/>
        <v>0.33395999999999998</v>
      </c>
      <c r="K26" s="125">
        <v>29</v>
      </c>
      <c r="L26" s="126">
        <f t="shared" si="5"/>
        <v>1.2608699999999999</v>
      </c>
      <c r="M26" s="124">
        <f t="shared" si="6"/>
        <v>0.23413</v>
      </c>
      <c r="N26" s="125">
        <v>5</v>
      </c>
      <c r="O26" s="126">
        <f t="shared" si="7"/>
        <v>0.21739</v>
      </c>
      <c r="P26" s="124">
        <f t="shared" si="8"/>
        <v>9.7220000000000001E-2</v>
      </c>
      <c r="Q26" s="125">
        <v>0</v>
      </c>
      <c r="R26" s="126">
        <f t="shared" si="9"/>
        <v>0</v>
      </c>
      <c r="S26" s="124">
        <f t="shared" si="10"/>
        <v>0</v>
      </c>
      <c r="T26" s="125">
        <v>1</v>
      </c>
      <c r="U26" s="126">
        <f t="shared" si="11"/>
        <v>4.3479999999999998E-2</v>
      </c>
      <c r="V26" s="124">
        <f t="shared" si="12"/>
        <v>4.3479999999999998E-2</v>
      </c>
    </row>
    <row r="27" spans="1:22" s="3" customFormat="1" x14ac:dyDescent="0.3">
      <c r="A27" s="38">
        <v>1997</v>
      </c>
      <c r="B27" s="122" t="str">
        <f t="shared" si="13"/>
        <v>1997-2020</v>
      </c>
      <c r="C27" s="123">
        <v>24</v>
      </c>
      <c r="D27" s="124">
        <f t="shared" si="14"/>
        <v>0.20412</v>
      </c>
      <c r="E27" s="125">
        <v>57</v>
      </c>
      <c r="F27" s="126">
        <f t="shared" si="1"/>
        <v>2.375</v>
      </c>
      <c r="G27" s="124">
        <f t="shared" si="2"/>
        <v>0.31457000000000002</v>
      </c>
      <c r="H27" s="125">
        <v>59</v>
      </c>
      <c r="I27" s="126">
        <f t="shared" si="3"/>
        <v>2.4583300000000001</v>
      </c>
      <c r="J27" s="124">
        <f t="shared" si="4"/>
        <v>0.32003999999999999</v>
      </c>
      <c r="K27" s="125">
        <v>32</v>
      </c>
      <c r="L27" s="126">
        <f t="shared" si="5"/>
        <v>1.3333299999999999</v>
      </c>
      <c r="M27" s="124">
        <f t="shared" si="6"/>
        <v>0.23569999999999999</v>
      </c>
      <c r="N27" s="125">
        <v>5</v>
      </c>
      <c r="O27" s="126">
        <f t="shared" si="7"/>
        <v>0.20832999999999999</v>
      </c>
      <c r="P27" s="124">
        <f t="shared" si="8"/>
        <v>9.3170000000000003E-2</v>
      </c>
      <c r="Q27" s="125">
        <v>0</v>
      </c>
      <c r="R27" s="126">
        <f t="shared" si="9"/>
        <v>0</v>
      </c>
      <c r="S27" s="124">
        <f t="shared" si="10"/>
        <v>0</v>
      </c>
      <c r="T27" s="125">
        <v>2</v>
      </c>
      <c r="U27" s="126">
        <f t="shared" si="11"/>
        <v>8.3330000000000001E-2</v>
      </c>
      <c r="V27" s="124">
        <f t="shared" si="12"/>
        <v>5.892E-2</v>
      </c>
    </row>
    <row r="28" spans="1:22" s="3" customFormat="1" x14ac:dyDescent="0.3">
      <c r="A28" s="38">
        <v>1996</v>
      </c>
      <c r="B28" s="122" t="str">
        <f t="shared" si="13"/>
        <v>1996-2020</v>
      </c>
      <c r="C28" s="127">
        <v>25</v>
      </c>
      <c r="D28" s="128">
        <f t="shared" si="14"/>
        <v>0.2</v>
      </c>
      <c r="E28" s="125">
        <v>60</v>
      </c>
      <c r="F28" s="126">
        <f t="shared" si="1"/>
        <v>2.4</v>
      </c>
      <c r="G28" s="124">
        <f t="shared" si="2"/>
        <v>0.30984</v>
      </c>
      <c r="H28" s="125">
        <v>61</v>
      </c>
      <c r="I28" s="126">
        <f t="shared" si="3"/>
        <v>2.44</v>
      </c>
      <c r="J28" s="124">
        <f t="shared" si="4"/>
        <v>0.31241000000000002</v>
      </c>
      <c r="K28" s="125">
        <v>35</v>
      </c>
      <c r="L28" s="126">
        <f t="shared" si="5"/>
        <v>1.4</v>
      </c>
      <c r="M28" s="124">
        <f t="shared" si="6"/>
        <v>0.23663999999999999</v>
      </c>
      <c r="N28" s="125">
        <v>5</v>
      </c>
      <c r="O28" s="126">
        <f t="shared" si="7"/>
        <v>0.2</v>
      </c>
      <c r="P28" s="124">
        <f t="shared" si="8"/>
        <v>8.9440000000000006E-2</v>
      </c>
      <c r="Q28" s="125">
        <v>0</v>
      </c>
      <c r="R28" s="126">
        <f t="shared" si="9"/>
        <v>0</v>
      </c>
      <c r="S28" s="124">
        <f t="shared" si="10"/>
        <v>0</v>
      </c>
      <c r="T28" s="125">
        <v>2</v>
      </c>
      <c r="U28" s="126">
        <f t="shared" si="11"/>
        <v>0.08</v>
      </c>
      <c r="V28" s="124">
        <f t="shared" si="12"/>
        <v>5.6570000000000002E-2</v>
      </c>
    </row>
    <row r="29" spans="1:22" s="3" customFormat="1" x14ac:dyDescent="0.3">
      <c r="A29" s="38">
        <v>1995</v>
      </c>
      <c r="B29" s="122" t="str">
        <f t="shared" si="13"/>
        <v>1995-2020</v>
      </c>
      <c r="C29" s="123">
        <v>26</v>
      </c>
      <c r="D29" s="124">
        <f t="shared" si="14"/>
        <v>0.19611999999999999</v>
      </c>
      <c r="E29" s="125">
        <v>60</v>
      </c>
      <c r="F29" s="126">
        <f t="shared" si="1"/>
        <v>2.30769</v>
      </c>
      <c r="G29" s="124">
        <f t="shared" si="2"/>
        <v>0.29792999999999997</v>
      </c>
      <c r="H29" s="125">
        <v>62</v>
      </c>
      <c r="I29" s="126">
        <f t="shared" si="3"/>
        <v>2.38462</v>
      </c>
      <c r="J29" s="124">
        <f t="shared" si="4"/>
        <v>0.30285000000000001</v>
      </c>
      <c r="K29" s="125">
        <v>35</v>
      </c>
      <c r="L29" s="126">
        <f t="shared" si="5"/>
        <v>1.34615</v>
      </c>
      <c r="M29" s="124">
        <f t="shared" si="6"/>
        <v>0.22755</v>
      </c>
      <c r="N29" s="125">
        <v>5</v>
      </c>
      <c r="O29" s="126">
        <f t="shared" si="7"/>
        <v>0.19231000000000001</v>
      </c>
      <c r="P29" s="124">
        <f t="shared" si="8"/>
        <v>8.5999999999999993E-2</v>
      </c>
      <c r="Q29" s="125">
        <v>0</v>
      </c>
      <c r="R29" s="126">
        <f t="shared" si="9"/>
        <v>0</v>
      </c>
      <c r="S29" s="124">
        <f t="shared" si="10"/>
        <v>0</v>
      </c>
      <c r="T29" s="125">
        <v>2</v>
      </c>
      <c r="U29" s="126">
        <f t="shared" si="11"/>
        <v>7.6920000000000002E-2</v>
      </c>
      <c r="V29" s="124">
        <f t="shared" si="12"/>
        <v>5.4390000000000001E-2</v>
      </c>
    </row>
    <row r="30" spans="1:22" s="3" customFormat="1" x14ac:dyDescent="0.3">
      <c r="A30" s="38">
        <v>1994</v>
      </c>
      <c r="B30" s="122" t="str">
        <f t="shared" si="13"/>
        <v>1994-2020</v>
      </c>
      <c r="C30" s="127">
        <v>27</v>
      </c>
      <c r="D30" s="128">
        <f t="shared" si="14"/>
        <v>0.19245000000000001</v>
      </c>
      <c r="E30" s="125">
        <v>60</v>
      </c>
      <c r="F30" s="126">
        <f t="shared" si="1"/>
        <v>2.2222200000000001</v>
      </c>
      <c r="G30" s="124">
        <f t="shared" si="2"/>
        <v>0.28688999999999998</v>
      </c>
      <c r="H30" s="125">
        <v>62</v>
      </c>
      <c r="I30" s="126">
        <f t="shared" si="3"/>
        <v>2.2963</v>
      </c>
      <c r="J30" s="124">
        <f t="shared" si="4"/>
        <v>0.29163</v>
      </c>
      <c r="K30" s="125">
        <v>35</v>
      </c>
      <c r="L30" s="126">
        <f t="shared" si="5"/>
        <v>1.2963</v>
      </c>
      <c r="M30" s="124">
        <f t="shared" si="6"/>
        <v>0.21911</v>
      </c>
      <c r="N30" s="125">
        <v>6</v>
      </c>
      <c r="O30" s="126">
        <f t="shared" si="7"/>
        <v>0.22222</v>
      </c>
      <c r="P30" s="124">
        <f t="shared" si="8"/>
        <v>9.0719999999999995E-2</v>
      </c>
      <c r="Q30" s="125">
        <v>0</v>
      </c>
      <c r="R30" s="126">
        <f t="shared" si="9"/>
        <v>0</v>
      </c>
      <c r="S30" s="124">
        <f t="shared" si="10"/>
        <v>0</v>
      </c>
      <c r="T30" s="125">
        <v>2</v>
      </c>
      <c r="U30" s="126">
        <f t="shared" si="11"/>
        <v>7.4069999999999997E-2</v>
      </c>
      <c r="V30" s="124">
        <f t="shared" si="12"/>
        <v>5.2380000000000003E-2</v>
      </c>
    </row>
    <row r="31" spans="1:22" s="3" customFormat="1" x14ac:dyDescent="0.3">
      <c r="A31" s="38">
        <v>1993</v>
      </c>
      <c r="B31" s="122" t="str">
        <f t="shared" si="13"/>
        <v>1993-2020</v>
      </c>
      <c r="C31" s="123">
        <v>28</v>
      </c>
      <c r="D31" s="124">
        <f t="shared" si="14"/>
        <v>0.18898000000000001</v>
      </c>
      <c r="E31" s="125">
        <v>60</v>
      </c>
      <c r="F31" s="126">
        <f t="shared" si="1"/>
        <v>2.1428600000000002</v>
      </c>
      <c r="G31" s="124">
        <f t="shared" si="2"/>
        <v>0.27664</v>
      </c>
      <c r="H31" s="125">
        <v>62</v>
      </c>
      <c r="I31" s="126">
        <f t="shared" si="3"/>
        <v>2.2142900000000001</v>
      </c>
      <c r="J31" s="124">
        <f t="shared" si="4"/>
        <v>0.28121000000000002</v>
      </c>
      <c r="K31" s="125">
        <v>37</v>
      </c>
      <c r="L31" s="126">
        <f t="shared" si="5"/>
        <v>1.3214300000000001</v>
      </c>
      <c r="M31" s="124">
        <f t="shared" si="6"/>
        <v>0.21723999999999999</v>
      </c>
      <c r="N31" s="125">
        <v>7</v>
      </c>
      <c r="O31" s="126">
        <f t="shared" si="7"/>
        <v>0.25</v>
      </c>
      <c r="P31" s="124">
        <f t="shared" si="8"/>
        <v>9.4490000000000005E-2</v>
      </c>
      <c r="Q31" s="125">
        <v>0</v>
      </c>
      <c r="R31" s="126">
        <f t="shared" si="9"/>
        <v>0</v>
      </c>
      <c r="S31" s="124">
        <f t="shared" si="10"/>
        <v>0</v>
      </c>
      <c r="T31" s="125">
        <v>3</v>
      </c>
      <c r="U31" s="126">
        <f t="shared" si="11"/>
        <v>0.10714</v>
      </c>
      <c r="V31" s="124">
        <f t="shared" si="12"/>
        <v>6.1859999999999998E-2</v>
      </c>
    </row>
    <row r="32" spans="1:22" s="3" customFormat="1" x14ac:dyDescent="0.3">
      <c r="A32" s="38">
        <v>1992</v>
      </c>
      <c r="B32" s="122" t="str">
        <f t="shared" si="13"/>
        <v>1992-2020</v>
      </c>
      <c r="C32" s="127">
        <v>29</v>
      </c>
      <c r="D32" s="128">
        <f t="shared" si="14"/>
        <v>0.1857</v>
      </c>
      <c r="E32" s="125">
        <v>60</v>
      </c>
      <c r="F32" s="126">
        <f t="shared" si="1"/>
        <v>2.0689700000000002</v>
      </c>
      <c r="G32" s="124">
        <f t="shared" si="2"/>
        <v>0.26711000000000001</v>
      </c>
      <c r="H32" s="125">
        <v>62</v>
      </c>
      <c r="I32" s="126">
        <f t="shared" si="3"/>
        <v>2.1379299999999999</v>
      </c>
      <c r="J32" s="124">
        <f t="shared" si="4"/>
        <v>0.27151999999999998</v>
      </c>
      <c r="K32" s="125">
        <v>38</v>
      </c>
      <c r="L32" s="126">
        <f t="shared" si="5"/>
        <v>1.3103400000000001</v>
      </c>
      <c r="M32" s="124">
        <f t="shared" si="6"/>
        <v>0.21257000000000001</v>
      </c>
      <c r="N32" s="125">
        <v>7</v>
      </c>
      <c r="O32" s="126">
        <f t="shared" si="7"/>
        <v>0.24138000000000001</v>
      </c>
      <c r="P32" s="124">
        <f t="shared" si="8"/>
        <v>9.1240000000000002E-2</v>
      </c>
      <c r="Q32" s="125">
        <v>0</v>
      </c>
      <c r="R32" s="126">
        <f t="shared" si="9"/>
        <v>0</v>
      </c>
      <c r="S32" s="124">
        <f t="shared" si="10"/>
        <v>0</v>
      </c>
      <c r="T32" s="125">
        <v>3</v>
      </c>
      <c r="U32" s="126">
        <f t="shared" si="11"/>
        <v>0.10345</v>
      </c>
      <c r="V32" s="124">
        <f t="shared" si="12"/>
        <v>5.9729999999999998E-2</v>
      </c>
    </row>
    <row r="33" spans="1:22" s="3" customFormat="1" x14ac:dyDescent="0.3">
      <c r="A33" s="38">
        <v>1991</v>
      </c>
      <c r="B33" s="122" t="str">
        <f t="shared" si="13"/>
        <v>1991-2020</v>
      </c>
      <c r="C33" s="123">
        <v>30</v>
      </c>
      <c r="D33" s="124">
        <f t="shared" si="14"/>
        <v>0.18257000000000001</v>
      </c>
      <c r="E33" s="125">
        <v>61</v>
      </c>
      <c r="F33" s="126">
        <f t="shared" si="1"/>
        <v>2.0333299999999999</v>
      </c>
      <c r="G33" s="124">
        <f t="shared" si="2"/>
        <v>0.26034000000000002</v>
      </c>
      <c r="H33" s="125">
        <v>62</v>
      </c>
      <c r="I33" s="126">
        <f t="shared" si="3"/>
        <v>2.0666699999999998</v>
      </c>
      <c r="J33" s="124">
        <f t="shared" si="4"/>
        <v>0.26246000000000003</v>
      </c>
      <c r="K33" s="125">
        <v>38</v>
      </c>
      <c r="L33" s="126">
        <f t="shared" si="5"/>
        <v>1.26667</v>
      </c>
      <c r="M33" s="124">
        <f t="shared" si="6"/>
        <v>0.20548</v>
      </c>
      <c r="N33" s="125">
        <v>7</v>
      </c>
      <c r="O33" s="126">
        <f t="shared" si="7"/>
        <v>0.23333000000000001</v>
      </c>
      <c r="P33" s="124">
        <f t="shared" si="8"/>
        <v>8.8190000000000004E-2</v>
      </c>
      <c r="Q33" s="125">
        <v>0</v>
      </c>
      <c r="R33" s="126">
        <f t="shared" si="9"/>
        <v>0</v>
      </c>
      <c r="S33" s="124">
        <f t="shared" si="10"/>
        <v>0</v>
      </c>
      <c r="T33" s="125">
        <v>3</v>
      </c>
      <c r="U33" s="126">
        <f t="shared" si="11"/>
        <v>0.1</v>
      </c>
      <c r="V33" s="124">
        <f t="shared" si="12"/>
        <v>5.7729999999999997E-2</v>
      </c>
    </row>
    <row r="34" spans="1:22" s="3" customFormat="1" x14ac:dyDescent="0.3">
      <c r="A34" s="38">
        <v>1990</v>
      </c>
      <c r="B34" s="122" t="str">
        <f t="shared" si="13"/>
        <v>1990-2020</v>
      </c>
      <c r="C34" s="127">
        <v>31</v>
      </c>
      <c r="D34" s="128">
        <f t="shared" si="14"/>
        <v>0.17960999999999999</v>
      </c>
      <c r="E34" s="125">
        <v>61</v>
      </c>
      <c r="F34" s="126">
        <f t="shared" si="1"/>
        <v>1.96774</v>
      </c>
      <c r="G34" s="124">
        <f t="shared" si="2"/>
        <v>0.25195000000000001</v>
      </c>
      <c r="H34" s="125">
        <v>62</v>
      </c>
      <c r="I34" s="126">
        <f t="shared" si="3"/>
        <v>2</v>
      </c>
      <c r="J34" s="124">
        <f t="shared" si="4"/>
        <v>0.25401000000000001</v>
      </c>
      <c r="K34" s="125">
        <v>38</v>
      </c>
      <c r="L34" s="126">
        <f t="shared" si="5"/>
        <v>1.2258100000000001</v>
      </c>
      <c r="M34" s="124">
        <f t="shared" si="6"/>
        <v>0.19886000000000001</v>
      </c>
      <c r="N34" s="125">
        <v>7</v>
      </c>
      <c r="O34" s="126">
        <f t="shared" si="7"/>
        <v>0.22581000000000001</v>
      </c>
      <c r="P34" s="124">
        <f t="shared" si="8"/>
        <v>8.5349999999999995E-2</v>
      </c>
      <c r="Q34" s="125">
        <v>0</v>
      </c>
      <c r="R34" s="126">
        <f t="shared" si="9"/>
        <v>0</v>
      </c>
      <c r="S34" s="124">
        <f t="shared" si="10"/>
        <v>0</v>
      </c>
      <c r="T34" s="125">
        <v>3</v>
      </c>
      <c r="U34" s="126">
        <f t="shared" si="11"/>
        <v>9.6769999999999995E-2</v>
      </c>
      <c r="V34" s="124">
        <f t="shared" si="12"/>
        <v>5.5870000000000003E-2</v>
      </c>
    </row>
    <row r="35" spans="1:22" s="3" customFormat="1" x14ac:dyDescent="0.3">
      <c r="A35" s="38">
        <v>1989</v>
      </c>
      <c r="B35" s="122" t="str">
        <f t="shared" si="13"/>
        <v>1989-2020</v>
      </c>
      <c r="C35" s="123">
        <v>32</v>
      </c>
      <c r="D35" s="124">
        <f t="shared" si="14"/>
        <v>0.17677999999999999</v>
      </c>
      <c r="E35" s="125">
        <v>61</v>
      </c>
      <c r="F35" s="126">
        <f t="shared" si="1"/>
        <v>1.90625</v>
      </c>
      <c r="G35" s="124">
        <f t="shared" si="2"/>
        <v>0.24407000000000001</v>
      </c>
      <c r="H35" s="125">
        <v>63</v>
      </c>
      <c r="I35" s="126">
        <f t="shared" si="3"/>
        <v>1.96875</v>
      </c>
      <c r="J35" s="124">
        <f t="shared" si="4"/>
        <v>0.24804000000000001</v>
      </c>
      <c r="K35" s="125">
        <v>38</v>
      </c>
      <c r="L35" s="126">
        <f t="shared" si="5"/>
        <v>1.1875</v>
      </c>
      <c r="M35" s="124">
        <f t="shared" si="6"/>
        <v>0.19264000000000001</v>
      </c>
      <c r="N35" s="125">
        <v>7</v>
      </c>
      <c r="O35" s="126">
        <f t="shared" si="7"/>
        <v>0.21875</v>
      </c>
      <c r="P35" s="124">
        <f t="shared" si="8"/>
        <v>8.2680000000000003E-2</v>
      </c>
      <c r="Q35" s="125">
        <v>0</v>
      </c>
      <c r="R35" s="126">
        <f t="shared" si="9"/>
        <v>0</v>
      </c>
      <c r="S35" s="124">
        <f t="shared" si="10"/>
        <v>0</v>
      </c>
      <c r="T35" s="125">
        <v>3</v>
      </c>
      <c r="U35" s="126">
        <f t="shared" si="11"/>
        <v>9.375E-2</v>
      </c>
      <c r="V35" s="124">
        <f t="shared" si="12"/>
        <v>5.4129999999999998E-2</v>
      </c>
    </row>
    <row r="36" spans="1:22" s="3" customFormat="1" x14ac:dyDescent="0.3">
      <c r="A36" s="38">
        <v>1988</v>
      </c>
      <c r="B36" s="122" t="str">
        <f t="shared" si="13"/>
        <v>1988-2020</v>
      </c>
      <c r="C36" s="127">
        <v>33</v>
      </c>
      <c r="D36" s="128">
        <f t="shared" si="14"/>
        <v>0.17408000000000001</v>
      </c>
      <c r="E36" s="125">
        <v>61</v>
      </c>
      <c r="F36" s="126">
        <f t="shared" si="1"/>
        <v>1.8484799999999999</v>
      </c>
      <c r="G36" s="124">
        <f t="shared" si="2"/>
        <v>0.23668</v>
      </c>
      <c r="H36" s="125">
        <v>63</v>
      </c>
      <c r="I36" s="126">
        <f t="shared" si="3"/>
        <v>1.90909</v>
      </c>
      <c r="J36" s="124">
        <f t="shared" si="4"/>
        <v>0.24052999999999999</v>
      </c>
      <c r="K36" s="125">
        <v>38</v>
      </c>
      <c r="L36" s="126">
        <f t="shared" si="5"/>
        <v>1.1515200000000001</v>
      </c>
      <c r="M36" s="124">
        <f t="shared" si="6"/>
        <v>0.18679999999999999</v>
      </c>
      <c r="N36" s="125">
        <v>7</v>
      </c>
      <c r="O36" s="126">
        <f t="shared" si="7"/>
        <v>0.21212</v>
      </c>
      <c r="P36" s="124">
        <f t="shared" si="8"/>
        <v>8.0180000000000001E-2</v>
      </c>
      <c r="Q36" s="125">
        <v>0</v>
      </c>
      <c r="R36" s="126">
        <f t="shared" si="9"/>
        <v>0</v>
      </c>
      <c r="S36" s="124">
        <f t="shared" si="10"/>
        <v>0</v>
      </c>
      <c r="T36" s="125">
        <v>3</v>
      </c>
      <c r="U36" s="126">
        <f t="shared" si="11"/>
        <v>9.0910000000000005E-2</v>
      </c>
      <c r="V36" s="124">
        <f t="shared" si="12"/>
        <v>5.2490000000000002E-2</v>
      </c>
    </row>
    <row r="37" spans="1:22" s="3" customFormat="1" x14ac:dyDescent="0.3">
      <c r="A37" s="38">
        <v>1987</v>
      </c>
      <c r="B37" s="122" t="str">
        <f t="shared" si="13"/>
        <v>1987-2020</v>
      </c>
      <c r="C37" s="123">
        <v>34</v>
      </c>
      <c r="D37" s="124">
        <f t="shared" si="14"/>
        <v>0.17150000000000001</v>
      </c>
      <c r="E37" s="125">
        <v>61</v>
      </c>
      <c r="F37" s="126">
        <f t="shared" si="1"/>
        <v>1.7941199999999999</v>
      </c>
      <c r="G37" s="124">
        <f t="shared" si="2"/>
        <v>0.22972000000000001</v>
      </c>
      <c r="H37" s="125">
        <v>63</v>
      </c>
      <c r="I37" s="126">
        <f t="shared" si="3"/>
        <v>1.85294</v>
      </c>
      <c r="J37" s="124">
        <f t="shared" si="4"/>
        <v>0.23344999999999999</v>
      </c>
      <c r="K37" s="125">
        <v>38</v>
      </c>
      <c r="L37" s="126">
        <f t="shared" si="5"/>
        <v>1.11765</v>
      </c>
      <c r="M37" s="124">
        <f t="shared" si="6"/>
        <v>0.18131</v>
      </c>
      <c r="N37" s="125">
        <v>8</v>
      </c>
      <c r="O37" s="126">
        <f t="shared" si="7"/>
        <v>0.23529</v>
      </c>
      <c r="P37" s="124">
        <f t="shared" si="8"/>
        <v>8.319E-2</v>
      </c>
      <c r="Q37" s="125">
        <v>0</v>
      </c>
      <c r="R37" s="126">
        <f t="shared" si="9"/>
        <v>0</v>
      </c>
      <c r="S37" s="124">
        <f t="shared" si="10"/>
        <v>0</v>
      </c>
      <c r="T37" s="125">
        <v>3</v>
      </c>
      <c r="U37" s="126">
        <f t="shared" si="11"/>
        <v>8.8239999999999999E-2</v>
      </c>
      <c r="V37" s="124">
        <f t="shared" si="12"/>
        <v>5.0939999999999999E-2</v>
      </c>
    </row>
    <row r="38" spans="1:22" s="3" customFormat="1" x14ac:dyDescent="0.3">
      <c r="A38" s="38">
        <v>1986</v>
      </c>
      <c r="B38" s="122" t="str">
        <f t="shared" si="13"/>
        <v>1986-2020</v>
      </c>
      <c r="C38" s="127">
        <v>35</v>
      </c>
      <c r="D38" s="128">
        <f t="shared" si="14"/>
        <v>0.16903000000000001</v>
      </c>
      <c r="E38" s="125">
        <v>61</v>
      </c>
      <c r="F38" s="126">
        <f t="shared" si="1"/>
        <v>1.7428600000000001</v>
      </c>
      <c r="G38" s="124">
        <f t="shared" si="2"/>
        <v>0.22314999999999999</v>
      </c>
      <c r="H38" s="125">
        <v>63</v>
      </c>
      <c r="I38" s="126">
        <f t="shared" si="3"/>
        <v>1.8</v>
      </c>
      <c r="J38" s="124">
        <f t="shared" si="4"/>
        <v>0.22678000000000001</v>
      </c>
      <c r="K38" s="125">
        <v>40</v>
      </c>
      <c r="L38" s="126">
        <f t="shared" si="5"/>
        <v>1.14286</v>
      </c>
      <c r="M38" s="124">
        <f t="shared" si="6"/>
        <v>0.1807</v>
      </c>
      <c r="N38" s="125">
        <v>9</v>
      </c>
      <c r="O38" s="126">
        <f t="shared" si="7"/>
        <v>0.25713999999999998</v>
      </c>
      <c r="P38" s="124">
        <f t="shared" si="8"/>
        <v>8.5709999999999995E-2</v>
      </c>
      <c r="Q38" s="125">
        <v>0</v>
      </c>
      <c r="R38" s="126">
        <f t="shared" si="9"/>
        <v>0</v>
      </c>
      <c r="S38" s="124">
        <f t="shared" si="10"/>
        <v>0</v>
      </c>
      <c r="T38" s="125">
        <v>3</v>
      </c>
      <c r="U38" s="126">
        <f t="shared" si="11"/>
        <v>8.5709999999999995E-2</v>
      </c>
      <c r="V38" s="124">
        <f t="shared" si="12"/>
        <v>4.9489999999999999E-2</v>
      </c>
    </row>
    <row r="39" spans="1:22" s="3" customFormat="1" x14ac:dyDescent="0.3">
      <c r="A39" s="38">
        <v>1985</v>
      </c>
      <c r="B39" s="122" t="str">
        <f t="shared" si="13"/>
        <v>1985-2020</v>
      </c>
      <c r="C39" s="123">
        <v>36</v>
      </c>
      <c r="D39" s="124">
        <f t="shared" si="14"/>
        <v>0.16667000000000001</v>
      </c>
      <c r="E39" s="125">
        <v>61</v>
      </c>
      <c r="F39" s="126">
        <f t="shared" si="1"/>
        <v>1.6944399999999999</v>
      </c>
      <c r="G39" s="124">
        <f t="shared" si="2"/>
        <v>0.21695999999999999</v>
      </c>
      <c r="H39" s="125">
        <v>63</v>
      </c>
      <c r="I39" s="126">
        <f t="shared" si="3"/>
        <v>1.75</v>
      </c>
      <c r="J39" s="124">
        <f t="shared" si="4"/>
        <v>0.22048000000000001</v>
      </c>
      <c r="K39" s="125">
        <v>40</v>
      </c>
      <c r="L39" s="126">
        <f t="shared" si="5"/>
        <v>1.11111</v>
      </c>
      <c r="M39" s="124">
        <f t="shared" si="6"/>
        <v>0.17569000000000001</v>
      </c>
      <c r="N39" s="125">
        <v>9</v>
      </c>
      <c r="O39" s="126">
        <f t="shared" si="7"/>
        <v>0.25</v>
      </c>
      <c r="P39" s="124">
        <f t="shared" si="8"/>
        <v>8.3339999999999997E-2</v>
      </c>
      <c r="Q39" s="125">
        <v>0</v>
      </c>
      <c r="R39" s="126">
        <f t="shared" si="9"/>
        <v>0</v>
      </c>
      <c r="S39" s="124">
        <f t="shared" si="10"/>
        <v>0</v>
      </c>
      <c r="T39" s="125">
        <v>3</v>
      </c>
      <c r="U39" s="126">
        <f t="shared" si="11"/>
        <v>8.3330000000000001E-2</v>
      </c>
      <c r="V39" s="124">
        <f t="shared" si="12"/>
        <v>4.811E-2</v>
      </c>
    </row>
    <row r="40" spans="1:22" s="3" customFormat="1" x14ac:dyDescent="0.3">
      <c r="A40" s="38">
        <v>1984</v>
      </c>
      <c r="B40" s="122" t="str">
        <f t="shared" si="13"/>
        <v>1984-2020</v>
      </c>
      <c r="C40" s="127">
        <v>37</v>
      </c>
      <c r="D40" s="128">
        <f t="shared" si="14"/>
        <v>0.16439999999999999</v>
      </c>
      <c r="E40" s="125">
        <v>61</v>
      </c>
      <c r="F40" s="126">
        <f t="shared" si="1"/>
        <v>1.6486499999999999</v>
      </c>
      <c r="G40" s="124">
        <f t="shared" si="2"/>
        <v>0.21109</v>
      </c>
      <c r="H40" s="125">
        <v>64</v>
      </c>
      <c r="I40" s="126">
        <f t="shared" si="3"/>
        <v>1.72973</v>
      </c>
      <c r="J40" s="124">
        <f t="shared" si="4"/>
        <v>0.21622</v>
      </c>
      <c r="K40" s="125">
        <v>40</v>
      </c>
      <c r="L40" s="126">
        <f t="shared" si="5"/>
        <v>1.08108</v>
      </c>
      <c r="M40" s="124">
        <f t="shared" si="6"/>
        <v>0.17093</v>
      </c>
      <c r="N40" s="125">
        <v>9</v>
      </c>
      <c r="O40" s="126">
        <f t="shared" si="7"/>
        <v>0.24324000000000001</v>
      </c>
      <c r="P40" s="124">
        <f t="shared" si="8"/>
        <v>8.1079999999999999E-2</v>
      </c>
      <c r="Q40" s="125">
        <v>0</v>
      </c>
      <c r="R40" s="126">
        <f t="shared" si="9"/>
        <v>0</v>
      </c>
      <c r="S40" s="124">
        <f t="shared" si="10"/>
        <v>0</v>
      </c>
      <c r="T40" s="125">
        <v>3</v>
      </c>
      <c r="U40" s="126">
        <f t="shared" si="11"/>
        <v>8.1079999999999999E-2</v>
      </c>
      <c r="V40" s="124">
        <f t="shared" si="12"/>
        <v>4.6809999999999997E-2</v>
      </c>
    </row>
    <row r="41" spans="1:22" s="3" customFormat="1" x14ac:dyDescent="0.3">
      <c r="A41" s="38">
        <v>1983</v>
      </c>
      <c r="B41" s="122" t="str">
        <f t="shared" si="13"/>
        <v>1983-2020</v>
      </c>
      <c r="C41" s="123">
        <v>38</v>
      </c>
      <c r="D41" s="124">
        <f t="shared" si="14"/>
        <v>0.16222</v>
      </c>
      <c r="E41" s="125">
        <v>61</v>
      </c>
      <c r="F41" s="126">
        <f t="shared" si="1"/>
        <v>1.6052599999999999</v>
      </c>
      <c r="G41" s="124">
        <f t="shared" si="2"/>
        <v>0.20552999999999999</v>
      </c>
      <c r="H41" s="125">
        <v>64</v>
      </c>
      <c r="I41" s="126">
        <f t="shared" si="3"/>
        <v>1.68421</v>
      </c>
      <c r="J41" s="124">
        <f t="shared" si="4"/>
        <v>0.21052000000000001</v>
      </c>
      <c r="K41" s="125">
        <v>40</v>
      </c>
      <c r="L41" s="126">
        <f t="shared" si="5"/>
        <v>1.05263</v>
      </c>
      <c r="M41" s="124">
        <f t="shared" si="6"/>
        <v>0.16642999999999999</v>
      </c>
      <c r="N41" s="125">
        <v>10</v>
      </c>
      <c r="O41" s="126">
        <f t="shared" si="7"/>
        <v>0.26316000000000001</v>
      </c>
      <c r="P41" s="124">
        <f t="shared" si="8"/>
        <v>8.3220000000000002E-2</v>
      </c>
      <c r="Q41" s="125">
        <v>0</v>
      </c>
      <c r="R41" s="126">
        <f t="shared" si="9"/>
        <v>0</v>
      </c>
      <c r="S41" s="124">
        <f t="shared" si="10"/>
        <v>0</v>
      </c>
      <c r="T41" s="125">
        <v>3</v>
      </c>
      <c r="U41" s="126">
        <f t="shared" si="11"/>
        <v>7.8950000000000006E-2</v>
      </c>
      <c r="V41" s="124">
        <f t="shared" si="12"/>
        <v>4.5580000000000002E-2</v>
      </c>
    </row>
    <row r="42" spans="1:22" s="3" customFormat="1" x14ac:dyDescent="0.3">
      <c r="A42" s="38">
        <v>1982</v>
      </c>
      <c r="B42" s="122" t="str">
        <f t="shared" si="13"/>
        <v>1982-2020</v>
      </c>
      <c r="C42" s="127">
        <v>39</v>
      </c>
      <c r="D42" s="128">
        <f t="shared" si="14"/>
        <v>0.16012999999999999</v>
      </c>
      <c r="E42" s="125">
        <v>61</v>
      </c>
      <c r="F42" s="126">
        <f t="shared" si="1"/>
        <v>1.5641</v>
      </c>
      <c r="G42" s="124">
        <f t="shared" si="2"/>
        <v>0.20025999999999999</v>
      </c>
      <c r="H42" s="125">
        <v>64</v>
      </c>
      <c r="I42" s="126">
        <f t="shared" si="3"/>
        <v>1.64103</v>
      </c>
      <c r="J42" s="124">
        <f t="shared" si="4"/>
        <v>0.20513000000000001</v>
      </c>
      <c r="K42" s="125">
        <v>40</v>
      </c>
      <c r="L42" s="126">
        <f t="shared" si="5"/>
        <v>1.0256400000000001</v>
      </c>
      <c r="M42" s="124">
        <f t="shared" si="6"/>
        <v>0.16217000000000001</v>
      </c>
      <c r="N42" s="125">
        <v>11</v>
      </c>
      <c r="O42" s="126">
        <f t="shared" si="7"/>
        <v>0.28205000000000002</v>
      </c>
      <c r="P42" s="124">
        <f t="shared" si="8"/>
        <v>8.5040000000000004E-2</v>
      </c>
      <c r="Q42" s="125">
        <v>0</v>
      </c>
      <c r="R42" s="126">
        <f t="shared" si="9"/>
        <v>0</v>
      </c>
      <c r="S42" s="124">
        <f t="shared" si="10"/>
        <v>0</v>
      </c>
      <c r="T42" s="125">
        <v>3</v>
      </c>
      <c r="U42" s="126">
        <f t="shared" si="11"/>
        <v>7.6920000000000002E-2</v>
      </c>
      <c r="V42" s="124">
        <f t="shared" si="12"/>
        <v>4.4409999999999998E-2</v>
      </c>
    </row>
    <row r="43" spans="1:22" s="3" customFormat="1" x14ac:dyDescent="0.3">
      <c r="A43" s="38">
        <v>1981</v>
      </c>
      <c r="B43" s="122" t="str">
        <f t="shared" si="13"/>
        <v>1981-2020</v>
      </c>
      <c r="C43" s="123">
        <v>40</v>
      </c>
      <c r="D43" s="124">
        <f t="shared" si="14"/>
        <v>0.15811</v>
      </c>
      <c r="E43" s="125">
        <v>61</v>
      </c>
      <c r="F43" s="126">
        <f t="shared" si="1"/>
        <v>1.5249999999999999</v>
      </c>
      <c r="G43" s="124">
        <f t="shared" si="2"/>
        <v>0.19525000000000001</v>
      </c>
      <c r="H43" s="125">
        <v>64</v>
      </c>
      <c r="I43" s="126">
        <f t="shared" si="3"/>
        <v>1.6</v>
      </c>
      <c r="J43" s="124">
        <f t="shared" si="4"/>
        <v>0.2</v>
      </c>
      <c r="K43" s="125">
        <v>40</v>
      </c>
      <c r="L43" s="126">
        <f t="shared" si="5"/>
        <v>1</v>
      </c>
      <c r="M43" s="124">
        <f t="shared" si="6"/>
        <v>0.15811</v>
      </c>
      <c r="N43" s="125">
        <v>11</v>
      </c>
      <c r="O43" s="126">
        <f t="shared" si="7"/>
        <v>0.27500000000000002</v>
      </c>
      <c r="P43" s="124">
        <f t="shared" si="8"/>
        <v>8.2909999999999998E-2</v>
      </c>
      <c r="Q43" s="125">
        <v>0</v>
      </c>
      <c r="R43" s="126">
        <f t="shared" si="9"/>
        <v>0</v>
      </c>
      <c r="S43" s="124">
        <f t="shared" si="10"/>
        <v>0</v>
      </c>
      <c r="T43" s="125">
        <v>3</v>
      </c>
      <c r="U43" s="126">
        <f t="shared" si="11"/>
        <v>7.4999999999999997E-2</v>
      </c>
      <c r="V43" s="124">
        <f t="shared" si="12"/>
        <v>4.3299999999999998E-2</v>
      </c>
    </row>
    <row r="44" spans="1:22" s="3" customFormat="1" x14ac:dyDescent="0.3">
      <c r="A44" s="38">
        <v>1980</v>
      </c>
      <c r="B44" s="122" t="str">
        <f t="shared" si="13"/>
        <v>1980-2020</v>
      </c>
      <c r="C44" s="127">
        <v>41</v>
      </c>
      <c r="D44" s="128">
        <f t="shared" si="14"/>
        <v>0.15617</v>
      </c>
      <c r="E44" s="125">
        <v>61</v>
      </c>
      <c r="F44" s="126">
        <f t="shared" si="1"/>
        <v>1.4878</v>
      </c>
      <c r="G44" s="124">
        <f t="shared" si="2"/>
        <v>0.19048999999999999</v>
      </c>
      <c r="H44" s="125">
        <v>64</v>
      </c>
      <c r="I44" s="126">
        <f t="shared" si="3"/>
        <v>1.56098</v>
      </c>
      <c r="J44" s="124">
        <f t="shared" si="4"/>
        <v>0.19511999999999999</v>
      </c>
      <c r="K44" s="125">
        <v>40</v>
      </c>
      <c r="L44" s="126">
        <f t="shared" si="5"/>
        <v>0.97560999999999998</v>
      </c>
      <c r="M44" s="124">
        <f t="shared" si="6"/>
        <v>0.15425</v>
      </c>
      <c r="N44" s="125">
        <v>11</v>
      </c>
      <c r="O44" s="126">
        <f t="shared" si="7"/>
        <v>0.26828999999999997</v>
      </c>
      <c r="P44" s="124">
        <f t="shared" si="8"/>
        <v>8.0890000000000004E-2</v>
      </c>
      <c r="Q44" s="125">
        <v>0</v>
      </c>
      <c r="R44" s="126">
        <f t="shared" si="9"/>
        <v>0</v>
      </c>
      <c r="S44" s="124">
        <f t="shared" si="10"/>
        <v>0</v>
      </c>
      <c r="T44" s="125">
        <v>3</v>
      </c>
      <c r="U44" s="126">
        <f t="shared" si="11"/>
        <v>7.3169999999999999E-2</v>
      </c>
      <c r="V44" s="124">
        <f t="shared" si="12"/>
        <v>4.224E-2</v>
      </c>
    </row>
    <row r="45" spans="1:22" s="3" customFormat="1" x14ac:dyDescent="0.3">
      <c r="A45" s="38">
        <v>1979</v>
      </c>
      <c r="B45" s="122" t="str">
        <f t="shared" si="13"/>
        <v>1979-2020</v>
      </c>
      <c r="C45" s="123">
        <v>42</v>
      </c>
      <c r="D45" s="124">
        <f t="shared" si="14"/>
        <v>0.15429999999999999</v>
      </c>
      <c r="E45" s="125">
        <v>61</v>
      </c>
      <c r="F45" s="126">
        <f t="shared" si="1"/>
        <v>1.45238</v>
      </c>
      <c r="G45" s="124">
        <f t="shared" si="2"/>
        <v>0.18595</v>
      </c>
      <c r="H45" s="125">
        <v>64</v>
      </c>
      <c r="I45" s="126">
        <f t="shared" si="3"/>
        <v>1.5238100000000001</v>
      </c>
      <c r="J45" s="124">
        <f t="shared" si="4"/>
        <v>0.19047</v>
      </c>
      <c r="K45" s="125">
        <v>40</v>
      </c>
      <c r="L45" s="126">
        <f t="shared" si="5"/>
        <v>0.95238</v>
      </c>
      <c r="M45" s="124">
        <f t="shared" si="6"/>
        <v>0.15057999999999999</v>
      </c>
      <c r="N45" s="125">
        <v>11</v>
      </c>
      <c r="O45" s="126">
        <f t="shared" si="7"/>
        <v>0.26190000000000002</v>
      </c>
      <c r="P45" s="124">
        <f t="shared" si="8"/>
        <v>7.8960000000000002E-2</v>
      </c>
      <c r="Q45" s="125">
        <v>0</v>
      </c>
      <c r="R45" s="126">
        <f t="shared" si="9"/>
        <v>0</v>
      </c>
      <c r="S45" s="124">
        <f t="shared" si="10"/>
        <v>0</v>
      </c>
      <c r="T45" s="125">
        <v>3</v>
      </c>
      <c r="U45" s="126">
        <f t="shared" si="11"/>
        <v>7.1429999999999993E-2</v>
      </c>
      <c r="V45" s="124">
        <f t="shared" si="12"/>
        <v>4.1239999999999999E-2</v>
      </c>
    </row>
    <row r="46" spans="1:22" s="3" customFormat="1" x14ac:dyDescent="0.3">
      <c r="A46" s="38">
        <v>1978</v>
      </c>
      <c r="B46" s="122" t="str">
        <f t="shared" si="13"/>
        <v>1978-2020</v>
      </c>
      <c r="C46" s="127">
        <v>43</v>
      </c>
      <c r="D46" s="128">
        <f t="shared" si="14"/>
        <v>0.1525</v>
      </c>
      <c r="E46" s="125">
        <v>61</v>
      </c>
      <c r="F46" s="126">
        <f t="shared" si="1"/>
        <v>1.4186000000000001</v>
      </c>
      <c r="G46" s="124">
        <f t="shared" si="2"/>
        <v>0.18164</v>
      </c>
      <c r="H46" s="125">
        <v>64</v>
      </c>
      <c r="I46" s="126">
        <f t="shared" si="3"/>
        <v>1.48837</v>
      </c>
      <c r="J46" s="124">
        <f t="shared" si="4"/>
        <v>0.18604999999999999</v>
      </c>
      <c r="K46" s="125">
        <v>41</v>
      </c>
      <c r="L46" s="126">
        <f t="shared" si="5"/>
        <v>0.95348999999999995</v>
      </c>
      <c r="M46" s="124">
        <f t="shared" si="6"/>
        <v>0.14890999999999999</v>
      </c>
      <c r="N46" s="125">
        <v>11</v>
      </c>
      <c r="O46" s="126">
        <f t="shared" si="7"/>
        <v>0.25580999999999998</v>
      </c>
      <c r="P46" s="124">
        <f t="shared" si="8"/>
        <v>7.7130000000000004E-2</v>
      </c>
      <c r="Q46" s="125">
        <v>0</v>
      </c>
      <c r="R46" s="126">
        <f t="shared" si="9"/>
        <v>0</v>
      </c>
      <c r="S46" s="124">
        <f t="shared" si="10"/>
        <v>0</v>
      </c>
      <c r="T46" s="125">
        <v>3</v>
      </c>
      <c r="U46" s="126">
        <f t="shared" si="11"/>
        <v>6.9769999999999999E-2</v>
      </c>
      <c r="V46" s="124">
        <f t="shared" si="12"/>
        <v>4.0280000000000003E-2</v>
      </c>
    </row>
    <row r="47" spans="1:22" s="3" customFormat="1" x14ac:dyDescent="0.3">
      <c r="A47" s="38">
        <v>1977</v>
      </c>
      <c r="B47" s="122" t="str">
        <f t="shared" si="13"/>
        <v>1977-2020</v>
      </c>
      <c r="C47" s="123">
        <v>44</v>
      </c>
      <c r="D47" s="124">
        <f t="shared" si="14"/>
        <v>0.15076000000000001</v>
      </c>
      <c r="E47" s="125">
        <v>61</v>
      </c>
      <c r="F47" s="126">
        <f t="shared" si="1"/>
        <v>1.38636</v>
      </c>
      <c r="G47" s="124">
        <f t="shared" si="2"/>
        <v>0.17751</v>
      </c>
      <c r="H47" s="125">
        <v>64</v>
      </c>
      <c r="I47" s="126">
        <f t="shared" si="3"/>
        <v>1.45455</v>
      </c>
      <c r="J47" s="124">
        <f t="shared" si="4"/>
        <v>0.18182000000000001</v>
      </c>
      <c r="K47" s="125">
        <v>41</v>
      </c>
      <c r="L47" s="126">
        <f t="shared" si="5"/>
        <v>0.93181999999999998</v>
      </c>
      <c r="M47" s="124">
        <f t="shared" si="6"/>
        <v>0.14552999999999999</v>
      </c>
      <c r="N47" s="125">
        <v>11</v>
      </c>
      <c r="O47" s="126">
        <f t="shared" si="7"/>
        <v>0.25</v>
      </c>
      <c r="P47" s="124">
        <f t="shared" si="8"/>
        <v>7.5380000000000003E-2</v>
      </c>
      <c r="Q47" s="125">
        <v>0</v>
      </c>
      <c r="R47" s="126">
        <f t="shared" si="9"/>
        <v>0</v>
      </c>
      <c r="S47" s="124">
        <f t="shared" si="10"/>
        <v>0</v>
      </c>
      <c r="T47" s="125">
        <v>3</v>
      </c>
      <c r="U47" s="126">
        <f t="shared" si="11"/>
        <v>6.8180000000000004E-2</v>
      </c>
      <c r="V47" s="124">
        <f t="shared" si="12"/>
        <v>3.9370000000000002E-2</v>
      </c>
    </row>
    <row r="48" spans="1:22" s="3" customFormat="1" x14ac:dyDescent="0.3">
      <c r="A48" s="38">
        <v>1976</v>
      </c>
      <c r="B48" s="122" t="str">
        <f t="shared" si="13"/>
        <v>1976-2020</v>
      </c>
      <c r="C48" s="127">
        <v>45</v>
      </c>
      <c r="D48" s="128">
        <f t="shared" si="14"/>
        <v>0.14907000000000001</v>
      </c>
      <c r="E48" s="125">
        <v>61</v>
      </c>
      <c r="F48" s="126">
        <f t="shared" si="1"/>
        <v>1.3555600000000001</v>
      </c>
      <c r="G48" s="124">
        <f t="shared" si="2"/>
        <v>0.17355999999999999</v>
      </c>
      <c r="H48" s="125">
        <v>64</v>
      </c>
      <c r="I48" s="126">
        <f t="shared" si="3"/>
        <v>1.42222</v>
      </c>
      <c r="J48" s="124">
        <f t="shared" si="4"/>
        <v>0.17777999999999999</v>
      </c>
      <c r="K48" s="125">
        <v>41</v>
      </c>
      <c r="L48" s="126">
        <f t="shared" si="5"/>
        <v>0.91110999999999998</v>
      </c>
      <c r="M48" s="124">
        <f t="shared" si="6"/>
        <v>0.14229</v>
      </c>
      <c r="N48" s="125">
        <v>11</v>
      </c>
      <c r="O48" s="126">
        <f t="shared" si="7"/>
        <v>0.24443999999999999</v>
      </c>
      <c r="P48" s="124">
        <f t="shared" si="8"/>
        <v>7.3700000000000002E-2</v>
      </c>
      <c r="Q48" s="125">
        <v>0</v>
      </c>
      <c r="R48" s="126">
        <f t="shared" si="9"/>
        <v>0</v>
      </c>
      <c r="S48" s="124">
        <f t="shared" si="10"/>
        <v>0</v>
      </c>
      <c r="T48" s="125">
        <v>3</v>
      </c>
      <c r="U48" s="126">
        <f t="shared" si="11"/>
        <v>6.6669999999999993E-2</v>
      </c>
      <c r="V48" s="124">
        <f t="shared" si="12"/>
        <v>3.8490000000000003E-2</v>
      </c>
    </row>
    <row r="49" spans="1:22" s="3" customFormat="1" x14ac:dyDescent="0.3">
      <c r="A49" s="38">
        <v>1975</v>
      </c>
      <c r="B49" s="122" t="str">
        <f t="shared" si="13"/>
        <v>1975-2020</v>
      </c>
      <c r="C49" s="123">
        <v>46</v>
      </c>
      <c r="D49" s="124">
        <f t="shared" si="14"/>
        <v>0.14743999999999999</v>
      </c>
      <c r="E49" s="125">
        <v>61</v>
      </c>
      <c r="F49" s="126">
        <f t="shared" si="1"/>
        <v>1.32609</v>
      </c>
      <c r="G49" s="124">
        <f t="shared" si="2"/>
        <v>0.16979</v>
      </c>
      <c r="H49" s="125">
        <v>64</v>
      </c>
      <c r="I49" s="126">
        <f t="shared" si="3"/>
        <v>1.3913</v>
      </c>
      <c r="J49" s="124">
        <f t="shared" si="4"/>
        <v>0.17391000000000001</v>
      </c>
      <c r="K49" s="125">
        <v>41</v>
      </c>
      <c r="L49" s="126">
        <f t="shared" si="5"/>
        <v>0.89129999999999998</v>
      </c>
      <c r="M49" s="124">
        <f t="shared" si="6"/>
        <v>0.13919999999999999</v>
      </c>
      <c r="N49" s="125">
        <v>11</v>
      </c>
      <c r="O49" s="126">
        <f t="shared" si="7"/>
        <v>0.23913000000000001</v>
      </c>
      <c r="P49" s="124">
        <f t="shared" si="8"/>
        <v>7.2099999999999997E-2</v>
      </c>
      <c r="Q49" s="125">
        <v>0</v>
      </c>
      <c r="R49" s="126">
        <f t="shared" si="9"/>
        <v>0</v>
      </c>
      <c r="S49" s="124">
        <f t="shared" si="10"/>
        <v>0</v>
      </c>
      <c r="T49" s="125">
        <v>3</v>
      </c>
      <c r="U49" s="126">
        <f t="shared" si="11"/>
        <v>6.522E-2</v>
      </c>
      <c r="V49" s="124">
        <f t="shared" si="12"/>
        <v>3.7650000000000003E-2</v>
      </c>
    </row>
    <row r="50" spans="1:22" s="3" customFormat="1" x14ac:dyDescent="0.3">
      <c r="A50" s="38">
        <v>1974</v>
      </c>
      <c r="B50" s="122" t="str">
        <f t="shared" si="13"/>
        <v>1974-2020</v>
      </c>
      <c r="C50" s="127">
        <v>47</v>
      </c>
      <c r="D50" s="128">
        <f t="shared" si="14"/>
        <v>0.14585999999999999</v>
      </c>
      <c r="E50" s="125">
        <v>61</v>
      </c>
      <c r="F50" s="126">
        <f t="shared" si="1"/>
        <v>1.2978700000000001</v>
      </c>
      <c r="G50" s="124">
        <f t="shared" si="2"/>
        <v>0.16617000000000001</v>
      </c>
      <c r="H50" s="125">
        <v>64</v>
      </c>
      <c r="I50" s="126">
        <f t="shared" si="3"/>
        <v>1.3616999999999999</v>
      </c>
      <c r="J50" s="124">
        <f t="shared" si="4"/>
        <v>0.17021</v>
      </c>
      <c r="K50" s="125">
        <v>42</v>
      </c>
      <c r="L50" s="126">
        <f t="shared" si="5"/>
        <v>0.89361999999999997</v>
      </c>
      <c r="M50" s="124">
        <f t="shared" si="6"/>
        <v>0.13788</v>
      </c>
      <c r="N50" s="125">
        <v>11</v>
      </c>
      <c r="O50" s="126">
        <f t="shared" si="7"/>
        <v>0.23404</v>
      </c>
      <c r="P50" s="124">
        <f t="shared" si="8"/>
        <v>7.0559999999999998E-2</v>
      </c>
      <c r="Q50" s="125">
        <v>0</v>
      </c>
      <c r="R50" s="126">
        <f t="shared" si="9"/>
        <v>0</v>
      </c>
      <c r="S50" s="124">
        <f t="shared" si="10"/>
        <v>0</v>
      </c>
      <c r="T50" s="125">
        <v>3</v>
      </c>
      <c r="U50" s="126">
        <f t="shared" si="11"/>
        <v>6.3829999999999998E-2</v>
      </c>
      <c r="V50" s="124">
        <f t="shared" si="12"/>
        <v>3.6850000000000001E-2</v>
      </c>
    </row>
    <row r="51" spans="1:22" s="3" customFormat="1" x14ac:dyDescent="0.3">
      <c r="A51" s="38">
        <v>1973</v>
      </c>
      <c r="B51" s="122" t="str">
        <f t="shared" si="13"/>
        <v>1973-2020</v>
      </c>
      <c r="C51" s="123">
        <v>48</v>
      </c>
      <c r="D51" s="124">
        <f t="shared" si="14"/>
        <v>0.14434</v>
      </c>
      <c r="E51" s="125">
        <v>61</v>
      </c>
      <c r="F51" s="126">
        <f t="shared" si="1"/>
        <v>1.2708299999999999</v>
      </c>
      <c r="G51" s="124">
        <f t="shared" si="2"/>
        <v>0.16272</v>
      </c>
      <c r="H51" s="125">
        <v>64</v>
      </c>
      <c r="I51" s="126">
        <f t="shared" si="3"/>
        <v>1.3333299999999999</v>
      </c>
      <c r="J51" s="124">
        <f t="shared" si="4"/>
        <v>0.16667000000000001</v>
      </c>
      <c r="K51" s="125">
        <v>42</v>
      </c>
      <c r="L51" s="126">
        <f t="shared" si="5"/>
        <v>0.875</v>
      </c>
      <c r="M51" s="124">
        <f t="shared" si="6"/>
        <v>0.13502</v>
      </c>
      <c r="N51" s="125">
        <v>11</v>
      </c>
      <c r="O51" s="126">
        <f t="shared" si="7"/>
        <v>0.22917000000000001</v>
      </c>
      <c r="P51" s="124">
        <f t="shared" si="8"/>
        <v>6.9099999999999995E-2</v>
      </c>
      <c r="Q51" s="125">
        <v>0</v>
      </c>
      <c r="R51" s="126">
        <f t="shared" si="9"/>
        <v>0</v>
      </c>
      <c r="S51" s="124">
        <f t="shared" si="10"/>
        <v>0</v>
      </c>
      <c r="T51" s="125">
        <v>3</v>
      </c>
      <c r="U51" s="126">
        <f t="shared" si="11"/>
        <v>6.25E-2</v>
      </c>
      <c r="V51" s="124">
        <f t="shared" si="12"/>
        <v>3.6089999999999997E-2</v>
      </c>
    </row>
    <row r="52" spans="1:22" s="3" customFormat="1" x14ac:dyDescent="0.3">
      <c r="A52" s="38">
        <v>1972</v>
      </c>
      <c r="B52" s="122" t="str">
        <f t="shared" si="13"/>
        <v>1972-2020</v>
      </c>
      <c r="C52" s="127">
        <v>49</v>
      </c>
      <c r="D52" s="128">
        <f t="shared" si="14"/>
        <v>0.14285999999999999</v>
      </c>
      <c r="E52" s="125">
        <v>61</v>
      </c>
      <c r="F52" s="126">
        <f t="shared" si="1"/>
        <v>1.2448999999999999</v>
      </c>
      <c r="G52" s="124">
        <f t="shared" si="2"/>
        <v>0.15939999999999999</v>
      </c>
      <c r="H52" s="125">
        <v>64</v>
      </c>
      <c r="I52" s="126">
        <f t="shared" si="3"/>
        <v>1.3061199999999999</v>
      </c>
      <c r="J52" s="124">
        <f t="shared" si="4"/>
        <v>0.16327</v>
      </c>
      <c r="K52" s="125">
        <v>42</v>
      </c>
      <c r="L52" s="126">
        <f t="shared" si="5"/>
        <v>0.85714000000000001</v>
      </c>
      <c r="M52" s="124">
        <f t="shared" si="6"/>
        <v>0.13225999999999999</v>
      </c>
      <c r="N52" s="125">
        <v>11</v>
      </c>
      <c r="O52" s="126">
        <f t="shared" si="7"/>
        <v>0.22449</v>
      </c>
      <c r="P52" s="124">
        <f t="shared" si="8"/>
        <v>6.769E-2</v>
      </c>
      <c r="Q52" s="125">
        <v>0</v>
      </c>
      <c r="R52" s="126">
        <f t="shared" si="9"/>
        <v>0</v>
      </c>
      <c r="S52" s="124">
        <f t="shared" si="10"/>
        <v>0</v>
      </c>
      <c r="T52" s="125">
        <v>3</v>
      </c>
      <c r="U52" s="126">
        <f t="shared" si="11"/>
        <v>6.1219999999999997E-2</v>
      </c>
      <c r="V52" s="124">
        <f t="shared" si="12"/>
        <v>3.5349999999999999E-2</v>
      </c>
    </row>
    <row r="53" spans="1:22" s="3" customFormat="1" x14ac:dyDescent="0.3">
      <c r="A53" s="38">
        <v>1971</v>
      </c>
      <c r="B53" s="122" t="str">
        <f t="shared" si="13"/>
        <v>1971-2020</v>
      </c>
      <c r="C53" s="123">
        <v>50</v>
      </c>
      <c r="D53" s="124">
        <f t="shared" si="14"/>
        <v>0.14141999999999999</v>
      </c>
      <c r="E53" s="125">
        <v>61</v>
      </c>
      <c r="F53" s="126">
        <f t="shared" si="1"/>
        <v>1.22</v>
      </c>
      <c r="G53" s="124">
        <f t="shared" si="2"/>
        <v>0.15620000000000001</v>
      </c>
      <c r="H53" s="125">
        <v>64</v>
      </c>
      <c r="I53" s="126">
        <f t="shared" si="3"/>
        <v>1.28</v>
      </c>
      <c r="J53" s="124">
        <f t="shared" si="4"/>
        <v>0.16</v>
      </c>
      <c r="K53" s="125">
        <v>42</v>
      </c>
      <c r="L53" s="126">
        <f t="shared" si="5"/>
        <v>0.84</v>
      </c>
      <c r="M53" s="124">
        <f t="shared" si="6"/>
        <v>0.12961</v>
      </c>
      <c r="N53" s="125">
        <v>11</v>
      </c>
      <c r="O53" s="126">
        <f t="shared" si="7"/>
        <v>0.22</v>
      </c>
      <c r="P53" s="124">
        <f t="shared" si="8"/>
        <v>6.633E-2</v>
      </c>
      <c r="Q53" s="125">
        <v>0</v>
      </c>
      <c r="R53" s="126">
        <f t="shared" si="9"/>
        <v>0</v>
      </c>
      <c r="S53" s="124">
        <f t="shared" si="10"/>
        <v>0</v>
      </c>
      <c r="T53" s="125">
        <v>3</v>
      </c>
      <c r="U53" s="126">
        <f t="shared" si="11"/>
        <v>0.06</v>
      </c>
      <c r="V53" s="124">
        <f t="shared" si="12"/>
        <v>3.4639999999999997E-2</v>
      </c>
    </row>
    <row r="54" spans="1:22" s="3" customFormat="1" x14ac:dyDescent="0.3">
      <c r="A54" s="38">
        <v>1970</v>
      </c>
      <c r="B54" s="122" t="str">
        <f t="shared" si="13"/>
        <v>1970-2020</v>
      </c>
      <c r="C54" s="127">
        <v>51</v>
      </c>
      <c r="D54" s="128">
        <f t="shared" si="14"/>
        <v>0.14002999999999999</v>
      </c>
      <c r="E54" s="125">
        <v>61</v>
      </c>
      <c r="F54" s="126">
        <f t="shared" si="1"/>
        <v>1.19608</v>
      </c>
      <c r="G54" s="124">
        <f t="shared" si="2"/>
        <v>0.15314</v>
      </c>
      <c r="H54" s="125">
        <v>64</v>
      </c>
      <c r="I54" s="126">
        <f t="shared" si="3"/>
        <v>1.2548999999999999</v>
      </c>
      <c r="J54" s="124">
        <f t="shared" si="4"/>
        <v>0.15686</v>
      </c>
      <c r="K54" s="125">
        <v>42</v>
      </c>
      <c r="L54" s="126">
        <f t="shared" si="5"/>
        <v>0.82352999999999998</v>
      </c>
      <c r="M54" s="124">
        <f t="shared" si="6"/>
        <v>0.12708</v>
      </c>
      <c r="N54" s="125">
        <v>11</v>
      </c>
      <c r="O54" s="126">
        <f t="shared" si="7"/>
        <v>0.21568999999999999</v>
      </c>
      <c r="P54" s="124">
        <f t="shared" si="8"/>
        <v>6.5030000000000004E-2</v>
      </c>
      <c r="Q54" s="125">
        <v>1</v>
      </c>
      <c r="R54" s="126">
        <f t="shared" si="9"/>
        <v>1.9609999999999999E-2</v>
      </c>
      <c r="S54" s="124">
        <f t="shared" si="10"/>
        <v>1.9609999999999999E-2</v>
      </c>
      <c r="T54" s="125">
        <v>3</v>
      </c>
      <c r="U54" s="126">
        <f t="shared" si="11"/>
        <v>5.8819999999999997E-2</v>
      </c>
      <c r="V54" s="124">
        <f t="shared" si="12"/>
        <v>3.3959999999999997E-2</v>
      </c>
    </row>
    <row r="55" spans="1:22" s="3" customFormat="1" x14ac:dyDescent="0.3">
      <c r="A55" s="38">
        <v>1969</v>
      </c>
      <c r="B55" s="122" t="str">
        <f t="shared" si="13"/>
        <v>1969-2020</v>
      </c>
      <c r="C55" s="123">
        <v>52</v>
      </c>
      <c r="D55" s="124">
        <f t="shared" si="14"/>
        <v>0.13868</v>
      </c>
      <c r="E55" s="125">
        <v>61</v>
      </c>
      <c r="F55" s="126">
        <f t="shared" si="1"/>
        <v>1.1730799999999999</v>
      </c>
      <c r="G55" s="124">
        <f t="shared" si="2"/>
        <v>0.1502</v>
      </c>
      <c r="H55" s="125">
        <v>64</v>
      </c>
      <c r="I55" s="126">
        <f t="shared" si="3"/>
        <v>1.2307699999999999</v>
      </c>
      <c r="J55" s="124">
        <f t="shared" si="4"/>
        <v>0.15384999999999999</v>
      </c>
      <c r="K55" s="125">
        <v>42</v>
      </c>
      <c r="L55" s="126">
        <f t="shared" si="5"/>
        <v>0.80769000000000002</v>
      </c>
      <c r="M55" s="124">
        <f t="shared" si="6"/>
        <v>0.12463</v>
      </c>
      <c r="N55" s="125">
        <v>12</v>
      </c>
      <c r="O55" s="126">
        <f t="shared" si="7"/>
        <v>0.23077</v>
      </c>
      <c r="P55" s="124">
        <f t="shared" si="8"/>
        <v>6.6619999999999999E-2</v>
      </c>
      <c r="Q55" s="125">
        <v>1</v>
      </c>
      <c r="R55" s="126">
        <f t="shared" si="9"/>
        <v>1.9230000000000001E-2</v>
      </c>
      <c r="S55" s="124">
        <f t="shared" si="10"/>
        <v>1.9230000000000001E-2</v>
      </c>
      <c r="T55" s="125">
        <v>3</v>
      </c>
      <c r="U55" s="126">
        <f t="shared" si="11"/>
        <v>5.7689999999999998E-2</v>
      </c>
      <c r="V55" s="124">
        <f t="shared" si="12"/>
        <v>3.3309999999999999E-2</v>
      </c>
    </row>
    <row r="56" spans="1:22" s="3" customFormat="1" x14ac:dyDescent="0.3">
      <c r="A56" s="38">
        <v>1968</v>
      </c>
      <c r="B56" s="122" t="str">
        <f t="shared" si="13"/>
        <v>1968-2020</v>
      </c>
      <c r="C56" s="127">
        <v>53</v>
      </c>
      <c r="D56" s="128">
        <f t="shared" si="14"/>
        <v>0.13736000000000001</v>
      </c>
      <c r="E56" s="125">
        <v>61</v>
      </c>
      <c r="F56" s="126">
        <f t="shared" si="1"/>
        <v>1.1509400000000001</v>
      </c>
      <c r="G56" s="124">
        <f t="shared" si="2"/>
        <v>0.14735999999999999</v>
      </c>
      <c r="H56" s="125">
        <v>64</v>
      </c>
      <c r="I56" s="126">
        <f t="shared" si="3"/>
        <v>1.2075499999999999</v>
      </c>
      <c r="J56" s="124">
        <f t="shared" si="4"/>
        <v>0.15093999999999999</v>
      </c>
      <c r="K56" s="125">
        <v>42</v>
      </c>
      <c r="L56" s="126">
        <f t="shared" si="5"/>
        <v>0.79244999999999999</v>
      </c>
      <c r="M56" s="124">
        <f t="shared" si="6"/>
        <v>0.12228</v>
      </c>
      <c r="N56" s="125">
        <v>12</v>
      </c>
      <c r="O56" s="126">
        <f t="shared" si="7"/>
        <v>0.22642000000000001</v>
      </c>
      <c r="P56" s="124">
        <f t="shared" si="8"/>
        <v>6.5360000000000001E-2</v>
      </c>
      <c r="Q56" s="125">
        <v>1</v>
      </c>
      <c r="R56" s="126">
        <f t="shared" si="9"/>
        <v>1.8870000000000001E-2</v>
      </c>
      <c r="S56" s="124">
        <f t="shared" si="10"/>
        <v>1.8870000000000001E-2</v>
      </c>
      <c r="T56" s="125">
        <v>3</v>
      </c>
      <c r="U56" s="126">
        <f t="shared" si="11"/>
        <v>5.6599999999999998E-2</v>
      </c>
      <c r="V56" s="124">
        <f t="shared" si="12"/>
        <v>3.2680000000000001E-2</v>
      </c>
    </row>
    <row r="57" spans="1:22" s="3" customFormat="1" x14ac:dyDescent="0.3">
      <c r="A57" s="38">
        <v>1967</v>
      </c>
      <c r="B57" s="122" t="str">
        <f t="shared" si="13"/>
        <v>1967-2020</v>
      </c>
      <c r="C57" s="123">
        <v>54</v>
      </c>
      <c r="D57" s="124">
        <f t="shared" si="14"/>
        <v>0.13608000000000001</v>
      </c>
      <c r="E57" s="125">
        <v>61</v>
      </c>
      <c r="F57" s="126">
        <f t="shared" si="1"/>
        <v>1.1296299999999999</v>
      </c>
      <c r="G57" s="124">
        <f t="shared" si="2"/>
        <v>0.14463000000000001</v>
      </c>
      <c r="H57" s="125">
        <v>64</v>
      </c>
      <c r="I57" s="126">
        <f t="shared" si="3"/>
        <v>1.18519</v>
      </c>
      <c r="J57" s="124">
        <f t="shared" si="4"/>
        <v>0.14815</v>
      </c>
      <c r="K57" s="125">
        <v>42</v>
      </c>
      <c r="L57" s="126">
        <f t="shared" si="5"/>
        <v>0.77778000000000003</v>
      </c>
      <c r="M57" s="124">
        <f t="shared" si="6"/>
        <v>0.12001000000000001</v>
      </c>
      <c r="N57" s="125">
        <v>12</v>
      </c>
      <c r="O57" s="126">
        <f t="shared" si="7"/>
        <v>0.22222</v>
      </c>
      <c r="P57" s="124">
        <f t="shared" si="8"/>
        <v>6.4149999999999999E-2</v>
      </c>
      <c r="Q57" s="125">
        <v>1</v>
      </c>
      <c r="R57" s="126">
        <f t="shared" si="9"/>
        <v>1.8519999999999998E-2</v>
      </c>
      <c r="S57" s="124">
        <f t="shared" si="10"/>
        <v>1.8519999999999998E-2</v>
      </c>
      <c r="T57" s="125">
        <v>3</v>
      </c>
      <c r="U57" s="126">
        <f t="shared" si="11"/>
        <v>5.5559999999999998E-2</v>
      </c>
      <c r="V57" s="124">
        <f t="shared" si="12"/>
        <v>3.2079999999999997E-2</v>
      </c>
    </row>
    <row r="58" spans="1:22" s="3" customFormat="1" x14ac:dyDescent="0.3">
      <c r="A58" s="38">
        <v>1966</v>
      </c>
      <c r="B58" s="122" t="str">
        <f t="shared" si="13"/>
        <v>1966-2020</v>
      </c>
      <c r="C58" s="127">
        <v>55</v>
      </c>
      <c r="D58" s="128">
        <f t="shared" si="14"/>
        <v>0.13483999999999999</v>
      </c>
      <c r="E58" s="125">
        <v>61</v>
      </c>
      <c r="F58" s="126">
        <f t="shared" si="1"/>
        <v>1.1090899999999999</v>
      </c>
      <c r="G58" s="124">
        <f t="shared" si="2"/>
        <v>0.14199999999999999</v>
      </c>
      <c r="H58" s="125">
        <v>64</v>
      </c>
      <c r="I58" s="126">
        <f t="shared" si="3"/>
        <v>1.16364</v>
      </c>
      <c r="J58" s="124">
        <f t="shared" si="4"/>
        <v>0.14545</v>
      </c>
      <c r="K58" s="125">
        <v>42</v>
      </c>
      <c r="L58" s="126">
        <f t="shared" si="5"/>
        <v>0.76363999999999999</v>
      </c>
      <c r="M58" s="124">
        <f t="shared" si="6"/>
        <v>0.11783</v>
      </c>
      <c r="N58" s="125">
        <v>12</v>
      </c>
      <c r="O58" s="126">
        <f t="shared" si="7"/>
        <v>0.21818000000000001</v>
      </c>
      <c r="P58" s="124">
        <f t="shared" si="8"/>
        <v>6.2979999999999994E-2</v>
      </c>
      <c r="Q58" s="125">
        <v>1</v>
      </c>
      <c r="R58" s="126">
        <f t="shared" si="9"/>
        <v>1.8180000000000002E-2</v>
      </c>
      <c r="S58" s="124">
        <f t="shared" si="10"/>
        <v>1.8180000000000002E-2</v>
      </c>
      <c r="T58" s="125">
        <v>3</v>
      </c>
      <c r="U58" s="126">
        <f t="shared" si="11"/>
        <v>5.4550000000000001E-2</v>
      </c>
      <c r="V58" s="124">
        <f t="shared" si="12"/>
        <v>3.1489999999999997E-2</v>
      </c>
    </row>
    <row r="59" spans="1:22" s="3" customFormat="1" x14ac:dyDescent="0.3">
      <c r="A59" s="38">
        <v>1965</v>
      </c>
      <c r="B59" s="122" t="str">
        <f t="shared" si="13"/>
        <v>1965-2020</v>
      </c>
      <c r="C59" s="123">
        <v>56</v>
      </c>
      <c r="D59" s="124">
        <f t="shared" si="14"/>
        <v>0.13363</v>
      </c>
      <c r="E59" s="125">
        <v>61</v>
      </c>
      <c r="F59" s="126">
        <f t="shared" si="1"/>
        <v>1.0892900000000001</v>
      </c>
      <c r="G59" s="124">
        <f t="shared" si="2"/>
        <v>0.13947000000000001</v>
      </c>
      <c r="H59" s="125">
        <v>64</v>
      </c>
      <c r="I59" s="126">
        <f t="shared" si="3"/>
        <v>1.14286</v>
      </c>
      <c r="J59" s="124">
        <f t="shared" si="4"/>
        <v>0.14285999999999999</v>
      </c>
      <c r="K59" s="125">
        <v>42</v>
      </c>
      <c r="L59" s="126">
        <f t="shared" si="5"/>
        <v>0.75</v>
      </c>
      <c r="M59" s="124">
        <f t="shared" si="6"/>
        <v>0.11573</v>
      </c>
      <c r="N59" s="125">
        <v>12</v>
      </c>
      <c r="O59" s="126">
        <f t="shared" si="7"/>
        <v>0.21429000000000001</v>
      </c>
      <c r="P59" s="124">
        <f t="shared" si="8"/>
        <v>6.1859999999999998E-2</v>
      </c>
      <c r="Q59" s="125">
        <v>1</v>
      </c>
      <c r="R59" s="126">
        <f t="shared" si="9"/>
        <v>1.7860000000000001E-2</v>
      </c>
      <c r="S59" s="124">
        <f t="shared" si="10"/>
        <v>1.7860000000000001E-2</v>
      </c>
      <c r="T59" s="125">
        <v>3</v>
      </c>
      <c r="U59" s="126">
        <f t="shared" si="11"/>
        <v>5.357E-2</v>
      </c>
      <c r="V59" s="124">
        <f t="shared" si="12"/>
        <v>3.0929999999999999E-2</v>
      </c>
    </row>
    <row r="60" spans="1:22" s="3" customFormat="1" x14ac:dyDescent="0.3">
      <c r="A60" s="38">
        <v>1964</v>
      </c>
      <c r="B60" s="122" t="str">
        <f t="shared" si="13"/>
        <v>1964-2020</v>
      </c>
      <c r="C60" s="127">
        <v>57</v>
      </c>
      <c r="D60" s="128">
        <f t="shared" si="14"/>
        <v>0.13245000000000001</v>
      </c>
      <c r="E60" s="125">
        <v>61</v>
      </c>
      <c r="F60" s="126">
        <f t="shared" si="1"/>
        <v>1.0701799999999999</v>
      </c>
      <c r="G60" s="124">
        <f t="shared" si="2"/>
        <v>0.13702</v>
      </c>
      <c r="H60" s="125">
        <v>64</v>
      </c>
      <c r="I60" s="126">
        <f t="shared" si="3"/>
        <v>1.1228100000000001</v>
      </c>
      <c r="J60" s="124">
        <f t="shared" si="4"/>
        <v>0.14035</v>
      </c>
      <c r="K60" s="125">
        <v>42</v>
      </c>
      <c r="L60" s="126">
        <f t="shared" si="5"/>
        <v>0.73684000000000005</v>
      </c>
      <c r="M60" s="124">
        <f t="shared" si="6"/>
        <v>0.11369</v>
      </c>
      <c r="N60" s="125">
        <v>12</v>
      </c>
      <c r="O60" s="126">
        <f t="shared" si="7"/>
        <v>0.21052999999999999</v>
      </c>
      <c r="P60" s="124">
        <f t="shared" si="8"/>
        <v>6.0769999999999998E-2</v>
      </c>
      <c r="Q60" s="125">
        <v>1</v>
      </c>
      <c r="R60" s="126">
        <f t="shared" si="9"/>
        <v>1.754E-2</v>
      </c>
      <c r="S60" s="124">
        <f t="shared" si="10"/>
        <v>1.754E-2</v>
      </c>
      <c r="T60" s="125">
        <v>3</v>
      </c>
      <c r="U60" s="126">
        <f t="shared" si="11"/>
        <v>5.2630000000000003E-2</v>
      </c>
      <c r="V60" s="124">
        <f t="shared" si="12"/>
        <v>3.039E-2</v>
      </c>
    </row>
    <row r="61" spans="1:22" s="3" customFormat="1" x14ac:dyDescent="0.3">
      <c r="A61" s="38">
        <v>1963</v>
      </c>
      <c r="B61" s="122" t="str">
        <f t="shared" si="13"/>
        <v>1963-2020</v>
      </c>
      <c r="C61" s="123">
        <v>58</v>
      </c>
      <c r="D61" s="124">
        <f t="shared" si="14"/>
        <v>0.13131000000000001</v>
      </c>
      <c r="E61" s="125">
        <v>61</v>
      </c>
      <c r="F61" s="126">
        <f t="shared" si="1"/>
        <v>1.05172</v>
      </c>
      <c r="G61" s="124">
        <f t="shared" si="2"/>
        <v>0.13466</v>
      </c>
      <c r="H61" s="125">
        <v>64</v>
      </c>
      <c r="I61" s="126">
        <f t="shared" si="3"/>
        <v>1.10345</v>
      </c>
      <c r="J61" s="124">
        <f t="shared" si="4"/>
        <v>0.13793</v>
      </c>
      <c r="K61" s="125">
        <v>42</v>
      </c>
      <c r="L61" s="126">
        <f t="shared" si="5"/>
        <v>0.72414000000000001</v>
      </c>
      <c r="M61" s="124">
        <f t="shared" si="6"/>
        <v>0.11174000000000001</v>
      </c>
      <c r="N61" s="125">
        <v>12</v>
      </c>
      <c r="O61" s="126">
        <f t="shared" si="7"/>
        <v>0.2069</v>
      </c>
      <c r="P61" s="124">
        <f t="shared" si="8"/>
        <v>5.9729999999999998E-2</v>
      </c>
      <c r="Q61" s="125">
        <v>1</v>
      </c>
      <c r="R61" s="126">
        <f t="shared" si="9"/>
        <v>1.7239999999999998E-2</v>
      </c>
      <c r="S61" s="124">
        <f t="shared" si="10"/>
        <v>1.7239999999999998E-2</v>
      </c>
      <c r="T61" s="125">
        <v>3</v>
      </c>
      <c r="U61" s="126">
        <f t="shared" si="11"/>
        <v>5.1720000000000002E-2</v>
      </c>
      <c r="V61" s="124">
        <f t="shared" si="12"/>
        <v>2.9860000000000001E-2</v>
      </c>
    </row>
    <row r="62" spans="1:22" s="3" customFormat="1" x14ac:dyDescent="0.3">
      <c r="A62" s="38">
        <v>1962</v>
      </c>
      <c r="B62" s="122" t="str">
        <f t="shared" si="13"/>
        <v>1962-2020</v>
      </c>
      <c r="C62" s="127">
        <v>59</v>
      </c>
      <c r="D62" s="128">
        <f t="shared" si="14"/>
        <v>0.13019</v>
      </c>
      <c r="E62" s="125">
        <v>61</v>
      </c>
      <c r="F62" s="126">
        <f t="shared" si="1"/>
        <v>1.0339</v>
      </c>
      <c r="G62" s="124">
        <f t="shared" si="2"/>
        <v>0.13238</v>
      </c>
      <c r="H62" s="125">
        <v>64</v>
      </c>
      <c r="I62" s="126">
        <f t="shared" si="3"/>
        <v>1.0847500000000001</v>
      </c>
      <c r="J62" s="124">
        <f t="shared" si="4"/>
        <v>0.13558999999999999</v>
      </c>
      <c r="K62" s="125">
        <v>42</v>
      </c>
      <c r="L62" s="126">
        <f t="shared" si="5"/>
        <v>0.71186000000000005</v>
      </c>
      <c r="M62" s="124">
        <f t="shared" si="6"/>
        <v>0.10983999999999999</v>
      </c>
      <c r="N62" s="125">
        <v>13</v>
      </c>
      <c r="O62" s="126">
        <f t="shared" si="7"/>
        <v>0.22034000000000001</v>
      </c>
      <c r="P62" s="124">
        <f t="shared" si="8"/>
        <v>6.1109999999999998E-2</v>
      </c>
      <c r="Q62" s="125">
        <v>1</v>
      </c>
      <c r="R62" s="126">
        <f t="shared" si="9"/>
        <v>1.695E-2</v>
      </c>
      <c r="S62" s="124">
        <f t="shared" si="10"/>
        <v>1.695E-2</v>
      </c>
      <c r="T62" s="125">
        <v>3</v>
      </c>
      <c r="U62" s="126">
        <f t="shared" si="11"/>
        <v>5.0849999999999999E-2</v>
      </c>
      <c r="V62" s="124">
        <f t="shared" si="12"/>
        <v>2.9360000000000001E-2</v>
      </c>
    </row>
    <row r="63" spans="1:22" s="3" customFormat="1" x14ac:dyDescent="0.3">
      <c r="A63" s="38">
        <v>1961</v>
      </c>
      <c r="B63" s="122" t="str">
        <f t="shared" si="13"/>
        <v>1961-2020</v>
      </c>
      <c r="C63" s="123">
        <v>60</v>
      </c>
      <c r="D63" s="124">
        <f t="shared" si="14"/>
        <v>0.12909999999999999</v>
      </c>
      <c r="E63" s="125">
        <v>61</v>
      </c>
      <c r="F63" s="126">
        <f t="shared" si="1"/>
        <v>1.01667</v>
      </c>
      <c r="G63" s="124">
        <f t="shared" si="2"/>
        <v>0.13017000000000001</v>
      </c>
      <c r="H63" s="125">
        <v>64</v>
      </c>
      <c r="I63" s="126">
        <f t="shared" si="3"/>
        <v>1.06667</v>
      </c>
      <c r="J63" s="124">
        <f t="shared" si="4"/>
        <v>0.13333</v>
      </c>
      <c r="K63" s="125">
        <v>42</v>
      </c>
      <c r="L63" s="126">
        <f t="shared" si="5"/>
        <v>0.7</v>
      </c>
      <c r="M63" s="124">
        <f t="shared" si="6"/>
        <v>0.10800999999999999</v>
      </c>
      <c r="N63" s="125">
        <v>13</v>
      </c>
      <c r="O63" s="126">
        <f t="shared" si="7"/>
        <v>0.21667</v>
      </c>
      <c r="P63" s="124">
        <f t="shared" si="8"/>
        <v>6.0089999999999998E-2</v>
      </c>
      <c r="Q63" s="125">
        <v>1</v>
      </c>
      <c r="R63" s="126">
        <f t="shared" si="9"/>
        <v>1.6670000000000001E-2</v>
      </c>
      <c r="S63" s="124">
        <f t="shared" si="10"/>
        <v>1.6670000000000001E-2</v>
      </c>
      <c r="T63" s="125">
        <v>3</v>
      </c>
      <c r="U63" s="126">
        <f t="shared" si="11"/>
        <v>0.05</v>
      </c>
      <c r="V63" s="124">
        <f t="shared" si="12"/>
        <v>2.887E-2</v>
      </c>
    </row>
    <row r="64" spans="1:22" s="3" customFormat="1" x14ac:dyDescent="0.3">
      <c r="A64" s="38">
        <v>1960</v>
      </c>
      <c r="B64" s="122" t="str">
        <f t="shared" si="13"/>
        <v>1960-2020</v>
      </c>
      <c r="C64" s="127">
        <v>61</v>
      </c>
      <c r="D64" s="128">
        <f t="shared" si="14"/>
        <v>0.12803999999999999</v>
      </c>
      <c r="E64" s="125">
        <v>61</v>
      </c>
      <c r="F64" s="126">
        <f t="shared" si="1"/>
        <v>1</v>
      </c>
      <c r="G64" s="124">
        <f t="shared" si="2"/>
        <v>0.12803999999999999</v>
      </c>
      <c r="H64" s="125">
        <v>64</v>
      </c>
      <c r="I64" s="126">
        <f t="shared" si="3"/>
        <v>1.04918</v>
      </c>
      <c r="J64" s="124">
        <f t="shared" si="4"/>
        <v>0.13114999999999999</v>
      </c>
      <c r="K64" s="125">
        <v>42</v>
      </c>
      <c r="L64" s="126">
        <f t="shared" si="5"/>
        <v>0.68852000000000002</v>
      </c>
      <c r="M64" s="124">
        <f t="shared" si="6"/>
        <v>0.10624</v>
      </c>
      <c r="N64" s="125">
        <v>13</v>
      </c>
      <c r="O64" s="126">
        <f t="shared" si="7"/>
        <v>0.21310999999999999</v>
      </c>
      <c r="P64" s="124">
        <f t="shared" si="8"/>
        <v>5.9110000000000003E-2</v>
      </c>
      <c r="Q64" s="125">
        <v>1</v>
      </c>
      <c r="R64" s="126">
        <f t="shared" si="9"/>
        <v>1.6389999999999998E-2</v>
      </c>
      <c r="S64" s="124">
        <f t="shared" si="10"/>
        <v>1.6389999999999998E-2</v>
      </c>
      <c r="T64" s="125">
        <v>3</v>
      </c>
      <c r="U64" s="126">
        <f t="shared" si="11"/>
        <v>4.9180000000000001E-2</v>
      </c>
      <c r="V64" s="124">
        <f t="shared" si="12"/>
        <v>2.8389999999999999E-2</v>
      </c>
    </row>
    <row r="65" spans="1:22" s="3" customFormat="1" x14ac:dyDescent="0.3">
      <c r="A65" s="38">
        <v>1959</v>
      </c>
      <c r="B65" s="122" t="str">
        <f t="shared" si="13"/>
        <v>1959-2020</v>
      </c>
      <c r="C65" s="123">
        <v>62</v>
      </c>
      <c r="D65" s="124">
        <f t="shared" si="14"/>
        <v>0.127</v>
      </c>
      <c r="E65" s="125">
        <v>61</v>
      </c>
      <c r="F65" s="126">
        <f t="shared" si="1"/>
        <v>0.98387000000000002</v>
      </c>
      <c r="G65" s="124">
        <f t="shared" si="2"/>
        <v>0.12597</v>
      </c>
      <c r="H65" s="125">
        <v>64</v>
      </c>
      <c r="I65" s="126">
        <f t="shared" si="3"/>
        <v>1.03226</v>
      </c>
      <c r="J65" s="124">
        <f t="shared" si="4"/>
        <v>0.12903000000000001</v>
      </c>
      <c r="K65" s="125">
        <v>42</v>
      </c>
      <c r="L65" s="126">
        <f t="shared" si="5"/>
        <v>0.67742000000000002</v>
      </c>
      <c r="M65" s="124">
        <f t="shared" si="6"/>
        <v>0.10453</v>
      </c>
      <c r="N65" s="125">
        <v>13</v>
      </c>
      <c r="O65" s="126">
        <f t="shared" si="7"/>
        <v>0.20968000000000001</v>
      </c>
      <c r="P65" s="124">
        <f t="shared" si="8"/>
        <v>5.815E-2</v>
      </c>
      <c r="Q65" s="125">
        <v>1</v>
      </c>
      <c r="R65" s="126">
        <f t="shared" si="9"/>
        <v>1.6129999999999999E-2</v>
      </c>
      <c r="S65" s="124">
        <f t="shared" si="10"/>
        <v>1.6129999999999999E-2</v>
      </c>
      <c r="T65" s="125">
        <v>3</v>
      </c>
      <c r="U65" s="126">
        <f t="shared" si="11"/>
        <v>4.8390000000000002E-2</v>
      </c>
      <c r="V65" s="124">
        <f t="shared" si="12"/>
        <v>2.794E-2</v>
      </c>
    </row>
    <row r="66" spans="1:22" s="3" customFormat="1" x14ac:dyDescent="0.3">
      <c r="A66" s="38">
        <v>1958</v>
      </c>
      <c r="B66" s="122" t="str">
        <f t="shared" si="13"/>
        <v>1958-2020</v>
      </c>
      <c r="C66" s="127">
        <v>63</v>
      </c>
      <c r="D66" s="128">
        <f t="shared" si="14"/>
        <v>0.12598999999999999</v>
      </c>
      <c r="E66" s="125">
        <v>61</v>
      </c>
      <c r="F66" s="126">
        <f t="shared" si="1"/>
        <v>0.96825000000000006</v>
      </c>
      <c r="G66" s="124">
        <f t="shared" si="2"/>
        <v>0.12397</v>
      </c>
      <c r="H66" s="125">
        <v>64</v>
      </c>
      <c r="I66" s="126">
        <f t="shared" si="3"/>
        <v>1.0158700000000001</v>
      </c>
      <c r="J66" s="124">
        <f t="shared" si="4"/>
        <v>0.12698999999999999</v>
      </c>
      <c r="K66" s="125">
        <v>42</v>
      </c>
      <c r="L66" s="126">
        <f t="shared" si="5"/>
        <v>0.66666999999999998</v>
      </c>
      <c r="M66" s="124">
        <f t="shared" si="6"/>
        <v>0.10287</v>
      </c>
      <c r="N66" s="125">
        <v>13</v>
      </c>
      <c r="O66" s="126">
        <f t="shared" si="7"/>
        <v>0.20635000000000001</v>
      </c>
      <c r="P66" s="124">
        <f t="shared" si="8"/>
        <v>5.7230000000000003E-2</v>
      </c>
      <c r="Q66" s="125">
        <v>1</v>
      </c>
      <c r="R66" s="126">
        <f t="shared" si="9"/>
        <v>1.5869999999999999E-2</v>
      </c>
      <c r="S66" s="124">
        <f t="shared" si="10"/>
        <v>1.5869999999999999E-2</v>
      </c>
      <c r="T66" s="125">
        <v>3</v>
      </c>
      <c r="U66" s="126">
        <f t="shared" si="11"/>
        <v>4.7620000000000003E-2</v>
      </c>
      <c r="V66" s="124">
        <f t="shared" si="12"/>
        <v>2.7490000000000001E-2</v>
      </c>
    </row>
    <row r="67" spans="1:22" s="3" customFormat="1" x14ac:dyDescent="0.3">
      <c r="A67" s="38">
        <v>1957</v>
      </c>
      <c r="B67" s="122" t="str">
        <f t="shared" si="13"/>
        <v>1957-2020</v>
      </c>
      <c r="C67" s="123">
        <v>64</v>
      </c>
      <c r="D67" s="124">
        <f t="shared" si="14"/>
        <v>0.125</v>
      </c>
      <c r="E67" s="125">
        <v>61</v>
      </c>
      <c r="F67" s="126">
        <f t="shared" si="1"/>
        <v>0.95313000000000003</v>
      </c>
      <c r="G67" s="124">
        <f t="shared" si="2"/>
        <v>0.12204</v>
      </c>
      <c r="H67" s="125">
        <v>64</v>
      </c>
      <c r="I67" s="126">
        <f t="shared" si="3"/>
        <v>1</v>
      </c>
      <c r="J67" s="124">
        <f t="shared" si="4"/>
        <v>0.125</v>
      </c>
      <c r="K67" s="125">
        <v>42</v>
      </c>
      <c r="L67" s="126">
        <f t="shared" si="5"/>
        <v>0.65625</v>
      </c>
      <c r="M67" s="124">
        <f t="shared" si="6"/>
        <v>0.10126</v>
      </c>
      <c r="N67" s="125">
        <v>13</v>
      </c>
      <c r="O67" s="126">
        <f t="shared" si="7"/>
        <v>0.20313000000000001</v>
      </c>
      <c r="P67" s="124">
        <f t="shared" si="8"/>
        <v>5.6340000000000001E-2</v>
      </c>
      <c r="Q67" s="125">
        <v>2</v>
      </c>
      <c r="R67" s="126">
        <f t="shared" si="9"/>
        <v>3.125E-2</v>
      </c>
      <c r="S67" s="124">
        <f t="shared" si="10"/>
        <v>2.2100000000000002E-2</v>
      </c>
      <c r="T67" s="125">
        <v>3</v>
      </c>
      <c r="U67" s="126">
        <f t="shared" si="11"/>
        <v>4.6879999999999998E-2</v>
      </c>
      <c r="V67" s="124">
        <f t="shared" si="12"/>
        <v>2.7060000000000001E-2</v>
      </c>
    </row>
    <row r="68" spans="1:22" s="3" customFormat="1" x14ac:dyDescent="0.3">
      <c r="A68" s="38">
        <v>1956</v>
      </c>
      <c r="B68" s="122" t="str">
        <f t="shared" si="13"/>
        <v>1956-2020</v>
      </c>
      <c r="C68" s="127">
        <v>65</v>
      </c>
      <c r="D68" s="128">
        <f t="shared" si="14"/>
        <v>0.12403</v>
      </c>
      <c r="E68" s="125">
        <v>61</v>
      </c>
      <c r="F68" s="126">
        <f t="shared" si="1"/>
        <v>0.93845999999999996</v>
      </c>
      <c r="G68" s="124">
        <f t="shared" si="2"/>
        <v>0.12015000000000001</v>
      </c>
      <c r="H68" s="125">
        <v>64</v>
      </c>
      <c r="I68" s="126">
        <f t="shared" si="3"/>
        <v>0.98462000000000005</v>
      </c>
      <c r="J68" s="124">
        <f t="shared" si="4"/>
        <v>0.12307</v>
      </c>
      <c r="K68" s="125">
        <v>42</v>
      </c>
      <c r="L68" s="126">
        <f t="shared" si="5"/>
        <v>0.64615</v>
      </c>
      <c r="M68" s="124">
        <f t="shared" si="6"/>
        <v>9.9699999999999997E-2</v>
      </c>
      <c r="N68" s="125">
        <v>13</v>
      </c>
      <c r="O68" s="126">
        <f t="shared" si="7"/>
        <v>0.2</v>
      </c>
      <c r="P68" s="124">
        <f t="shared" si="8"/>
        <v>5.5469999999999998E-2</v>
      </c>
      <c r="Q68" s="125">
        <v>2</v>
      </c>
      <c r="R68" s="126">
        <f t="shared" si="9"/>
        <v>3.0769999999999999E-2</v>
      </c>
      <c r="S68" s="124">
        <f t="shared" si="10"/>
        <v>2.1760000000000002E-2</v>
      </c>
      <c r="T68" s="125">
        <v>3</v>
      </c>
      <c r="U68" s="126">
        <f t="shared" si="11"/>
        <v>4.6149999999999997E-2</v>
      </c>
      <c r="V68" s="124">
        <f t="shared" si="12"/>
        <v>2.664E-2</v>
      </c>
    </row>
    <row r="69" spans="1:22" s="3" customFormat="1" x14ac:dyDescent="0.3">
      <c r="A69" s="38">
        <v>1955</v>
      </c>
      <c r="B69" s="122" t="str">
        <f t="shared" si="13"/>
        <v>1955-2020</v>
      </c>
      <c r="C69" s="123">
        <v>66</v>
      </c>
      <c r="D69" s="124">
        <f t="shared" si="14"/>
        <v>0.12309</v>
      </c>
      <c r="E69" s="125">
        <v>61</v>
      </c>
      <c r="F69" s="126">
        <f t="shared" ref="F69:F132" si="15">ROUND(E69/$C69,5)</f>
        <v>0.92423999999999995</v>
      </c>
      <c r="G69" s="124">
        <f t="shared" ref="G69:G132" si="16">ROUND(SQRT(F69)*$D69,5)</f>
        <v>0.11834</v>
      </c>
      <c r="H69" s="125">
        <v>64</v>
      </c>
      <c r="I69" s="126">
        <f t="shared" ref="I69:I132" si="17">ROUND(H69/$C69,5)</f>
        <v>0.96970000000000001</v>
      </c>
      <c r="J69" s="124">
        <f t="shared" ref="J69:J132" si="18">ROUND(SQRT(I69)*$D69,5)</f>
        <v>0.12121</v>
      </c>
      <c r="K69" s="125">
        <v>42</v>
      </c>
      <c r="L69" s="126">
        <f t="shared" ref="L69:L132" si="19">ROUND(K69/$C69,5)</f>
        <v>0.63636000000000004</v>
      </c>
      <c r="M69" s="124">
        <f t="shared" ref="M69:M132" si="20">ROUND(SQRT(L69)*$D69,5)</f>
        <v>9.819E-2</v>
      </c>
      <c r="N69" s="125">
        <v>13</v>
      </c>
      <c r="O69" s="126">
        <f t="shared" ref="O69:O132" si="21">ROUND(N69/$C69,5)</f>
        <v>0.19697000000000001</v>
      </c>
      <c r="P69" s="124">
        <f t="shared" ref="P69:P132" si="22">ROUND(SQRT(O69)*$D69,5)</f>
        <v>5.4629999999999998E-2</v>
      </c>
      <c r="Q69" s="125">
        <v>2</v>
      </c>
      <c r="R69" s="126">
        <f t="shared" ref="R69:R132" si="23">ROUND(Q69/$C69,5)</f>
        <v>3.0300000000000001E-2</v>
      </c>
      <c r="S69" s="124">
        <f t="shared" ref="S69:S132" si="24">ROUND(SQRT(R69)*$D69,5)</f>
        <v>2.1430000000000001E-2</v>
      </c>
      <c r="T69" s="125">
        <v>3</v>
      </c>
      <c r="U69" s="126">
        <f t="shared" ref="U69:U132" si="25">ROUND(T69/$C69,5)</f>
        <v>4.5449999999999997E-2</v>
      </c>
      <c r="V69" s="124">
        <f t="shared" ref="V69:V132" si="26">ROUND(SQRT(U69)*$D69,5)</f>
        <v>2.6239999999999999E-2</v>
      </c>
    </row>
    <row r="70" spans="1:22" s="3" customFormat="1" x14ac:dyDescent="0.3">
      <c r="A70" s="38">
        <v>1954</v>
      </c>
      <c r="B70" s="122" t="str">
        <f t="shared" ref="B70:B133" si="27">A70&amp;"-2020"</f>
        <v>1954-2020</v>
      </c>
      <c r="C70" s="127">
        <v>67</v>
      </c>
      <c r="D70" s="128">
        <f t="shared" si="14"/>
        <v>0.12217</v>
      </c>
      <c r="E70" s="125">
        <v>61</v>
      </c>
      <c r="F70" s="126">
        <f t="shared" si="15"/>
        <v>0.91044999999999998</v>
      </c>
      <c r="G70" s="124">
        <f t="shared" si="16"/>
        <v>0.11656999999999999</v>
      </c>
      <c r="H70" s="125">
        <v>64</v>
      </c>
      <c r="I70" s="126">
        <f t="shared" si="17"/>
        <v>0.95521999999999996</v>
      </c>
      <c r="J70" s="124">
        <f t="shared" si="18"/>
        <v>0.11940000000000001</v>
      </c>
      <c r="K70" s="125">
        <v>42</v>
      </c>
      <c r="L70" s="126">
        <f t="shared" si="19"/>
        <v>0.62687000000000004</v>
      </c>
      <c r="M70" s="124">
        <f t="shared" si="20"/>
        <v>9.6729999999999997E-2</v>
      </c>
      <c r="N70" s="125">
        <v>13</v>
      </c>
      <c r="O70" s="126">
        <f t="shared" si="21"/>
        <v>0.19403000000000001</v>
      </c>
      <c r="P70" s="124">
        <f t="shared" si="22"/>
        <v>5.3809999999999997E-2</v>
      </c>
      <c r="Q70" s="125">
        <v>2</v>
      </c>
      <c r="R70" s="126">
        <f t="shared" si="23"/>
        <v>2.9850000000000002E-2</v>
      </c>
      <c r="S70" s="124">
        <f t="shared" si="24"/>
        <v>2.111E-2</v>
      </c>
      <c r="T70" s="125">
        <v>3</v>
      </c>
      <c r="U70" s="126">
        <f t="shared" si="25"/>
        <v>4.478E-2</v>
      </c>
      <c r="V70" s="124">
        <f t="shared" si="26"/>
        <v>2.5850000000000001E-2</v>
      </c>
    </row>
    <row r="71" spans="1:22" s="3" customFormat="1" x14ac:dyDescent="0.3">
      <c r="A71" s="38">
        <v>1953</v>
      </c>
      <c r="B71" s="122" t="str">
        <f t="shared" si="27"/>
        <v>1953-2020</v>
      </c>
      <c r="C71" s="123">
        <v>68</v>
      </c>
      <c r="D71" s="124">
        <f t="shared" ref="D71:D134" si="28">ROUND(1/SQRT(C71),5)</f>
        <v>0.12127</v>
      </c>
      <c r="E71" s="125">
        <v>61</v>
      </c>
      <c r="F71" s="126">
        <f t="shared" si="15"/>
        <v>0.89705999999999997</v>
      </c>
      <c r="G71" s="124">
        <f t="shared" si="16"/>
        <v>0.11486</v>
      </c>
      <c r="H71" s="125">
        <v>64</v>
      </c>
      <c r="I71" s="126">
        <f t="shared" si="17"/>
        <v>0.94118000000000002</v>
      </c>
      <c r="J71" s="124">
        <f t="shared" si="18"/>
        <v>0.11765</v>
      </c>
      <c r="K71" s="125">
        <v>42</v>
      </c>
      <c r="L71" s="126">
        <f t="shared" si="19"/>
        <v>0.61765000000000003</v>
      </c>
      <c r="M71" s="124">
        <f t="shared" si="20"/>
        <v>9.5310000000000006E-2</v>
      </c>
      <c r="N71" s="125">
        <v>13</v>
      </c>
      <c r="O71" s="126">
        <f t="shared" si="21"/>
        <v>0.19117999999999999</v>
      </c>
      <c r="P71" s="124">
        <f t="shared" si="22"/>
        <v>5.3019999999999998E-2</v>
      </c>
      <c r="Q71" s="125">
        <v>2</v>
      </c>
      <c r="R71" s="126">
        <f t="shared" si="23"/>
        <v>2.9409999999999999E-2</v>
      </c>
      <c r="S71" s="124">
        <f t="shared" si="24"/>
        <v>2.0799999999999999E-2</v>
      </c>
      <c r="T71" s="125">
        <v>3</v>
      </c>
      <c r="U71" s="126">
        <f t="shared" si="25"/>
        <v>4.4119999999999999E-2</v>
      </c>
      <c r="V71" s="124">
        <f t="shared" si="26"/>
        <v>2.547E-2</v>
      </c>
    </row>
    <row r="72" spans="1:22" s="3" customFormat="1" x14ac:dyDescent="0.3">
      <c r="A72" s="38">
        <v>1952</v>
      </c>
      <c r="B72" s="122" t="str">
        <f t="shared" si="27"/>
        <v>1952-2020</v>
      </c>
      <c r="C72" s="127">
        <v>69</v>
      </c>
      <c r="D72" s="128">
        <f t="shared" si="28"/>
        <v>0.12039</v>
      </c>
      <c r="E72" s="125">
        <v>61</v>
      </c>
      <c r="F72" s="126">
        <f t="shared" si="15"/>
        <v>0.88405999999999996</v>
      </c>
      <c r="G72" s="124">
        <f t="shared" si="16"/>
        <v>0.1132</v>
      </c>
      <c r="H72" s="125">
        <v>64</v>
      </c>
      <c r="I72" s="126">
        <f t="shared" si="17"/>
        <v>0.92754000000000003</v>
      </c>
      <c r="J72" s="124">
        <f t="shared" si="18"/>
        <v>0.11595</v>
      </c>
      <c r="K72" s="125">
        <v>42</v>
      </c>
      <c r="L72" s="126">
        <f t="shared" si="19"/>
        <v>0.60870000000000002</v>
      </c>
      <c r="M72" s="124">
        <f t="shared" si="20"/>
        <v>9.393E-2</v>
      </c>
      <c r="N72" s="125">
        <v>13</v>
      </c>
      <c r="O72" s="126">
        <f t="shared" si="21"/>
        <v>0.18840999999999999</v>
      </c>
      <c r="P72" s="124">
        <f t="shared" si="22"/>
        <v>5.2260000000000001E-2</v>
      </c>
      <c r="Q72" s="125">
        <v>2</v>
      </c>
      <c r="R72" s="126">
        <f t="shared" si="23"/>
        <v>2.8989999999999998E-2</v>
      </c>
      <c r="S72" s="124">
        <f t="shared" si="24"/>
        <v>2.0500000000000001E-2</v>
      </c>
      <c r="T72" s="125">
        <v>3</v>
      </c>
      <c r="U72" s="126">
        <f t="shared" si="25"/>
        <v>4.3479999999999998E-2</v>
      </c>
      <c r="V72" s="124">
        <f t="shared" si="26"/>
        <v>2.5100000000000001E-2</v>
      </c>
    </row>
    <row r="73" spans="1:22" s="3" customFormat="1" x14ac:dyDescent="0.3">
      <c r="A73" s="38">
        <v>1951</v>
      </c>
      <c r="B73" s="122" t="str">
        <f t="shared" si="27"/>
        <v>1951-2020</v>
      </c>
      <c r="C73" s="123">
        <v>70</v>
      </c>
      <c r="D73" s="124">
        <f t="shared" si="28"/>
        <v>0.11952</v>
      </c>
      <c r="E73" s="125">
        <v>61</v>
      </c>
      <c r="F73" s="126">
        <f t="shared" si="15"/>
        <v>0.87143000000000004</v>
      </c>
      <c r="G73" s="124">
        <f t="shared" si="16"/>
        <v>0.11157</v>
      </c>
      <c r="H73" s="125">
        <v>64</v>
      </c>
      <c r="I73" s="126">
        <f t="shared" si="17"/>
        <v>0.91429000000000005</v>
      </c>
      <c r="J73" s="124">
        <f t="shared" si="18"/>
        <v>0.11428000000000001</v>
      </c>
      <c r="K73" s="125">
        <v>42</v>
      </c>
      <c r="L73" s="126">
        <f t="shared" si="19"/>
        <v>0.6</v>
      </c>
      <c r="M73" s="124">
        <f t="shared" si="20"/>
        <v>9.2579999999999996E-2</v>
      </c>
      <c r="N73" s="125">
        <v>13</v>
      </c>
      <c r="O73" s="126">
        <f t="shared" si="21"/>
        <v>0.18570999999999999</v>
      </c>
      <c r="P73" s="124">
        <f t="shared" si="22"/>
        <v>5.151E-2</v>
      </c>
      <c r="Q73" s="125">
        <v>2</v>
      </c>
      <c r="R73" s="126">
        <f t="shared" si="23"/>
        <v>2.8570000000000002E-2</v>
      </c>
      <c r="S73" s="124">
        <f t="shared" si="24"/>
        <v>2.0199999999999999E-2</v>
      </c>
      <c r="T73" s="125">
        <v>3</v>
      </c>
      <c r="U73" s="126">
        <f t="shared" si="25"/>
        <v>4.2860000000000002E-2</v>
      </c>
      <c r="V73" s="124">
        <f t="shared" si="26"/>
        <v>2.4740000000000002E-2</v>
      </c>
    </row>
    <row r="74" spans="1:22" s="3" customFormat="1" x14ac:dyDescent="0.3">
      <c r="A74" s="38">
        <v>1950</v>
      </c>
      <c r="B74" s="122" t="str">
        <f t="shared" si="27"/>
        <v>1950-2020</v>
      </c>
      <c r="C74" s="127">
        <v>71</v>
      </c>
      <c r="D74" s="128">
        <f t="shared" si="28"/>
        <v>0.11867999999999999</v>
      </c>
      <c r="E74" s="125">
        <v>61</v>
      </c>
      <c r="F74" s="126">
        <f t="shared" si="15"/>
        <v>0.85914999999999997</v>
      </c>
      <c r="G74" s="124">
        <f t="shared" si="16"/>
        <v>0.11</v>
      </c>
      <c r="H74" s="125">
        <v>64</v>
      </c>
      <c r="I74" s="126">
        <f t="shared" si="17"/>
        <v>0.90141000000000004</v>
      </c>
      <c r="J74" s="124">
        <f t="shared" si="18"/>
        <v>0.11268</v>
      </c>
      <c r="K74" s="125">
        <v>42</v>
      </c>
      <c r="L74" s="126">
        <f t="shared" si="19"/>
        <v>0.59155000000000002</v>
      </c>
      <c r="M74" s="124">
        <f t="shared" si="20"/>
        <v>9.128E-2</v>
      </c>
      <c r="N74" s="125">
        <v>13</v>
      </c>
      <c r="O74" s="126">
        <f t="shared" si="21"/>
        <v>0.18310000000000001</v>
      </c>
      <c r="P74" s="124">
        <f t="shared" si="22"/>
        <v>5.0779999999999999E-2</v>
      </c>
      <c r="Q74" s="125">
        <v>2</v>
      </c>
      <c r="R74" s="126">
        <f t="shared" si="23"/>
        <v>2.8170000000000001E-2</v>
      </c>
      <c r="S74" s="124">
        <f t="shared" si="24"/>
        <v>1.992E-2</v>
      </c>
      <c r="T74" s="125">
        <v>3</v>
      </c>
      <c r="U74" s="126">
        <f t="shared" si="25"/>
        <v>4.2250000000000003E-2</v>
      </c>
      <c r="V74" s="124">
        <f t="shared" si="26"/>
        <v>2.4389999999999998E-2</v>
      </c>
    </row>
    <row r="75" spans="1:22" s="3" customFormat="1" x14ac:dyDescent="0.3">
      <c r="A75" s="38">
        <v>1949</v>
      </c>
      <c r="B75" s="122" t="str">
        <f t="shared" si="27"/>
        <v>1949-2020</v>
      </c>
      <c r="C75" s="123">
        <v>72</v>
      </c>
      <c r="D75" s="124">
        <f t="shared" si="28"/>
        <v>0.11785</v>
      </c>
      <c r="E75" s="125">
        <v>61</v>
      </c>
      <c r="F75" s="126">
        <f t="shared" si="15"/>
        <v>0.84721999999999997</v>
      </c>
      <c r="G75" s="124">
        <f t="shared" si="16"/>
        <v>0.10847</v>
      </c>
      <c r="H75" s="125">
        <v>64</v>
      </c>
      <c r="I75" s="126">
        <f t="shared" si="17"/>
        <v>0.88888999999999996</v>
      </c>
      <c r="J75" s="124">
        <f t="shared" si="18"/>
        <v>0.11111</v>
      </c>
      <c r="K75" s="125">
        <v>42</v>
      </c>
      <c r="L75" s="126">
        <f t="shared" si="19"/>
        <v>0.58333000000000002</v>
      </c>
      <c r="M75" s="124">
        <f t="shared" si="20"/>
        <v>9.0010000000000007E-2</v>
      </c>
      <c r="N75" s="125">
        <v>13</v>
      </c>
      <c r="O75" s="126">
        <f t="shared" si="21"/>
        <v>0.18056</v>
      </c>
      <c r="P75" s="124">
        <f t="shared" si="22"/>
        <v>5.008E-2</v>
      </c>
      <c r="Q75" s="125">
        <v>2</v>
      </c>
      <c r="R75" s="126">
        <f t="shared" si="23"/>
        <v>2.7779999999999999E-2</v>
      </c>
      <c r="S75" s="124">
        <f t="shared" si="24"/>
        <v>1.9640000000000001E-2</v>
      </c>
      <c r="T75" s="125">
        <v>3</v>
      </c>
      <c r="U75" s="126">
        <f t="shared" si="25"/>
        <v>4.1669999999999999E-2</v>
      </c>
      <c r="V75" s="124">
        <f t="shared" si="26"/>
        <v>2.4060000000000002E-2</v>
      </c>
    </row>
    <row r="76" spans="1:22" s="3" customFormat="1" x14ac:dyDescent="0.3">
      <c r="A76" s="38">
        <v>1948</v>
      </c>
      <c r="B76" s="122" t="str">
        <f t="shared" si="27"/>
        <v>1948-2020</v>
      </c>
      <c r="C76" s="127">
        <v>73</v>
      </c>
      <c r="D76" s="128">
        <f t="shared" si="28"/>
        <v>0.11704000000000001</v>
      </c>
      <c r="E76" s="125">
        <v>61</v>
      </c>
      <c r="F76" s="126">
        <f t="shared" si="15"/>
        <v>0.83562000000000003</v>
      </c>
      <c r="G76" s="124">
        <f t="shared" si="16"/>
        <v>0.10699</v>
      </c>
      <c r="H76" s="125">
        <v>64</v>
      </c>
      <c r="I76" s="126">
        <f t="shared" si="17"/>
        <v>0.87670999999999999</v>
      </c>
      <c r="J76" s="124">
        <f t="shared" si="18"/>
        <v>0.10959000000000001</v>
      </c>
      <c r="K76" s="125">
        <v>42</v>
      </c>
      <c r="L76" s="126">
        <f t="shared" si="19"/>
        <v>0.57533999999999996</v>
      </c>
      <c r="M76" s="124">
        <f t="shared" si="20"/>
        <v>8.8779999999999998E-2</v>
      </c>
      <c r="N76" s="125">
        <v>13</v>
      </c>
      <c r="O76" s="126">
        <f t="shared" si="21"/>
        <v>0.17807999999999999</v>
      </c>
      <c r="P76" s="124">
        <f t="shared" si="22"/>
        <v>4.9390000000000003E-2</v>
      </c>
      <c r="Q76" s="125">
        <v>2</v>
      </c>
      <c r="R76" s="126">
        <f t="shared" si="23"/>
        <v>2.7400000000000001E-2</v>
      </c>
      <c r="S76" s="124">
        <f t="shared" si="24"/>
        <v>1.9369999999999998E-2</v>
      </c>
      <c r="T76" s="125">
        <v>3</v>
      </c>
      <c r="U76" s="126">
        <f t="shared" si="25"/>
        <v>4.1099999999999998E-2</v>
      </c>
      <c r="V76" s="124">
        <f t="shared" si="26"/>
        <v>2.3730000000000001E-2</v>
      </c>
    </row>
    <row r="77" spans="1:22" s="3" customFormat="1" x14ac:dyDescent="0.3">
      <c r="A77" s="38">
        <v>1947</v>
      </c>
      <c r="B77" s="122" t="str">
        <f t="shared" si="27"/>
        <v>1947-2020</v>
      </c>
      <c r="C77" s="123">
        <v>74</v>
      </c>
      <c r="D77" s="124">
        <f t="shared" si="28"/>
        <v>0.11625000000000001</v>
      </c>
      <c r="E77" s="125">
        <v>61</v>
      </c>
      <c r="F77" s="126">
        <f t="shared" si="15"/>
        <v>0.82432000000000005</v>
      </c>
      <c r="G77" s="124">
        <f t="shared" si="16"/>
        <v>0.10555</v>
      </c>
      <c r="H77" s="125">
        <v>64</v>
      </c>
      <c r="I77" s="126">
        <f t="shared" si="17"/>
        <v>0.86485999999999996</v>
      </c>
      <c r="J77" s="124">
        <f t="shared" si="18"/>
        <v>0.10811</v>
      </c>
      <c r="K77" s="125">
        <v>42</v>
      </c>
      <c r="L77" s="126">
        <f t="shared" si="19"/>
        <v>0.56757000000000002</v>
      </c>
      <c r="M77" s="124">
        <f t="shared" si="20"/>
        <v>8.7580000000000005E-2</v>
      </c>
      <c r="N77" s="125">
        <v>13</v>
      </c>
      <c r="O77" s="126">
        <f t="shared" si="21"/>
        <v>0.17568</v>
      </c>
      <c r="P77" s="124">
        <f t="shared" si="22"/>
        <v>4.8730000000000002E-2</v>
      </c>
      <c r="Q77" s="125">
        <v>2</v>
      </c>
      <c r="R77" s="126">
        <f t="shared" si="23"/>
        <v>2.7029999999999998E-2</v>
      </c>
      <c r="S77" s="124">
        <f t="shared" si="24"/>
        <v>1.9109999999999999E-2</v>
      </c>
      <c r="T77" s="125">
        <v>3</v>
      </c>
      <c r="U77" s="126">
        <f t="shared" si="25"/>
        <v>4.054E-2</v>
      </c>
      <c r="V77" s="124">
        <f t="shared" si="26"/>
        <v>2.341E-2</v>
      </c>
    </row>
    <row r="78" spans="1:22" s="3" customFormat="1" x14ac:dyDescent="0.3">
      <c r="A78" s="38">
        <v>1946</v>
      </c>
      <c r="B78" s="122" t="str">
        <f t="shared" si="27"/>
        <v>1946-2020</v>
      </c>
      <c r="C78" s="127">
        <v>75</v>
      </c>
      <c r="D78" s="128">
        <f t="shared" si="28"/>
        <v>0.11547</v>
      </c>
      <c r="E78" s="125">
        <v>61</v>
      </c>
      <c r="F78" s="126">
        <f t="shared" si="15"/>
        <v>0.81333</v>
      </c>
      <c r="G78" s="124">
        <f t="shared" si="16"/>
        <v>0.10414</v>
      </c>
      <c r="H78" s="125">
        <v>64</v>
      </c>
      <c r="I78" s="126">
        <f t="shared" si="17"/>
        <v>0.85333000000000003</v>
      </c>
      <c r="J78" s="124">
        <f t="shared" si="18"/>
        <v>0.10667</v>
      </c>
      <c r="K78" s="125">
        <v>42</v>
      </c>
      <c r="L78" s="126">
        <f t="shared" si="19"/>
        <v>0.56000000000000005</v>
      </c>
      <c r="M78" s="124">
        <f t="shared" si="20"/>
        <v>8.6410000000000001E-2</v>
      </c>
      <c r="N78" s="125">
        <v>13</v>
      </c>
      <c r="O78" s="126">
        <f t="shared" si="21"/>
        <v>0.17333000000000001</v>
      </c>
      <c r="P78" s="124">
        <f t="shared" si="22"/>
        <v>4.8070000000000002E-2</v>
      </c>
      <c r="Q78" s="125">
        <v>2</v>
      </c>
      <c r="R78" s="126">
        <f t="shared" si="23"/>
        <v>2.6669999999999999E-2</v>
      </c>
      <c r="S78" s="124">
        <f t="shared" si="24"/>
        <v>1.8859999999999998E-2</v>
      </c>
      <c r="T78" s="125">
        <v>3</v>
      </c>
      <c r="U78" s="126">
        <f t="shared" si="25"/>
        <v>0.04</v>
      </c>
      <c r="V78" s="124">
        <f t="shared" si="26"/>
        <v>2.3089999999999999E-2</v>
      </c>
    </row>
    <row r="79" spans="1:22" s="3" customFormat="1" x14ac:dyDescent="0.3">
      <c r="A79" s="38">
        <v>1945</v>
      </c>
      <c r="B79" s="122" t="str">
        <f t="shared" si="27"/>
        <v>1945-2020</v>
      </c>
      <c r="C79" s="123">
        <v>76</v>
      </c>
      <c r="D79" s="124">
        <f t="shared" si="28"/>
        <v>0.11471000000000001</v>
      </c>
      <c r="E79" s="125">
        <v>61</v>
      </c>
      <c r="F79" s="126">
        <f t="shared" si="15"/>
        <v>0.80262999999999995</v>
      </c>
      <c r="G79" s="124">
        <f t="shared" si="16"/>
        <v>0.10277</v>
      </c>
      <c r="H79" s="125">
        <v>64</v>
      </c>
      <c r="I79" s="126">
        <f t="shared" si="17"/>
        <v>0.84211000000000003</v>
      </c>
      <c r="J79" s="124">
        <f t="shared" si="18"/>
        <v>0.10527</v>
      </c>
      <c r="K79" s="125">
        <v>42</v>
      </c>
      <c r="L79" s="126">
        <f t="shared" si="19"/>
        <v>0.55262999999999995</v>
      </c>
      <c r="M79" s="124">
        <f t="shared" si="20"/>
        <v>8.5269999999999999E-2</v>
      </c>
      <c r="N79" s="125">
        <v>13</v>
      </c>
      <c r="O79" s="126">
        <f t="shared" si="21"/>
        <v>0.17105000000000001</v>
      </c>
      <c r="P79" s="124">
        <f t="shared" si="22"/>
        <v>4.7440000000000003E-2</v>
      </c>
      <c r="Q79" s="125">
        <v>2</v>
      </c>
      <c r="R79" s="126">
        <f t="shared" si="23"/>
        <v>2.632E-2</v>
      </c>
      <c r="S79" s="124">
        <f t="shared" si="24"/>
        <v>1.8610000000000002E-2</v>
      </c>
      <c r="T79" s="125">
        <v>3</v>
      </c>
      <c r="U79" s="126">
        <f t="shared" si="25"/>
        <v>3.9469999999999998E-2</v>
      </c>
      <c r="V79" s="124">
        <f t="shared" si="26"/>
        <v>2.2790000000000001E-2</v>
      </c>
    </row>
    <row r="80" spans="1:22" s="3" customFormat="1" x14ac:dyDescent="0.3">
      <c r="A80" s="38">
        <v>1944</v>
      </c>
      <c r="B80" s="122" t="str">
        <f t="shared" si="27"/>
        <v>1944-2020</v>
      </c>
      <c r="C80" s="127">
        <v>77</v>
      </c>
      <c r="D80" s="128">
        <f t="shared" si="28"/>
        <v>0.11396000000000001</v>
      </c>
      <c r="E80" s="125">
        <v>61</v>
      </c>
      <c r="F80" s="126">
        <f t="shared" si="15"/>
        <v>0.79220999999999997</v>
      </c>
      <c r="G80" s="124">
        <f t="shared" si="16"/>
        <v>0.10143000000000001</v>
      </c>
      <c r="H80" s="125">
        <v>64</v>
      </c>
      <c r="I80" s="126">
        <f t="shared" si="17"/>
        <v>0.83116999999999996</v>
      </c>
      <c r="J80" s="124">
        <f t="shared" si="18"/>
        <v>0.10390000000000001</v>
      </c>
      <c r="K80" s="125">
        <v>42</v>
      </c>
      <c r="L80" s="126">
        <f t="shared" si="19"/>
        <v>0.54544999999999999</v>
      </c>
      <c r="M80" s="124">
        <f t="shared" si="20"/>
        <v>8.4159999999999999E-2</v>
      </c>
      <c r="N80" s="125">
        <v>13</v>
      </c>
      <c r="O80" s="126">
        <f t="shared" si="21"/>
        <v>0.16883000000000001</v>
      </c>
      <c r="P80" s="124">
        <f t="shared" si="22"/>
        <v>4.6820000000000001E-2</v>
      </c>
      <c r="Q80" s="125">
        <v>2</v>
      </c>
      <c r="R80" s="126">
        <f t="shared" si="23"/>
        <v>2.597E-2</v>
      </c>
      <c r="S80" s="124">
        <f t="shared" si="24"/>
        <v>1.8360000000000001E-2</v>
      </c>
      <c r="T80" s="125">
        <v>3</v>
      </c>
      <c r="U80" s="126">
        <f t="shared" si="25"/>
        <v>3.8960000000000002E-2</v>
      </c>
      <c r="V80" s="124">
        <f t="shared" si="26"/>
        <v>2.249E-2</v>
      </c>
    </row>
    <row r="81" spans="1:22" s="3" customFormat="1" x14ac:dyDescent="0.3">
      <c r="A81" s="38">
        <v>1943</v>
      </c>
      <c r="B81" s="122" t="str">
        <f t="shared" si="27"/>
        <v>1943-2020</v>
      </c>
      <c r="C81" s="123">
        <v>78</v>
      </c>
      <c r="D81" s="124">
        <f t="shared" si="28"/>
        <v>0.11323</v>
      </c>
      <c r="E81" s="125">
        <v>61</v>
      </c>
      <c r="F81" s="126">
        <f t="shared" si="15"/>
        <v>0.78205000000000002</v>
      </c>
      <c r="G81" s="124">
        <f t="shared" si="16"/>
        <v>0.10013</v>
      </c>
      <c r="H81" s="125">
        <v>64</v>
      </c>
      <c r="I81" s="126">
        <f t="shared" si="17"/>
        <v>0.82050999999999996</v>
      </c>
      <c r="J81" s="124">
        <f t="shared" si="18"/>
        <v>0.10256999999999999</v>
      </c>
      <c r="K81" s="125">
        <v>42</v>
      </c>
      <c r="L81" s="126">
        <f t="shared" si="19"/>
        <v>0.53846000000000005</v>
      </c>
      <c r="M81" s="124">
        <f t="shared" si="20"/>
        <v>8.3089999999999997E-2</v>
      </c>
      <c r="N81" s="125">
        <v>13</v>
      </c>
      <c r="O81" s="126">
        <f t="shared" si="21"/>
        <v>0.16667000000000001</v>
      </c>
      <c r="P81" s="124">
        <f t="shared" si="22"/>
        <v>4.623E-2</v>
      </c>
      <c r="Q81" s="125">
        <v>2</v>
      </c>
      <c r="R81" s="126">
        <f t="shared" si="23"/>
        <v>2.564E-2</v>
      </c>
      <c r="S81" s="124">
        <f t="shared" si="24"/>
        <v>1.813E-2</v>
      </c>
      <c r="T81" s="125">
        <v>3</v>
      </c>
      <c r="U81" s="126">
        <f t="shared" si="25"/>
        <v>3.8460000000000001E-2</v>
      </c>
      <c r="V81" s="124">
        <f t="shared" si="26"/>
        <v>2.2210000000000001E-2</v>
      </c>
    </row>
    <row r="82" spans="1:22" s="3" customFormat="1" x14ac:dyDescent="0.3">
      <c r="A82" s="38">
        <v>1942</v>
      </c>
      <c r="B82" s="122" t="str">
        <f t="shared" si="27"/>
        <v>1942-2020</v>
      </c>
      <c r="C82" s="127">
        <v>79</v>
      </c>
      <c r="D82" s="128">
        <f t="shared" si="28"/>
        <v>0.11251</v>
      </c>
      <c r="E82" s="125">
        <v>61</v>
      </c>
      <c r="F82" s="126">
        <f t="shared" si="15"/>
        <v>0.77215</v>
      </c>
      <c r="G82" s="124">
        <f t="shared" si="16"/>
        <v>9.8860000000000003E-2</v>
      </c>
      <c r="H82" s="125">
        <v>64</v>
      </c>
      <c r="I82" s="126">
        <f t="shared" si="17"/>
        <v>0.81013000000000002</v>
      </c>
      <c r="J82" s="124">
        <f t="shared" si="18"/>
        <v>0.10127</v>
      </c>
      <c r="K82" s="125">
        <v>42</v>
      </c>
      <c r="L82" s="126">
        <f t="shared" si="19"/>
        <v>0.53164999999999996</v>
      </c>
      <c r="M82" s="124">
        <f t="shared" si="20"/>
        <v>8.2040000000000002E-2</v>
      </c>
      <c r="N82" s="125">
        <v>13</v>
      </c>
      <c r="O82" s="126">
        <f t="shared" si="21"/>
        <v>0.16456000000000001</v>
      </c>
      <c r="P82" s="124">
        <f t="shared" si="22"/>
        <v>4.564E-2</v>
      </c>
      <c r="Q82" s="125">
        <v>2</v>
      </c>
      <c r="R82" s="126">
        <f t="shared" si="23"/>
        <v>2.5319999999999999E-2</v>
      </c>
      <c r="S82" s="124">
        <f t="shared" si="24"/>
        <v>1.7899999999999999E-2</v>
      </c>
      <c r="T82" s="125">
        <v>3</v>
      </c>
      <c r="U82" s="126">
        <f t="shared" si="25"/>
        <v>3.7969999999999997E-2</v>
      </c>
      <c r="V82" s="124">
        <f t="shared" si="26"/>
        <v>2.1919999999999999E-2</v>
      </c>
    </row>
    <row r="83" spans="1:22" s="3" customFormat="1" x14ac:dyDescent="0.3">
      <c r="A83" s="38">
        <v>1941</v>
      </c>
      <c r="B83" s="122" t="str">
        <f t="shared" si="27"/>
        <v>1941-2020</v>
      </c>
      <c r="C83" s="123">
        <v>80</v>
      </c>
      <c r="D83" s="124">
        <f t="shared" si="28"/>
        <v>0.1118</v>
      </c>
      <c r="E83" s="125">
        <v>61</v>
      </c>
      <c r="F83" s="126">
        <f t="shared" si="15"/>
        <v>0.76249999999999996</v>
      </c>
      <c r="G83" s="124">
        <f t="shared" si="16"/>
        <v>9.7629999999999995E-2</v>
      </c>
      <c r="H83" s="125">
        <v>64</v>
      </c>
      <c r="I83" s="126">
        <f t="shared" si="17"/>
        <v>0.8</v>
      </c>
      <c r="J83" s="124">
        <f t="shared" si="18"/>
        <v>0.1</v>
      </c>
      <c r="K83" s="125">
        <v>42</v>
      </c>
      <c r="L83" s="126">
        <f t="shared" si="19"/>
        <v>0.52500000000000002</v>
      </c>
      <c r="M83" s="124">
        <f t="shared" si="20"/>
        <v>8.1009999999999999E-2</v>
      </c>
      <c r="N83" s="125">
        <v>13</v>
      </c>
      <c r="O83" s="126">
        <f t="shared" si="21"/>
        <v>0.16250000000000001</v>
      </c>
      <c r="P83" s="124">
        <f t="shared" si="22"/>
        <v>4.5069999999999999E-2</v>
      </c>
      <c r="Q83" s="125">
        <v>2</v>
      </c>
      <c r="R83" s="126">
        <f t="shared" si="23"/>
        <v>2.5000000000000001E-2</v>
      </c>
      <c r="S83" s="124">
        <f t="shared" si="24"/>
        <v>1.7680000000000001E-2</v>
      </c>
      <c r="T83" s="125">
        <v>3</v>
      </c>
      <c r="U83" s="126">
        <f t="shared" si="25"/>
        <v>3.7499999999999999E-2</v>
      </c>
      <c r="V83" s="124">
        <f t="shared" si="26"/>
        <v>2.1649999999999999E-2</v>
      </c>
    </row>
    <row r="84" spans="1:22" s="3" customFormat="1" x14ac:dyDescent="0.3">
      <c r="A84" s="38">
        <v>1940</v>
      </c>
      <c r="B84" s="122" t="str">
        <f t="shared" si="27"/>
        <v>1940-2020</v>
      </c>
      <c r="C84" s="127">
        <v>81</v>
      </c>
      <c r="D84" s="128">
        <f t="shared" si="28"/>
        <v>0.11111</v>
      </c>
      <c r="E84" s="125">
        <v>61</v>
      </c>
      <c r="F84" s="126">
        <f t="shared" si="15"/>
        <v>0.75309000000000004</v>
      </c>
      <c r="G84" s="124">
        <f t="shared" si="16"/>
        <v>9.6420000000000006E-2</v>
      </c>
      <c r="H84" s="125">
        <v>64</v>
      </c>
      <c r="I84" s="126">
        <f t="shared" si="17"/>
        <v>0.79012000000000004</v>
      </c>
      <c r="J84" s="124">
        <f t="shared" si="18"/>
        <v>9.8760000000000001E-2</v>
      </c>
      <c r="K84" s="125">
        <v>42</v>
      </c>
      <c r="L84" s="126">
        <f t="shared" si="19"/>
        <v>0.51851999999999998</v>
      </c>
      <c r="M84" s="124">
        <f t="shared" si="20"/>
        <v>8.0009999999999998E-2</v>
      </c>
      <c r="N84" s="125">
        <v>13</v>
      </c>
      <c r="O84" s="126">
        <f t="shared" si="21"/>
        <v>0.16048999999999999</v>
      </c>
      <c r="P84" s="124">
        <f t="shared" si="22"/>
        <v>4.4510000000000001E-2</v>
      </c>
      <c r="Q84" s="125">
        <v>2</v>
      </c>
      <c r="R84" s="126">
        <f t="shared" si="23"/>
        <v>2.469E-2</v>
      </c>
      <c r="S84" s="124">
        <f t="shared" si="24"/>
        <v>1.746E-2</v>
      </c>
      <c r="T84" s="125">
        <v>3</v>
      </c>
      <c r="U84" s="126">
        <f t="shared" si="25"/>
        <v>3.7039999999999997E-2</v>
      </c>
      <c r="V84" s="124">
        <f t="shared" si="26"/>
        <v>2.138E-2</v>
      </c>
    </row>
    <row r="85" spans="1:22" s="3" customFormat="1" x14ac:dyDescent="0.3">
      <c r="A85" s="38">
        <v>1939</v>
      </c>
      <c r="B85" s="122" t="str">
        <f t="shared" si="27"/>
        <v>1939-2020</v>
      </c>
      <c r="C85" s="123">
        <v>82</v>
      </c>
      <c r="D85" s="124">
        <f t="shared" si="28"/>
        <v>0.11043</v>
      </c>
      <c r="E85" s="125">
        <v>61</v>
      </c>
      <c r="F85" s="126">
        <f t="shared" si="15"/>
        <v>0.74390000000000001</v>
      </c>
      <c r="G85" s="124">
        <f t="shared" si="16"/>
        <v>9.5250000000000001E-2</v>
      </c>
      <c r="H85" s="125">
        <v>64</v>
      </c>
      <c r="I85" s="126">
        <f t="shared" si="17"/>
        <v>0.78049000000000002</v>
      </c>
      <c r="J85" s="124">
        <f t="shared" si="18"/>
        <v>9.7559999999999994E-2</v>
      </c>
      <c r="K85" s="125">
        <v>42</v>
      </c>
      <c r="L85" s="126">
        <f t="shared" si="19"/>
        <v>0.51219999999999999</v>
      </c>
      <c r="M85" s="124">
        <f t="shared" si="20"/>
        <v>7.9030000000000003E-2</v>
      </c>
      <c r="N85" s="125">
        <v>13</v>
      </c>
      <c r="O85" s="126">
        <f t="shared" si="21"/>
        <v>0.15853999999999999</v>
      </c>
      <c r="P85" s="124">
        <f t="shared" si="22"/>
        <v>4.3970000000000002E-2</v>
      </c>
      <c r="Q85" s="125">
        <v>2</v>
      </c>
      <c r="R85" s="126">
        <f t="shared" si="23"/>
        <v>2.4389999999999998E-2</v>
      </c>
      <c r="S85" s="124">
        <f t="shared" si="24"/>
        <v>1.7250000000000001E-2</v>
      </c>
      <c r="T85" s="125">
        <v>3</v>
      </c>
      <c r="U85" s="126">
        <f t="shared" si="25"/>
        <v>3.6589999999999998E-2</v>
      </c>
      <c r="V85" s="124">
        <f t="shared" si="26"/>
        <v>2.112E-2</v>
      </c>
    </row>
    <row r="86" spans="1:22" s="3" customFormat="1" x14ac:dyDescent="0.3">
      <c r="A86" s="38">
        <v>1938</v>
      </c>
      <c r="B86" s="122" t="str">
        <f t="shared" si="27"/>
        <v>1938-2020</v>
      </c>
      <c r="C86" s="127">
        <v>83</v>
      </c>
      <c r="D86" s="128">
        <f t="shared" si="28"/>
        <v>0.10976</v>
      </c>
      <c r="E86" s="125">
        <v>61</v>
      </c>
      <c r="F86" s="126">
        <f t="shared" si="15"/>
        <v>0.73494000000000004</v>
      </c>
      <c r="G86" s="124">
        <f t="shared" si="16"/>
        <v>9.4100000000000003E-2</v>
      </c>
      <c r="H86" s="125">
        <v>64</v>
      </c>
      <c r="I86" s="126">
        <f t="shared" si="17"/>
        <v>0.77107999999999999</v>
      </c>
      <c r="J86" s="124">
        <f t="shared" si="18"/>
        <v>9.6379999999999993E-2</v>
      </c>
      <c r="K86" s="125">
        <v>42</v>
      </c>
      <c r="L86" s="126">
        <f t="shared" si="19"/>
        <v>0.50602000000000003</v>
      </c>
      <c r="M86" s="124">
        <f t="shared" si="20"/>
        <v>7.8079999999999997E-2</v>
      </c>
      <c r="N86" s="125">
        <v>13</v>
      </c>
      <c r="O86" s="126">
        <f t="shared" si="21"/>
        <v>0.15662999999999999</v>
      </c>
      <c r="P86" s="124">
        <f t="shared" si="22"/>
        <v>4.3439999999999999E-2</v>
      </c>
      <c r="Q86" s="125">
        <v>2</v>
      </c>
      <c r="R86" s="126">
        <f t="shared" si="23"/>
        <v>2.41E-2</v>
      </c>
      <c r="S86" s="124">
        <f t="shared" si="24"/>
        <v>1.704E-2</v>
      </c>
      <c r="T86" s="125">
        <v>4</v>
      </c>
      <c r="U86" s="126">
        <f t="shared" si="25"/>
        <v>4.8189999999999997E-2</v>
      </c>
      <c r="V86" s="124">
        <f t="shared" si="26"/>
        <v>2.409E-2</v>
      </c>
    </row>
    <row r="87" spans="1:22" s="3" customFormat="1" x14ac:dyDescent="0.3">
      <c r="A87" s="38">
        <v>1937</v>
      </c>
      <c r="B87" s="122" t="str">
        <f t="shared" si="27"/>
        <v>1937-2020</v>
      </c>
      <c r="C87" s="123">
        <v>84</v>
      </c>
      <c r="D87" s="124">
        <f t="shared" si="28"/>
        <v>0.10911</v>
      </c>
      <c r="E87" s="125">
        <v>61</v>
      </c>
      <c r="F87" s="126">
        <f t="shared" si="15"/>
        <v>0.72619</v>
      </c>
      <c r="G87" s="124">
        <f t="shared" si="16"/>
        <v>9.2979999999999993E-2</v>
      </c>
      <c r="H87" s="125">
        <v>64</v>
      </c>
      <c r="I87" s="126">
        <f t="shared" si="17"/>
        <v>0.76190000000000002</v>
      </c>
      <c r="J87" s="124">
        <f t="shared" si="18"/>
        <v>9.5240000000000005E-2</v>
      </c>
      <c r="K87" s="125">
        <v>42</v>
      </c>
      <c r="L87" s="126">
        <f t="shared" si="19"/>
        <v>0.5</v>
      </c>
      <c r="M87" s="124">
        <f t="shared" si="20"/>
        <v>7.7149999999999996E-2</v>
      </c>
      <c r="N87" s="125">
        <v>13</v>
      </c>
      <c r="O87" s="126">
        <f t="shared" si="21"/>
        <v>0.15476000000000001</v>
      </c>
      <c r="P87" s="124">
        <f t="shared" si="22"/>
        <v>4.292E-2</v>
      </c>
      <c r="Q87" s="125">
        <v>2</v>
      </c>
      <c r="R87" s="126">
        <f t="shared" si="23"/>
        <v>2.3810000000000001E-2</v>
      </c>
      <c r="S87" s="124">
        <f t="shared" si="24"/>
        <v>1.6840000000000001E-2</v>
      </c>
      <c r="T87" s="125">
        <v>4</v>
      </c>
      <c r="U87" s="126">
        <f t="shared" si="25"/>
        <v>4.7620000000000003E-2</v>
      </c>
      <c r="V87" s="124">
        <f t="shared" si="26"/>
        <v>2.3810000000000001E-2</v>
      </c>
    </row>
    <row r="88" spans="1:22" s="3" customFormat="1" x14ac:dyDescent="0.3">
      <c r="A88" s="38">
        <v>1936</v>
      </c>
      <c r="B88" s="122" t="str">
        <f t="shared" si="27"/>
        <v>1936-2020</v>
      </c>
      <c r="C88" s="127">
        <v>85</v>
      </c>
      <c r="D88" s="128">
        <f t="shared" si="28"/>
        <v>0.10847</v>
      </c>
      <c r="E88" s="125">
        <v>61</v>
      </c>
      <c r="F88" s="126">
        <f t="shared" si="15"/>
        <v>0.71765000000000001</v>
      </c>
      <c r="G88" s="124">
        <f t="shared" si="16"/>
        <v>9.1889999999999999E-2</v>
      </c>
      <c r="H88" s="125">
        <v>64</v>
      </c>
      <c r="I88" s="126">
        <f t="shared" si="17"/>
        <v>0.75294000000000005</v>
      </c>
      <c r="J88" s="124">
        <f t="shared" si="18"/>
        <v>9.4119999999999995E-2</v>
      </c>
      <c r="K88" s="125">
        <v>42</v>
      </c>
      <c r="L88" s="126">
        <f t="shared" si="19"/>
        <v>0.49412</v>
      </c>
      <c r="M88" s="124">
        <f t="shared" si="20"/>
        <v>7.6249999999999998E-2</v>
      </c>
      <c r="N88" s="125">
        <v>13</v>
      </c>
      <c r="O88" s="126">
        <f t="shared" si="21"/>
        <v>0.15293999999999999</v>
      </c>
      <c r="P88" s="124">
        <f t="shared" si="22"/>
        <v>4.2419999999999999E-2</v>
      </c>
      <c r="Q88" s="125">
        <v>2</v>
      </c>
      <c r="R88" s="126">
        <f t="shared" si="23"/>
        <v>2.3529999999999999E-2</v>
      </c>
      <c r="S88" s="124">
        <f t="shared" si="24"/>
        <v>1.6639999999999999E-2</v>
      </c>
      <c r="T88" s="125">
        <v>4</v>
      </c>
      <c r="U88" s="126">
        <f t="shared" si="25"/>
        <v>4.7059999999999998E-2</v>
      </c>
      <c r="V88" s="124">
        <f t="shared" si="26"/>
        <v>2.3529999999999999E-2</v>
      </c>
    </row>
    <row r="89" spans="1:22" s="3" customFormat="1" x14ac:dyDescent="0.3">
      <c r="A89" s="38">
        <v>1935</v>
      </c>
      <c r="B89" s="122" t="str">
        <f t="shared" si="27"/>
        <v>1935-2020</v>
      </c>
      <c r="C89" s="123">
        <v>86</v>
      </c>
      <c r="D89" s="124">
        <f t="shared" si="28"/>
        <v>0.10783</v>
      </c>
      <c r="E89" s="125">
        <v>61</v>
      </c>
      <c r="F89" s="126">
        <f t="shared" si="15"/>
        <v>0.70930000000000004</v>
      </c>
      <c r="G89" s="124">
        <f t="shared" si="16"/>
        <v>9.0810000000000002E-2</v>
      </c>
      <c r="H89" s="125">
        <v>64</v>
      </c>
      <c r="I89" s="126">
        <f t="shared" si="17"/>
        <v>0.74419000000000002</v>
      </c>
      <c r="J89" s="124">
        <f t="shared" si="18"/>
        <v>9.3020000000000005E-2</v>
      </c>
      <c r="K89" s="125">
        <v>42</v>
      </c>
      <c r="L89" s="126">
        <f t="shared" si="19"/>
        <v>0.48837000000000003</v>
      </c>
      <c r="M89" s="124">
        <f t="shared" si="20"/>
        <v>7.5359999999999996E-2</v>
      </c>
      <c r="N89" s="125">
        <v>13</v>
      </c>
      <c r="O89" s="126">
        <f t="shared" si="21"/>
        <v>0.15115999999999999</v>
      </c>
      <c r="P89" s="124">
        <f t="shared" si="22"/>
        <v>4.1919999999999999E-2</v>
      </c>
      <c r="Q89" s="125">
        <v>2</v>
      </c>
      <c r="R89" s="126">
        <f t="shared" si="23"/>
        <v>2.3259999999999999E-2</v>
      </c>
      <c r="S89" s="124">
        <f t="shared" si="24"/>
        <v>1.6449999999999999E-2</v>
      </c>
      <c r="T89" s="125">
        <v>4</v>
      </c>
      <c r="U89" s="126">
        <f t="shared" si="25"/>
        <v>4.6510000000000003E-2</v>
      </c>
      <c r="V89" s="124">
        <f t="shared" si="26"/>
        <v>2.325E-2</v>
      </c>
    </row>
    <row r="90" spans="1:22" s="3" customFormat="1" x14ac:dyDescent="0.3">
      <c r="A90" s="38">
        <v>1934</v>
      </c>
      <c r="B90" s="122" t="str">
        <f t="shared" si="27"/>
        <v>1934-2020</v>
      </c>
      <c r="C90" s="127">
        <v>87</v>
      </c>
      <c r="D90" s="128">
        <f t="shared" si="28"/>
        <v>0.10721</v>
      </c>
      <c r="E90" s="125">
        <v>61</v>
      </c>
      <c r="F90" s="126">
        <f t="shared" si="15"/>
        <v>0.70115000000000005</v>
      </c>
      <c r="G90" s="124">
        <f t="shared" si="16"/>
        <v>8.9770000000000003E-2</v>
      </c>
      <c r="H90" s="125">
        <v>64</v>
      </c>
      <c r="I90" s="126">
        <f t="shared" si="17"/>
        <v>0.73563000000000001</v>
      </c>
      <c r="J90" s="124">
        <f t="shared" si="18"/>
        <v>9.1950000000000004E-2</v>
      </c>
      <c r="K90" s="125">
        <v>42</v>
      </c>
      <c r="L90" s="126">
        <f t="shared" si="19"/>
        <v>0.48276000000000002</v>
      </c>
      <c r="M90" s="124">
        <f t="shared" si="20"/>
        <v>7.4490000000000001E-2</v>
      </c>
      <c r="N90" s="125">
        <v>13</v>
      </c>
      <c r="O90" s="126">
        <f t="shared" si="21"/>
        <v>0.14943000000000001</v>
      </c>
      <c r="P90" s="124">
        <f t="shared" si="22"/>
        <v>4.1439999999999998E-2</v>
      </c>
      <c r="Q90" s="125">
        <v>2</v>
      </c>
      <c r="R90" s="126">
        <f t="shared" si="23"/>
        <v>2.299E-2</v>
      </c>
      <c r="S90" s="124">
        <f t="shared" si="24"/>
        <v>1.626E-2</v>
      </c>
      <c r="T90" s="125">
        <v>4</v>
      </c>
      <c r="U90" s="126">
        <f t="shared" si="25"/>
        <v>4.598E-2</v>
      </c>
      <c r="V90" s="124">
        <f t="shared" si="26"/>
        <v>2.299E-2</v>
      </c>
    </row>
    <row r="91" spans="1:22" s="3" customFormat="1" x14ac:dyDescent="0.3">
      <c r="A91" s="38">
        <v>1933</v>
      </c>
      <c r="B91" s="122" t="str">
        <f t="shared" si="27"/>
        <v>1933-2020</v>
      </c>
      <c r="C91" s="123">
        <v>88</v>
      </c>
      <c r="D91" s="124">
        <f t="shared" si="28"/>
        <v>0.1066</v>
      </c>
      <c r="E91" s="125">
        <v>61</v>
      </c>
      <c r="F91" s="126">
        <f t="shared" si="15"/>
        <v>0.69318000000000002</v>
      </c>
      <c r="G91" s="124">
        <f t="shared" si="16"/>
        <v>8.8749999999999996E-2</v>
      </c>
      <c r="H91" s="125">
        <v>64</v>
      </c>
      <c r="I91" s="126">
        <f t="shared" si="17"/>
        <v>0.72726999999999997</v>
      </c>
      <c r="J91" s="124">
        <f t="shared" si="18"/>
        <v>9.0910000000000005E-2</v>
      </c>
      <c r="K91" s="125">
        <v>42</v>
      </c>
      <c r="L91" s="126">
        <f t="shared" si="19"/>
        <v>0.47727000000000003</v>
      </c>
      <c r="M91" s="124">
        <f t="shared" si="20"/>
        <v>7.3639999999999997E-2</v>
      </c>
      <c r="N91" s="125">
        <v>13</v>
      </c>
      <c r="O91" s="126">
        <f t="shared" si="21"/>
        <v>0.14773</v>
      </c>
      <c r="P91" s="124">
        <f t="shared" si="22"/>
        <v>4.0969999999999999E-2</v>
      </c>
      <c r="Q91" s="125">
        <v>2</v>
      </c>
      <c r="R91" s="126">
        <f t="shared" si="23"/>
        <v>2.273E-2</v>
      </c>
      <c r="S91" s="124">
        <f t="shared" si="24"/>
        <v>1.6070000000000001E-2</v>
      </c>
      <c r="T91" s="125">
        <v>4</v>
      </c>
      <c r="U91" s="126">
        <f t="shared" si="25"/>
        <v>4.5449999999999997E-2</v>
      </c>
      <c r="V91" s="124">
        <f t="shared" si="26"/>
        <v>2.273E-2</v>
      </c>
    </row>
    <row r="92" spans="1:22" s="3" customFormat="1" x14ac:dyDescent="0.3">
      <c r="A92" s="38">
        <v>1932</v>
      </c>
      <c r="B92" s="122" t="str">
        <f t="shared" si="27"/>
        <v>1932-2020</v>
      </c>
      <c r="C92" s="127">
        <v>89</v>
      </c>
      <c r="D92" s="128">
        <f t="shared" si="28"/>
        <v>0.106</v>
      </c>
      <c r="E92" s="125">
        <v>61</v>
      </c>
      <c r="F92" s="126">
        <f t="shared" si="15"/>
        <v>0.68539000000000005</v>
      </c>
      <c r="G92" s="124">
        <f t="shared" si="16"/>
        <v>8.7760000000000005E-2</v>
      </c>
      <c r="H92" s="125">
        <v>64</v>
      </c>
      <c r="I92" s="126">
        <f t="shared" si="17"/>
        <v>0.71909999999999996</v>
      </c>
      <c r="J92" s="124">
        <f t="shared" si="18"/>
        <v>8.9889999999999998E-2</v>
      </c>
      <c r="K92" s="125">
        <v>42</v>
      </c>
      <c r="L92" s="126">
        <f t="shared" si="19"/>
        <v>0.47191</v>
      </c>
      <c r="M92" s="124">
        <f t="shared" si="20"/>
        <v>7.2819999999999996E-2</v>
      </c>
      <c r="N92" s="125">
        <v>13</v>
      </c>
      <c r="O92" s="126">
        <f t="shared" si="21"/>
        <v>0.14607000000000001</v>
      </c>
      <c r="P92" s="124">
        <f t="shared" si="22"/>
        <v>4.0509999999999997E-2</v>
      </c>
      <c r="Q92" s="125">
        <v>2</v>
      </c>
      <c r="R92" s="126">
        <f t="shared" si="23"/>
        <v>2.247E-2</v>
      </c>
      <c r="S92" s="124">
        <f t="shared" si="24"/>
        <v>1.5890000000000001E-2</v>
      </c>
      <c r="T92" s="125">
        <v>4</v>
      </c>
      <c r="U92" s="126">
        <f t="shared" si="25"/>
        <v>4.4940000000000001E-2</v>
      </c>
      <c r="V92" s="124">
        <f t="shared" si="26"/>
        <v>2.247E-2</v>
      </c>
    </row>
    <row r="93" spans="1:22" s="3" customFormat="1" x14ac:dyDescent="0.3">
      <c r="A93" s="38">
        <v>1931</v>
      </c>
      <c r="B93" s="122" t="str">
        <f t="shared" si="27"/>
        <v>1931-2020</v>
      </c>
      <c r="C93" s="123">
        <v>90</v>
      </c>
      <c r="D93" s="124">
        <f t="shared" si="28"/>
        <v>0.10541</v>
      </c>
      <c r="E93" s="125">
        <v>61</v>
      </c>
      <c r="F93" s="126">
        <f t="shared" si="15"/>
        <v>0.67778000000000005</v>
      </c>
      <c r="G93" s="124">
        <f t="shared" si="16"/>
        <v>8.6779999999999996E-2</v>
      </c>
      <c r="H93" s="125">
        <v>64</v>
      </c>
      <c r="I93" s="126">
        <f t="shared" si="17"/>
        <v>0.71111000000000002</v>
      </c>
      <c r="J93" s="124">
        <f t="shared" si="18"/>
        <v>8.8889999999999997E-2</v>
      </c>
      <c r="K93" s="125">
        <v>42</v>
      </c>
      <c r="L93" s="126">
        <f t="shared" si="19"/>
        <v>0.46666999999999997</v>
      </c>
      <c r="M93" s="124">
        <f t="shared" si="20"/>
        <v>7.2010000000000005E-2</v>
      </c>
      <c r="N93" s="125">
        <v>13</v>
      </c>
      <c r="O93" s="126">
        <f t="shared" si="21"/>
        <v>0.14444000000000001</v>
      </c>
      <c r="P93" s="124">
        <f t="shared" si="22"/>
        <v>4.0059999999999998E-2</v>
      </c>
      <c r="Q93" s="125">
        <v>2</v>
      </c>
      <c r="R93" s="126">
        <f t="shared" si="23"/>
        <v>2.222E-2</v>
      </c>
      <c r="S93" s="124">
        <f t="shared" si="24"/>
        <v>1.5709999999999998E-2</v>
      </c>
      <c r="T93" s="125">
        <v>4</v>
      </c>
      <c r="U93" s="126">
        <f t="shared" si="25"/>
        <v>4.444E-2</v>
      </c>
      <c r="V93" s="124">
        <f t="shared" si="26"/>
        <v>2.222E-2</v>
      </c>
    </row>
    <row r="94" spans="1:22" s="3" customFormat="1" x14ac:dyDescent="0.3">
      <c r="A94" s="38">
        <v>1930</v>
      </c>
      <c r="B94" s="122" t="str">
        <f t="shared" si="27"/>
        <v>1930-2020</v>
      </c>
      <c r="C94" s="127">
        <v>91</v>
      </c>
      <c r="D94" s="128">
        <f t="shared" si="28"/>
        <v>0.10483000000000001</v>
      </c>
      <c r="E94" s="125">
        <v>61</v>
      </c>
      <c r="F94" s="126">
        <f t="shared" si="15"/>
        <v>0.67032999999999998</v>
      </c>
      <c r="G94" s="124">
        <f t="shared" si="16"/>
        <v>8.5830000000000004E-2</v>
      </c>
      <c r="H94" s="125">
        <v>64</v>
      </c>
      <c r="I94" s="126">
        <f t="shared" si="17"/>
        <v>0.70330000000000004</v>
      </c>
      <c r="J94" s="124">
        <f t="shared" si="18"/>
        <v>8.7910000000000002E-2</v>
      </c>
      <c r="K94" s="125">
        <v>42</v>
      </c>
      <c r="L94" s="126">
        <f t="shared" si="19"/>
        <v>0.46154000000000001</v>
      </c>
      <c r="M94" s="124">
        <f t="shared" si="20"/>
        <v>7.1220000000000006E-2</v>
      </c>
      <c r="N94" s="125">
        <v>13</v>
      </c>
      <c r="O94" s="126">
        <f t="shared" si="21"/>
        <v>0.14285999999999999</v>
      </c>
      <c r="P94" s="124">
        <f t="shared" si="22"/>
        <v>3.9620000000000002E-2</v>
      </c>
      <c r="Q94" s="125">
        <v>3</v>
      </c>
      <c r="R94" s="126">
        <f t="shared" si="23"/>
        <v>3.2969999999999999E-2</v>
      </c>
      <c r="S94" s="124">
        <f t="shared" si="24"/>
        <v>1.9029999999999998E-2</v>
      </c>
      <c r="T94" s="125">
        <v>4</v>
      </c>
      <c r="U94" s="126">
        <f t="shared" si="25"/>
        <v>4.3959999999999999E-2</v>
      </c>
      <c r="V94" s="124">
        <f t="shared" si="26"/>
        <v>2.198E-2</v>
      </c>
    </row>
    <row r="95" spans="1:22" s="3" customFormat="1" x14ac:dyDescent="0.3">
      <c r="A95" s="38">
        <v>1929</v>
      </c>
      <c r="B95" s="122" t="str">
        <f t="shared" si="27"/>
        <v>1929-2020</v>
      </c>
      <c r="C95" s="123">
        <v>92</v>
      </c>
      <c r="D95" s="124">
        <f t="shared" si="28"/>
        <v>0.10426000000000001</v>
      </c>
      <c r="E95" s="125">
        <v>61</v>
      </c>
      <c r="F95" s="126">
        <f t="shared" si="15"/>
        <v>0.66303999999999996</v>
      </c>
      <c r="G95" s="124">
        <f t="shared" si="16"/>
        <v>8.4900000000000003E-2</v>
      </c>
      <c r="H95" s="125">
        <v>64</v>
      </c>
      <c r="I95" s="126">
        <f t="shared" si="17"/>
        <v>0.69564999999999999</v>
      </c>
      <c r="J95" s="124">
        <f t="shared" si="18"/>
        <v>8.6959999999999996E-2</v>
      </c>
      <c r="K95" s="125">
        <v>42</v>
      </c>
      <c r="L95" s="126">
        <f t="shared" si="19"/>
        <v>0.45651999999999998</v>
      </c>
      <c r="M95" s="124">
        <f t="shared" si="20"/>
        <v>7.0440000000000003E-2</v>
      </c>
      <c r="N95" s="125">
        <v>13</v>
      </c>
      <c r="O95" s="126">
        <f t="shared" si="21"/>
        <v>0.14130000000000001</v>
      </c>
      <c r="P95" s="124">
        <f t="shared" si="22"/>
        <v>3.9190000000000003E-2</v>
      </c>
      <c r="Q95" s="125">
        <v>4</v>
      </c>
      <c r="R95" s="126">
        <f t="shared" si="23"/>
        <v>4.3479999999999998E-2</v>
      </c>
      <c r="S95" s="124">
        <f t="shared" si="24"/>
        <v>2.1739999999999999E-2</v>
      </c>
      <c r="T95" s="125">
        <v>4</v>
      </c>
      <c r="U95" s="126">
        <f t="shared" si="25"/>
        <v>4.3479999999999998E-2</v>
      </c>
      <c r="V95" s="124">
        <f t="shared" si="26"/>
        <v>2.1739999999999999E-2</v>
      </c>
    </row>
    <row r="96" spans="1:22" s="3" customFormat="1" x14ac:dyDescent="0.3">
      <c r="A96" s="38">
        <v>1928</v>
      </c>
      <c r="B96" s="122" t="str">
        <f t="shared" si="27"/>
        <v>1928-2020</v>
      </c>
      <c r="C96" s="127">
        <v>93</v>
      </c>
      <c r="D96" s="128">
        <f t="shared" si="28"/>
        <v>0.1037</v>
      </c>
      <c r="E96" s="125">
        <v>61</v>
      </c>
      <c r="F96" s="126">
        <f t="shared" si="15"/>
        <v>0.65590999999999999</v>
      </c>
      <c r="G96" s="124">
        <f t="shared" si="16"/>
        <v>8.3979999999999999E-2</v>
      </c>
      <c r="H96" s="125">
        <v>64</v>
      </c>
      <c r="I96" s="126">
        <f t="shared" si="17"/>
        <v>0.68816999999999995</v>
      </c>
      <c r="J96" s="124">
        <f t="shared" si="18"/>
        <v>8.6029999999999995E-2</v>
      </c>
      <c r="K96" s="125">
        <v>42</v>
      </c>
      <c r="L96" s="126">
        <f t="shared" si="19"/>
        <v>0.45161000000000001</v>
      </c>
      <c r="M96" s="124">
        <f t="shared" si="20"/>
        <v>6.9690000000000002E-2</v>
      </c>
      <c r="N96" s="125">
        <v>13</v>
      </c>
      <c r="O96" s="126">
        <f t="shared" si="21"/>
        <v>0.13977999999999999</v>
      </c>
      <c r="P96" s="124">
        <f t="shared" si="22"/>
        <v>3.8769999999999999E-2</v>
      </c>
      <c r="Q96" s="125">
        <v>4</v>
      </c>
      <c r="R96" s="126">
        <f t="shared" si="23"/>
        <v>4.301E-2</v>
      </c>
      <c r="S96" s="124">
        <f t="shared" si="24"/>
        <v>2.1510000000000001E-2</v>
      </c>
      <c r="T96" s="125">
        <v>4</v>
      </c>
      <c r="U96" s="126">
        <f t="shared" si="25"/>
        <v>4.301E-2</v>
      </c>
      <c r="V96" s="124">
        <f t="shared" si="26"/>
        <v>2.1510000000000001E-2</v>
      </c>
    </row>
    <row r="97" spans="1:22" s="3" customFormat="1" x14ac:dyDescent="0.3">
      <c r="A97" s="38">
        <v>1927</v>
      </c>
      <c r="B97" s="122" t="str">
        <f t="shared" si="27"/>
        <v>1927-2020</v>
      </c>
      <c r="C97" s="123">
        <v>94</v>
      </c>
      <c r="D97" s="124">
        <f t="shared" si="28"/>
        <v>0.10314</v>
      </c>
      <c r="E97" s="125">
        <v>61</v>
      </c>
      <c r="F97" s="126">
        <f t="shared" si="15"/>
        <v>0.64893999999999996</v>
      </c>
      <c r="G97" s="124">
        <f t="shared" si="16"/>
        <v>8.3089999999999997E-2</v>
      </c>
      <c r="H97" s="125">
        <v>64</v>
      </c>
      <c r="I97" s="126">
        <f t="shared" si="17"/>
        <v>0.68084999999999996</v>
      </c>
      <c r="J97" s="124">
        <f t="shared" si="18"/>
        <v>8.5099999999999995E-2</v>
      </c>
      <c r="K97" s="125">
        <v>42</v>
      </c>
      <c r="L97" s="126">
        <f t="shared" si="19"/>
        <v>0.44680999999999998</v>
      </c>
      <c r="M97" s="124">
        <f t="shared" si="20"/>
        <v>6.8940000000000001E-2</v>
      </c>
      <c r="N97" s="125">
        <v>13</v>
      </c>
      <c r="O97" s="126">
        <f t="shared" si="21"/>
        <v>0.13830000000000001</v>
      </c>
      <c r="P97" s="124">
        <f t="shared" si="22"/>
        <v>3.8359999999999998E-2</v>
      </c>
      <c r="Q97" s="125">
        <v>4</v>
      </c>
      <c r="R97" s="126">
        <f t="shared" si="23"/>
        <v>4.2549999999999998E-2</v>
      </c>
      <c r="S97" s="124">
        <f t="shared" si="24"/>
        <v>2.128E-2</v>
      </c>
      <c r="T97" s="125">
        <v>4</v>
      </c>
      <c r="U97" s="126">
        <f t="shared" si="25"/>
        <v>4.2549999999999998E-2</v>
      </c>
      <c r="V97" s="124">
        <f t="shared" si="26"/>
        <v>2.128E-2</v>
      </c>
    </row>
    <row r="98" spans="1:22" s="3" customFormat="1" x14ac:dyDescent="0.3">
      <c r="A98" s="38">
        <v>1926</v>
      </c>
      <c r="B98" s="122" t="str">
        <f t="shared" si="27"/>
        <v>1926-2020</v>
      </c>
      <c r="C98" s="127">
        <v>95</v>
      </c>
      <c r="D98" s="128">
        <f t="shared" si="28"/>
        <v>0.1026</v>
      </c>
      <c r="E98" s="125">
        <v>61</v>
      </c>
      <c r="F98" s="126">
        <f t="shared" si="15"/>
        <v>0.64210999999999996</v>
      </c>
      <c r="G98" s="124">
        <f t="shared" si="16"/>
        <v>8.2220000000000001E-2</v>
      </c>
      <c r="H98" s="125">
        <v>64</v>
      </c>
      <c r="I98" s="126">
        <f t="shared" si="17"/>
        <v>0.67367999999999995</v>
      </c>
      <c r="J98" s="124">
        <f t="shared" si="18"/>
        <v>8.4209999999999993E-2</v>
      </c>
      <c r="K98" s="125">
        <v>42</v>
      </c>
      <c r="L98" s="126">
        <f t="shared" si="19"/>
        <v>0.44211</v>
      </c>
      <c r="M98" s="124">
        <f t="shared" si="20"/>
        <v>6.8220000000000003E-2</v>
      </c>
      <c r="N98" s="125">
        <v>13</v>
      </c>
      <c r="O98" s="126">
        <f t="shared" si="21"/>
        <v>0.13683999999999999</v>
      </c>
      <c r="P98" s="124">
        <f t="shared" si="22"/>
        <v>3.7949999999999998E-2</v>
      </c>
      <c r="Q98" s="125">
        <v>5</v>
      </c>
      <c r="R98" s="126">
        <f t="shared" si="23"/>
        <v>5.2630000000000003E-2</v>
      </c>
      <c r="S98" s="124">
        <f t="shared" si="24"/>
        <v>2.3539999999999998E-2</v>
      </c>
      <c r="T98" s="125">
        <v>4</v>
      </c>
      <c r="U98" s="126">
        <f t="shared" si="25"/>
        <v>4.2110000000000002E-2</v>
      </c>
      <c r="V98" s="124">
        <f t="shared" si="26"/>
        <v>2.1049999999999999E-2</v>
      </c>
    </row>
    <row r="99" spans="1:22" s="3" customFormat="1" x14ac:dyDescent="0.3">
      <c r="A99" s="38">
        <v>1925</v>
      </c>
      <c r="B99" s="122" t="str">
        <f t="shared" si="27"/>
        <v>1925-2020</v>
      </c>
      <c r="C99" s="123">
        <v>96</v>
      </c>
      <c r="D99" s="124">
        <f t="shared" si="28"/>
        <v>0.10206</v>
      </c>
      <c r="E99" s="125">
        <v>61</v>
      </c>
      <c r="F99" s="126">
        <f t="shared" si="15"/>
        <v>0.63541999999999998</v>
      </c>
      <c r="G99" s="124">
        <f t="shared" si="16"/>
        <v>8.1360000000000002E-2</v>
      </c>
      <c r="H99" s="125">
        <v>64</v>
      </c>
      <c r="I99" s="126">
        <f t="shared" si="17"/>
        <v>0.66666999999999998</v>
      </c>
      <c r="J99" s="124">
        <f t="shared" si="18"/>
        <v>8.3330000000000001E-2</v>
      </c>
      <c r="K99" s="125">
        <v>42</v>
      </c>
      <c r="L99" s="126">
        <f t="shared" si="19"/>
        <v>0.4375</v>
      </c>
      <c r="M99" s="124">
        <f t="shared" si="20"/>
        <v>6.7510000000000001E-2</v>
      </c>
      <c r="N99" s="125">
        <v>13</v>
      </c>
      <c r="O99" s="126">
        <f t="shared" si="21"/>
        <v>0.13542000000000001</v>
      </c>
      <c r="P99" s="124">
        <f t="shared" si="22"/>
        <v>3.7560000000000003E-2</v>
      </c>
      <c r="Q99" s="125">
        <v>5</v>
      </c>
      <c r="R99" s="126">
        <f t="shared" si="23"/>
        <v>5.2080000000000001E-2</v>
      </c>
      <c r="S99" s="124">
        <f t="shared" si="24"/>
        <v>2.3290000000000002E-2</v>
      </c>
      <c r="T99" s="125">
        <v>4</v>
      </c>
      <c r="U99" s="126">
        <f t="shared" si="25"/>
        <v>4.1669999999999999E-2</v>
      </c>
      <c r="V99" s="124">
        <f t="shared" si="26"/>
        <v>2.0830000000000001E-2</v>
      </c>
    </row>
    <row r="100" spans="1:22" s="3" customFormat="1" x14ac:dyDescent="0.3">
      <c r="A100" s="38">
        <v>1924</v>
      </c>
      <c r="B100" s="122" t="str">
        <f t="shared" si="27"/>
        <v>1924-2020</v>
      </c>
      <c r="C100" s="127">
        <v>97</v>
      </c>
      <c r="D100" s="128">
        <f t="shared" si="28"/>
        <v>0.10153</v>
      </c>
      <c r="E100" s="125">
        <v>61</v>
      </c>
      <c r="F100" s="126">
        <f t="shared" si="15"/>
        <v>0.62887000000000004</v>
      </c>
      <c r="G100" s="124">
        <f t="shared" si="16"/>
        <v>8.0509999999999998E-2</v>
      </c>
      <c r="H100" s="125">
        <v>64</v>
      </c>
      <c r="I100" s="126">
        <f t="shared" si="17"/>
        <v>0.65978999999999999</v>
      </c>
      <c r="J100" s="124">
        <f t="shared" si="18"/>
        <v>8.2470000000000002E-2</v>
      </c>
      <c r="K100" s="125">
        <v>42</v>
      </c>
      <c r="L100" s="126">
        <f t="shared" si="19"/>
        <v>0.43298999999999999</v>
      </c>
      <c r="M100" s="124">
        <f t="shared" si="20"/>
        <v>6.6809999999999994E-2</v>
      </c>
      <c r="N100" s="125">
        <v>13</v>
      </c>
      <c r="O100" s="126">
        <f t="shared" si="21"/>
        <v>0.13402</v>
      </c>
      <c r="P100" s="124">
        <f t="shared" si="22"/>
        <v>3.7170000000000002E-2</v>
      </c>
      <c r="Q100" s="125">
        <v>5</v>
      </c>
      <c r="R100" s="126">
        <f t="shared" si="23"/>
        <v>5.1549999999999999E-2</v>
      </c>
      <c r="S100" s="124">
        <f t="shared" si="24"/>
        <v>2.3050000000000001E-2</v>
      </c>
      <c r="T100" s="125">
        <v>4</v>
      </c>
      <c r="U100" s="126">
        <f t="shared" si="25"/>
        <v>4.1239999999999999E-2</v>
      </c>
      <c r="V100" s="124">
        <f t="shared" si="26"/>
        <v>2.0619999999999999E-2</v>
      </c>
    </row>
    <row r="101" spans="1:22" s="3" customFormat="1" x14ac:dyDescent="0.3">
      <c r="A101" s="38">
        <v>1923</v>
      </c>
      <c r="B101" s="122" t="str">
        <f t="shared" si="27"/>
        <v>1923-2020</v>
      </c>
      <c r="C101" s="123">
        <v>98</v>
      </c>
      <c r="D101" s="124">
        <f t="shared" si="28"/>
        <v>0.10102</v>
      </c>
      <c r="E101" s="125">
        <v>61</v>
      </c>
      <c r="F101" s="126">
        <f t="shared" si="15"/>
        <v>0.62244999999999995</v>
      </c>
      <c r="G101" s="124">
        <f t="shared" si="16"/>
        <v>7.9699999999999993E-2</v>
      </c>
      <c r="H101" s="125">
        <v>64</v>
      </c>
      <c r="I101" s="126">
        <f t="shared" si="17"/>
        <v>0.65305999999999997</v>
      </c>
      <c r="J101" s="124">
        <f t="shared" si="18"/>
        <v>8.1640000000000004E-2</v>
      </c>
      <c r="K101" s="125">
        <v>42</v>
      </c>
      <c r="L101" s="126">
        <f t="shared" si="19"/>
        <v>0.42857000000000001</v>
      </c>
      <c r="M101" s="124">
        <f t="shared" si="20"/>
        <v>6.6129999999999994E-2</v>
      </c>
      <c r="N101" s="125">
        <v>13</v>
      </c>
      <c r="O101" s="126">
        <f t="shared" si="21"/>
        <v>0.13264999999999999</v>
      </c>
      <c r="P101" s="124">
        <f t="shared" si="22"/>
        <v>3.6790000000000003E-2</v>
      </c>
      <c r="Q101" s="125">
        <v>5</v>
      </c>
      <c r="R101" s="126">
        <f t="shared" si="23"/>
        <v>5.1020000000000003E-2</v>
      </c>
      <c r="S101" s="124">
        <f t="shared" si="24"/>
        <v>2.282E-2</v>
      </c>
      <c r="T101" s="125">
        <v>4</v>
      </c>
      <c r="U101" s="126">
        <f t="shared" si="25"/>
        <v>4.0820000000000002E-2</v>
      </c>
      <c r="V101" s="124">
        <f t="shared" si="26"/>
        <v>2.0410000000000001E-2</v>
      </c>
    </row>
    <row r="102" spans="1:22" s="3" customFormat="1" x14ac:dyDescent="0.3">
      <c r="A102" s="38">
        <v>1922</v>
      </c>
      <c r="B102" s="122" t="str">
        <f t="shared" si="27"/>
        <v>1922-2020</v>
      </c>
      <c r="C102" s="127">
        <v>99</v>
      </c>
      <c r="D102" s="128">
        <f t="shared" si="28"/>
        <v>0.10050000000000001</v>
      </c>
      <c r="E102" s="125">
        <v>61</v>
      </c>
      <c r="F102" s="126">
        <f t="shared" si="15"/>
        <v>0.61616000000000004</v>
      </c>
      <c r="G102" s="124">
        <f t="shared" si="16"/>
        <v>7.8890000000000002E-2</v>
      </c>
      <c r="H102" s="125">
        <v>64</v>
      </c>
      <c r="I102" s="126">
        <f t="shared" si="17"/>
        <v>0.64646000000000003</v>
      </c>
      <c r="J102" s="124">
        <f t="shared" si="18"/>
        <v>8.0799999999999997E-2</v>
      </c>
      <c r="K102" s="125">
        <v>42</v>
      </c>
      <c r="L102" s="126">
        <f t="shared" si="19"/>
        <v>0.42424000000000001</v>
      </c>
      <c r="M102" s="124">
        <f t="shared" si="20"/>
        <v>6.5460000000000004E-2</v>
      </c>
      <c r="N102" s="125">
        <v>13</v>
      </c>
      <c r="O102" s="126">
        <f t="shared" si="21"/>
        <v>0.13131000000000001</v>
      </c>
      <c r="P102" s="124">
        <f t="shared" si="22"/>
        <v>3.6420000000000001E-2</v>
      </c>
      <c r="Q102" s="125">
        <v>5</v>
      </c>
      <c r="R102" s="126">
        <f t="shared" si="23"/>
        <v>5.0509999999999999E-2</v>
      </c>
      <c r="S102" s="124">
        <f t="shared" si="24"/>
        <v>2.2589999999999999E-2</v>
      </c>
      <c r="T102" s="125">
        <v>4</v>
      </c>
      <c r="U102" s="126">
        <f t="shared" si="25"/>
        <v>4.0399999999999998E-2</v>
      </c>
      <c r="V102" s="124">
        <f t="shared" si="26"/>
        <v>2.0199999999999999E-2</v>
      </c>
    </row>
    <row r="103" spans="1:22" s="3" customFormat="1" x14ac:dyDescent="0.3">
      <c r="A103" s="38">
        <v>1921</v>
      </c>
      <c r="B103" s="122" t="str">
        <f t="shared" si="27"/>
        <v>1921-2020</v>
      </c>
      <c r="C103" s="123">
        <v>100</v>
      </c>
      <c r="D103" s="124">
        <f t="shared" si="28"/>
        <v>0.1</v>
      </c>
      <c r="E103" s="125">
        <v>61</v>
      </c>
      <c r="F103" s="126">
        <f t="shared" si="15"/>
        <v>0.61</v>
      </c>
      <c r="G103" s="124">
        <f t="shared" si="16"/>
        <v>7.8100000000000003E-2</v>
      </c>
      <c r="H103" s="125">
        <v>64</v>
      </c>
      <c r="I103" s="126">
        <f t="shared" si="17"/>
        <v>0.64</v>
      </c>
      <c r="J103" s="124">
        <f t="shared" si="18"/>
        <v>0.08</v>
      </c>
      <c r="K103" s="125">
        <v>42</v>
      </c>
      <c r="L103" s="126">
        <f t="shared" si="19"/>
        <v>0.42</v>
      </c>
      <c r="M103" s="124">
        <f t="shared" si="20"/>
        <v>6.4810000000000006E-2</v>
      </c>
      <c r="N103" s="125">
        <v>13</v>
      </c>
      <c r="O103" s="126">
        <f t="shared" si="21"/>
        <v>0.13</v>
      </c>
      <c r="P103" s="124">
        <f t="shared" si="22"/>
        <v>3.6060000000000002E-2</v>
      </c>
      <c r="Q103" s="125">
        <v>5</v>
      </c>
      <c r="R103" s="126">
        <f t="shared" si="23"/>
        <v>0.05</v>
      </c>
      <c r="S103" s="124">
        <f t="shared" si="24"/>
        <v>2.2360000000000001E-2</v>
      </c>
      <c r="T103" s="125">
        <v>4</v>
      </c>
      <c r="U103" s="126">
        <f t="shared" si="25"/>
        <v>0.04</v>
      </c>
      <c r="V103" s="124">
        <f t="shared" si="26"/>
        <v>0.02</v>
      </c>
    </row>
    <row r="104" spans="1:22" s="3" customFormat="1" x14ac:dyDescent="0.3">
      <c r="A104" s="38">
        <v>1920</v>
      </c>
      <c r="B104" s="122" t="str">
        <f t="shared" si="27"/>
        <v>1920-2020</v>
      </c>
      <c r="C104" s="127">
        <v>101</v>
      </c>
      <c r="D104" s="128">
        <f t="shared" si="28"/>
        <v>9.9500000000000005E-2</v>
      </c>
      <c r="E104" s="125">
        <v>61</v>
      </c>
      <c r="F104" s="126">
        <f t="shared" si="15"/>
        <v>0.60396000000000005</v>
      </c>
      <c r="G104" s="124">
        <f t="shared" si="16"/>
        <v>7.7329999999999996E-2</v>
      </c>
      <c r="H104" s="125">
        <v>64</v>
      </c>
      <c r="I104" s="126">
        <f t="shared" si="17"/>
        <v>0.63366</v>
      </c>
      <c r="J104" s="124">
        <f t="shared" si="18"/>
        <v>7.9200000000000007E-2</v>
      </c>
      <c r="K104" s="125">
        <v>42</v>
      </c>
      <c r="L104" s="126">
        <f t="shared" si="19"/>
        <v>0.41583999999999999</v>
      </c>
      <c r="M104" s="124">
        <f t="shared" si="20"/>
        <v>6.4159999999999995E-2</v>
      </c>
      <c r="N104" s="125">
        <v>13</v>
      </c>
      <c r="O104" s="126">
        <f t="shared" si="21"/>
        <v>0.12870999999999999</v>
      </c>
      <c r="P104" s="124">
        <f t="shared" si="22"/>
        <v>3.5700000000000003E-2</v>
      </c>
      <c r="Q104" s="125">
        <v>5</v>
      </c>
      <c r="R104" s="126">
        <f t="shared" si="23"/>
        <v>4.9500000000000002E-2</v>
      </c>
      <c r="S104" s="124">
        <f t="shared" si="24"/>
        <v>2.214E-2</v>
      </c>
      <c r="T104" s="125">
        <v>4</v>
      </c>
      <c r="U104" s="126">
        <f t="shared" si="25"/>
        <v>3.9600000000000003E-2</v>
      </c>
      <c r="V104" s="124">
        <f t="shared" si="26"/>
        <v>1.9800000000000002E-2</v>
      </c>
    </row>
    <row r="105" spans="1:22" s="3" customFormat="1" x14ac:dyDescent="0.3">
      <c r="A105" s="38">
        <v>1919</v>
      </c>
      <c r="B105" s="122" t="str">
        <f t="shared" si="27"/>
        <v>1919-2020</v>
      </c>
      <c r="C105" s="123">
        <v>102</v>
      </c>
      <c r="D105" s="124">
        <f t="shared" si="28"/>
        <v>9.9010000000000001E-2</v>
      </c>
      <c r="E105" s="125">
        <v>61</v>
      </c>
      <c r="F105" s="126">
        <f t="shared" si="15"/>
        <v>0.59804000000000002</v>
      </c>
      <c r="G105" s="124">
        <f t="shared" si="16"/>
        <v>7.6569999999999999E-2</v>
      </c>
      <c r="H105" s="125">
        <v>64</v>
      </c>
      <c r="I105" s="126">
        <f t="shared" si="17"/>
        <v>0.62744999999999995</v>
      </c>
      <c r="J105" s="124">
        <f t="shared" si="18"/>
        <v>7.843E-2</v>
      </c>
      <c r="K105" s="125">
        <v>42</v>
      </c>
      <c r="L105" s="126">
        <f t="shared" si="19"/>
        <v>0.41176000000000001</v>
      </c>
      <c r="M105" s="124">
        <f t="shared" si="20"/>
        <v>6.3530000000000003E-2</v>
      </c>
      <c r="N105" s="125">
        <v>13</v>
      </c>
      <c r="O105" s="126">
        <f t="shared" si="21"/>
        <v>0.12745000000000001</v>
      </c>
      <c r="P105" s="124">
        <f t="shared" si="22"/>
        <v>3.5349999999999999E-2</v>
      </c>
      <c r="Q105" s="125">
        <v>5</v>
      </c>
      <c r="R105" s="126">
        <f t="shared" si="23"/>
        <v>4.9020000000000001E-2</v>
      </c>
      <c r="S105" s="124">
        <f t="shared" si="24"/>
        <v>2.1919999999999999E-2</v>
      </c>
      <c r="T105" s="125">
        <v>5</v>
      </c>
      <c r="U105" s="126">
        <f t="shared" si="25"/>
        <v>4.9020000000000001E-2</v>
      </c>
      <c r="V105" s="124">
        <f t="shared" si="26"/>
        <v>2.1919999999999999E-2</v>
      </c>
    </row>
    <row r="106" spans="1:22" s="3" customFormat="1" x14ac:dyDescent="0.3">
      <c r="A106" s="38">
        <v>1918</v>
      </c>
      <c r="B106" s="122" t="str">
        <f t="shared" si="27"/>
        <v>1918-2020</v>
      </c>
      <c r="C106" s="127">
        <v>103</v>
      </c>
      <c r="D106" s="128">
        <f t="shared" si="28"/>
        <v>9.8530000000000006E-2</v>
      </c>
      <c r="E106" s="125">
        <v>61</v>
      </c>
      <c r="F106" s="126">
        <f t="shared" si="15"/>
        <v>0.59223000000000003</v>
      </c>
      <c r="G106" s="124">
        <f t="shared" si="16"/>
        <v>7.5829999999999995E-2</v>
      </c>
      <c r="H106" s="125">
        <v>64</v>
      </c>
      <c r="I106" s="126">
        <f t="shared" si="17"/>
        <v>0.62136000000000002</v>
      </c>
      <c r="J106" s="124">
        <f t="shared" si="18"/>
        <v>7.7670000000000003E-2</v>
      </c>
      <c r="K106" s="125">
        <v>42</v>
      </c>
      <c r="L106" s="126">
        <f t="shared" si="19"/>
        <v>0.40777000000000002</v>
      </c>
      <c r="M106" s="124">
        <f t="shared" si="20"/>
        <v>6.2920000000000004E-2</v>
      </c>
      <c r="N106" s="125">
        <v>13</v>
      </c>
      <c r="O106" s="126">
        <f t="shared" si="21"/>
        <v>0.12620999999999999</v>
      </c>
      <c r="P106" s="124">
        <f t="shared" si="22"/>
        <v>3.5000000000000003E-2</v>
      </c>
      <c r="Q106" s="125">
        <v>5</v>
      </c>
      <c r="R106" s="126">
        <f t="shared" si="23"/>
        <v>4.854E-2</v>
      </c>
      <c r="S106" s="124">
        <f t="shared" si="24"/>
        <v>2.171E-2</v>
      </c>
      <c r="T106" s="125">
        <v>5</v>
      </c>
      <c r="U106" s="126">
        <f t="shared" si="25"/>
        <v>4.854E-2</v>
      </c>
      <c r="V106" s="124">
        <f t="shared" si="26"/>
        <v>2.171E-2</v>
      </c>
    </row>
    <row r="107" spans="1:22" s="3" customFormat="1" x14ac:dyDescent="0.3">
      <c r="A107" s="38">
        <v>1917</v>
      </c>
      <c r="B107" s="122" t="str">
        <f t="shared" si="27"/>
        <v>1917-2020</v>
      </c>
      <c r="C107" s="123">
        <v>104</v>
      </c>
      <c r="D107" s="124">
        <f t="shared" si="28"/>
        <v>9.8059999999999994E-2</v>
      </c>
      <c r="E107" s="125">
        <v>61</v>
      </c>
      <c r="F107" s="126">
        <f t="shared" si="15"/>
        <v>0.58653999999999995</v>
      </c>
      <c r="G107" s="124">
        <f t="shared" si="16"/>
        <v>7.51E-2</v>
      </c>
      <c r="H107" s="125">
        <v>64</v>
      </c>
      <c r="I107" s="126">
        <f t="shared" si="17"/>
        <v>0.61538000000000004</v>
      </c>
      <c r="J107" s="124">
        <f t="shared" si="18"/>
        <v>7.6920000000000002E-2</v>
      </c>
      <c r="K107" s="125">
        <v>42</v>
      </c>
      <c r="L107" s="126">
        <f t="shared" si="19"/>
        <v>0.40384999999999999</v>
      </c>
      <c r="M107" s="124">
        <f t="shared" si="20"/>
        <v>6.232E-2</v>
      </c>
      <c r="N107" s="125">
        <v>13</v>
      </c>
      <c r="O107" s="126">
        <f t="shared" si="21"/>
        <v>0.125</v>
      </c>
      <c r="P107" s="124">
        <f t="shared" si="22"/>
        <v>3.4669999999999999E-2</v>
      </c>
      <c r="Q107" s="125">
        <v>5</v>
      </c>
      <c r="R107" s="126">
        <f t="shared" si="23"/>
        <v>4.8079999999999998E-2</v>
      </c>
      <c r="S107" s="124">
        <f t="shared" si="24"/>
        <v>2.1499999999999998E-2</v>
      </c>
      <c r="T107" s="125">
        <v>5</v>
      </c>
      <c r="U107" s="126">
        <f t="shared" si="25"/>
        <v>4.8079999999999998E-2</v>
      </c>
      <c r="V107" s="124">
        <f t="shared" si="26"/>
        <v>2.1499999999999998E-2</v>
      </c>
    </row>
    <row r="108" spans="1:22" s="3" customFormat="1" x14ac:dyDescent="0.3">
      <c r="A108" s="38">
        <v>1916</v>
      </c>
      <c r="B108" s="122" t="str">
        <f t="shared" si="27"/>
        <v>1916-2020</v>
      </c>
      <c r="C108" s="127">
        <v>105</v>
      </c>
      <c r="D108" s="128">
        <f t="shared" si="28"/>
        <v>9.7589999999999996E-2</v>
      </c>
      <c r="E108" s="125">
        <v>61</v>
      </c>
      <c r="F108" s="126">
        <f t="shared" si="15"/>
        <v>0.58094999999999997</v>
      </c>
      <c r="G108" s="124">
        <f t="shared" si="16"/>
        <v>7.4380000000000002E-2</v>
      </c>
      <c r="H108" s="125">
        <v>64</v>
      </c>
      <c r="I108" s="126">
        <f t="shared" si="17"/>
        <v>0.60951999999999995</v>
      </c>
      <c r="J108" s="124">
        <f t="shared" si="18"/>
        <v>7.6189999999999994E-2</v>
      </c>
      <c r="K108" s="125">
        <v>42</v>
      </c>
      <c r="L108" s="126">
        <f t="shared" si="19"/>
        <v>0.4</v>
      </c>
      <c r="M108" s="124">
        <f t="shared" si="20"/>
        <v>6.1719999999999997E-2</v>
      </c>
      <c r="N108" s="125">
        <v>13</v>
      </c>
      <c r="O108" s="126">
        <f t="shared" si="21"/>
        <v>0.12381</v>
      </c>
      <c r="P108" s="124">
        <f t="shared" si="22"/>
        <v>3.4340000000000002E-2</v>
      </c>
      <c r="Q108" s="125">
        <v>5</v>
      </c>
      <c r="R108" s="126">
        <f t="shared" si="23"/>
        <v>4.7620000000000003E-2</v>
      </c>
      <c r="S108" s="124">
        <f t="shared" si="24"/>
        <v>2.1299999999999999E-2</v>
      </c>
      <c r="T108" s="125">
        <v>5</v>
      </c>
      <c r="U108" s="126">
        <f t="shared" si="25"/>
        <v>4.7620000000000003E-2</v>
      </c>
      <c r="V108" s="124">
        <f t="shared" si="26"/>
        <v>2.1299999999999999E-2</v>
      </c>
    </row>
    <row r="109" spans="1:22" s="3" customFormat="1" x14ac:dyDescent="0.3">
      <c r="A109" s="38">
        <v>1915</v>
      </c>
      <c r="B109" s="122" t="str">
        <f t="shared" si="27"/>
        <v>1915-2020</v>
      </c>
      <c r="C109" s="123">
        <v>106</v>
      </c>
      <c r="D109" s="124">
        <f t="shared" si="28"/>
        <v>9.7129999999999994E-2</v>
      </c>
      <c r="E109" s="125">
        <v>61</v>
      </c>
      <c r="F109" s="126">
        <f t="shared" si="15"/>
        <v>0.57547000000000004</v>
      </c>
      <c r="G109" s="124">
        <f t="shared" si="16"/>
        <v>7.3679999999999995E-2</v>
      </c>
      <c r="H109" s="125">
        <v>64</v>
      </c>
      <c r="I109" s="126">
        <f t="shared" si="17"/>
        <v>0.60377000000000003</v>
      </c>
      <c r="J109" s="124">
        <f t="shared" si="18"/>
        <v>7.5469999999999995E-2</v>
      </c>
      <c r="K109" s="125">
        <v>42</v>
      </c>
      <c r="L109" s="126">
        <f t="shared" si="19"/>
        <v>0.39623000000000003</v>
      </c>
      <c r="M109" s="124">
        <f t="shared" si="20"/>
        <v>6.114E-2</v>
      </c>
      <c r="N109" s="125">
        <v>13</v>
      </c>
      <c r="O109" s="126">
        <f t="shared" si="21"/>
        <v>0.12264</v>
      </c>
      <c r="P109" s="124">
        <f t="shared" si="22"/>
        <v>3.4009999999999999E-2</v>
      </c>
      <c r="Q109" s="125">
        <v>5</v>
      </c>
      <c r="R109" s="126">
        <f t="shared" si="23"/>
        <v>4.7169999999999997E-2</v>
      </c>
      <c r="S109" s="124">
        <f t="shared" si="24"/>
        <v>2.1100000000000001E-2</v>
      </c>
      <c r="T109" s="125">
        <v>5</v>
      </c>
      <c r="U109" s="126">
        <f t="shared" si="25"/>
        <v>4.7169999999999997E-2</v>
      </c>
      <c r="V109" s="124">
        <f t="shared" si="26"/>
        <v>2.1100000000000001E-2</v>
      </c>
    </row>
    <row r="110" spans="1:22" s="3" customFormat="1" x14ac:dyDescent="0.3">
      <c r="A110" s="38">
        <v>1914</v>
      </c>
      <c r="B110" s="122" t="str">
        <f t="shared" si="27"/>
        <v>1914-2020</v>
      </c>
      <c r="C110" s="127">
        <v>107</v>
      </c>
      <c r="D110" s="128">
        <f t="shared" si="28"/>
        <v>9.6670000000000006E-2</v>
      </c>
      <c r="E110" s="125">
        <v>61</v>
      </c>
      <c r="F110" s="126">
        <f t="shared" si="15"/>
        <v>0.57008999999999999</v>
      </c>
      <c r="G110" s="124">
        <f t="shared" si="16"/>
        <v>7.2989999999999999E-2</v>
      </c>
      <c r="H110" s="125">
        <v>64</v>
      </c>
      <c r="I110" s="126">
        <f t="shared" si="17"/>
        <v>0.59813000000000005</v>
      </c>
      <c r="J110" s="124">
        <f t="shared" si="18"/>
        <v>7.4759999999999993E-2</v>
      </c>
      <c r="K110" s="125">
        <v>42</v>
      </c>
      <c r="L110" s="126">
        <f t="shared" si="19"/>
        <v>0.39251999999999998</v>
      </c>
      <c r="M110" s="124">
        <f t="shared" si="20"/>
        <v>6.0569999999999999E-2</v>
      </c>
      <c r="N110" s="125">
        <v>13</v>
      </c>
      <c r="O110" s="126">
        <f t="shared" si="21"/>
        <v>0.1215</v>
      </c>
      <c r="P110" s="124">
        <f t="shared" si="22"/>
        <v>3.3700000000000001E-2</v>
      </c>
      <c r="Q110" s="125">
        <v>5</v>
      </c>
      <c r="R110" s="126">
        <f t="shared" si="23"/>
        <v>4.6730000000000001E-2</v>
      </c>
      <c r="S110" s="124">
        <f t="shared" si="24"/>
        <v>2.0899999999999998E-2</v>
      </c>
      <c r="T110" s="125">
        <v>5</v>
      </c>
      <c r="U110" s="126">
        <f t="shared" si="25"/>
        <v>4.6730000000000001E-2</v>
      </c>
      <c r="V110" s="124">
        <f t="shared" si="26"/>
        <v>2.0899999999999998E-2</v>
      </c>
    </row>
    <row r="111" spans="1:22" s="3" customFormat="1" x14ac:dyDescent="0.3">
      <c r="A111" s="38">
        <v>1913</v>
      </c>
      <c r="B111" s="122" t="str">
        <f t="shared" si="27"/>
        <v>1913-2020</v>
      </c>
      <c r="C111" s="123">
        <v>108</v>
      </c>
      <c r="D111" s="124">
        <f t="shared" si="28"/>
        <v>9.6229999999999996E-2</v>
      </c>
      <c r="E111" s="125">
        <v>61</v>
      </c>
      <c r="F111" s="126">
        <f t="shared" si="15"/>
        <v>0.56481000000000003</v>
      </c>
      <c r="G111" s="124">
        <f t="shared" si="16"/>
        <v>7.2319999999999995E-2</v>
      </c>
      <c r="H111" s="125">
        <v>64</v>
      </c>
      <c r="I111" s="126">
        <f t="shared" si="17"/>
        <v>0.59258999999999995</v>
      </c>
      <c r="J111" s="124">
        <f t="shared" si="18"/>
        <v>7.4079999999999993E-2</v>
      </c>
      <c r="K111" s="125">
        <v>42</v>
      </c>
      <c r="L111" s="126">
        <f t="shared" si="19"/>
        <v>0.38889000000000001</v>
      </c>
      <c r="M111" s="124">
        <f t="shared" si="20"/>
        <v>6.0010000000000001E-2</v>
      </c>
      <c r="N111" s="125">
        <v>13</v>
      </c>
      <c r="O111" s="126">
        <f t="shared" si="21"/>
        <v>0.12037</v>
      </c>
      <c r="P111" s="124">
        <f t="shared" si="22"/>
        <v>3.3390000000000003E-2</v>
      </c>
      <c r="Q111" s="125">
        <v>5</v>
      </c>
      <c r="R111" s="126">
        <f t="shared" si="23"/>
        <v>4.6300000000000001E-2</v>
      </c>
      <c r="S111" s="124">
        <f t="shared" si="24"/>
        <v>2.0709999999999999E-2</v>
      </c>
      <c r="T111" s="125">
        <v>5</v>
      </c>
      <c r="U111" s="126">
        <f t="shared" si="25"/>
        <v>4.6300000000000001E-2</v>
      </c>
      <c r="V111" s="124">
        <f t="shared" si="26"/>
        <v>2.0709999999999999E-2</v>
      </c>
    </row>
    <row r="112" spans="1:22" s="3" customFormat="1" x14ac:dyDescent="0.3">
      <c r="A112" s="38">
        <v>1912</v>
      </c>
      <c r="B112" s="122" t="str">
        <f t="shared" si="27"/>
        <v>1912-2020</v>
      </c>
      <c r="C112" s="127">
        <v>109</v>
      </c>
      <c r="D112" s="128">
        <f t="shared" si="28"/>
        <v>9.5780000000000004E-2</v>
      </c>
      <c r="E112" s="125">
        <v>61</v>
      </c>
      <c r="F112" s="126">
        <f t="shared" si="15"/>
        <v>0.55962999999999996</v>
      </c>
      <c r="G112" s="124">
        <f t="shared" si="16"/>
        <v>7.1650000000000005E-2</v>
      </c>
      <c r="H112" s="125">
        <v>64</v>
      </c>
      <c r="I112" s="126">
        <f t="shared" si="17"/>
        <v>0.58716000000000002</v>
      </c>
      <c r="J112" s="124">
        <f t="shared" si="18"/>
        <v>7.3389999999999997E-2</v>
      </c>
      <c r="K112" s="125">
        <v>42</v>
      </c>
      <c r="L112" s="126">
        <f t="shared" si="19"/>
        <v>0.38532</v>
      </c>
      <c r="M112" s="124">
        <f t="shared" si="20"/>
        <v>5.9450000000000003E-2</v>
      </c>
      <c r="N112" s="125">
        <v>13</v>
      </c>
      <c r="O112" s="126">
        <f t="shared" si="21"/>
        <v>0.11927</v>
      </c>
      <c r="P112" s="124">
        <f t="shared" si="22"/>
        <v>3.3079999999999998E-2</v>
      </c>
      <c r="Q112" s="125">
        <v>5</v>
      </c>
      <c r="R112" s="126">
        <f t="shared" si="23"/>
        <v>4.5870000000000001E-2</v>
      </c>
      <c r="S112" s="124">
        <f t="shared" si="24"/>
        <v>2.051E-2</v>
      </c>
      <c r="T112" s="125">
        <v>5</v>
      </c>
      <c r="U112" s="126">
        <f t="shared" si="25"/>
        <v>4.5870000000000001E-2</v>
      </c>
      <c r="V112" s="124">
        <f t="shared" si="26"/>
        <v>2.051E-2</v>
      </c>
    </row>
    <row r="113" spans="1:22" s="3" customFormat="1" x14ac:dyDescent="0.3">
      <c r="A113" s="38">
        <v>1911</v>
      </c>
      <c r="B113" s="122" t="str">
        <f t="shared" si="27"/>
        <v>1911-2020</v>
      </c>
      <c r="C113" s="123">
        <v>110</v>
      </c>
      <c r="D113" s="124">
        <f t="shared" si="28"/>
        <v>9.5350000000000004E-2</v>
      </c>
      <c r="E113" s="125">
        <v>61</v>
      </c>
      <c r="F113" s="126">
        <f t="shared" si="15"/>
        <v>0.55454999999999999</v>
      </c>
      <c r="G113" s="124">
        <f t="shared" si="16"/>
        <v>7.1010000000000004E-2</v>
      </c>
      <c r="H113" s="125">
        <v>64</v>
      </c>
      <c r="I113" s="126">
        <f t="shared" si="17"/>
        <v>0.58182</v>
      </c>
      <c r="J113" s="124">
        <f t="shared" si="18"/>
        <v>7.2730000000000003E-2</v>
      </c>
      <c r="K113" s="125">
        <v>42</v>
      </c>
      <c r="L113" s="126">
        <f t="shared" si="19"/>
        <v>0.38181999999999999</v>
      </c>
      <c r="M113" s="124">
        <f t="shared" si="20"/>
        <v>5.892E-2</v>
      </c>
      <c r="N113" s="125">
        <v>13</v>
      </c>
      <c r="O113" s="126">
        <f t="shared" si="21"/>
        <v>0.11817999999999999</v>
      </c>
      <c r="P113" s="124">
        <f t="shared" si="22"/>
        <v>3.2779999999999997E-2</v>
      </c>
      <c r="Q113" s="125">
        <v>5</v>
      </c>
      <c r="R113" s="126">
        <f t="shared" si="23"/>
        <v>4.5449999999999997E-2</v>
      </c>
      <c r="S113" s="124">
        <f t="shared" si="24"/>
        <v>2.0330000000000001E-2</v>
      </c>
      <c r="T113" s="125">
        <v>5</v>
      </c>
      <c r="U113" s="126">
        <f t="shared" si="25"/>
        <v>4.5449999999999997E-2</v>
      </c>
      <c r="V113" s="124">
        <f t="shared" si="26"/>
        <v>2.0330000000000001E-2</v>
      </c>
    </row>
    <row r="114" spans="1:22" s="3" customFormat="1" x14ac:dyDescent="0.3">
      <c r="A114" s="38">
        <v>1910</v>
      </c>
      <c r="B114" s="122" t="str">
        <f t="shared" si="27"/>
        <v>1910-2020</v>
      </c>
      <c r="C114" s="127">
        <v>111</v>
      </c>
      <c r="D114" s="128">
        <f t="shared" si="28"/>
        <v>9.4920000000000004E-2</v>
      </c>
      <c r="E114" s="125">
        <v>61</v>
      </c>
      <c r="F114" s="126">
        <f t="shared" si="15"/>
        <v>0.54954999999999998</v>
      </c>
      <c r="G114" s="124">
        <f t="shared" si="16"/>
        <v>7.0370000000000002E-2</v>
      </c>
      <c r="H114" s="125">
        <v>64</v>
      </c>
      <c r="I114" s="126">
        <f t="shared" si="17"/>
        <v>0.57657999999999998</v>
      </c>
      <c r="J114" s="124">
        <f t="shared" si="18"/>
        <v>7.2080000000000005E-2</v>
      </c>
      <c r="K114" s="125">
        <v>42</v>
      </c>
      <c r="L114" s="126">
        <f t="shared" si="19"/>
        <v>0.37837999999999999</v>
      </c>
      <c r="M114" s="124">
        <f t="shared" si="20"/>
        <v>5.8389999999999997E-2</v>
      </c>
      <c r="N114" s="125">
        <v>13</v>
      </c>
      <c r="O114" s="126">
        <f t="shared" si="21"/>
        <v>0.11712</v>
      </c>
      <c r="P114" s="124">
        <f t="shared" si="22"/>
        <v>3.2480000000000002E-2</v>
      </c>
      <c r="Q114" s="125">
        <v>5</v>
      </c>
      <c r="R114" s="126">
        <f t="shared" si="23"/>
        <v>4.505E-2</v>
      </c>
      <c r="S114" s="124">
        <f t="shared" si="24"/>
        <v>2.0150000000000001E-2</v>
      </c>
      <c r="T114" s="125">
        <v>5</v>
      </c>
      <c r="U114" s="126">
        <f t="shared" si="25"/>
        <v>4.505E-2</v>
      </c>
      <c r="V114" s="124">
        <f t="shared" si="26"/>
        <v>2.0150000000000001E-2</v>
      </c>
    </row>
    <row r="115" spans="1:22" s="3" customFormat="1" x14ac:dyDescent="0.3">
      <c r="A115" s="38">
        <v>1909</v>
      </c>
      <c r="B115" s="122" t="str">
        <f t="shared" si="27"/>
        <v>1909-2020</v>
      </c>
      <c r="C115" s="123">
        <v>112</v>
      </c>
      <c r="D115" s="124">
        <f t="shared" si="28"/>
        <v>9.4490000000000005E-2</v>
      </c>
      <c r="E115" s="125">
        <v>61</v>
      </c>
      <c r="F115" s="126">
        <f t="shared" si="15"/>
        <v>0.54464000000000001</v>
      </c>
      <c r="G115" s="124">
        <f t="shared" si="16"/>
        <v>6.973E-2</v>
      </c>
      <c r="H115" s="125">
        <v>64</v>
      </c>
      <c r="I115" s="126">
        <f t="shared" si="17"/>
        <v>0.57142999999999999</v>
      </c>
      <c r="J115" s="124">
        <f t="shared" si="18"/>
        <v>7.1429999999999993E-2</v>
      </c>
      <c r="K115" s="125">
        <v>42</v>
      </c>
      <c r="L115" s="126">
        <f t="shared" si="19"/>
        <v>0.375</v>
      </c>
      <c r="M115" s="124">
        <f t="shared" si="20"/>
        <v>5.7860000000000002E-2</v>
      </c>
      <c r="N115" s="125">
        <v>13</v>
      </c>
      <c r="O115" s="126">
        <f t="shared" si="21"/>
        <v>0.11607000000000001</v>
      </c>
      <c r="P115" s="124">
        <f t="shared" si="22"/>
        <v>3.2190000000000003E-2</v>
      </c>
      <c r="Q115" s="125">
        <v>5</v>
      </c>
      <c r="R115" s="126">
        <f t="shared" si="23"/>
        <v>4.4639999999999999E-2</v>
      </c>
      <c r="S115" s="124">
        <f t="shared" si="24"/>
        <v>1.9959999999999999E-2</v>
      </c>
      <c r="T115" s="125">
        <v>5</v>
      </c>
      <c r="U115" s="126">
        <f t="shared" si="25"/>
        <v>4.4639999999999999E-2</v>
      </c>
      <c r="V115" s="124">
        <f t="shared" si="26"/>
        <v>1.9959999999999999E-2</v>
      </c>
    </row>
    <row r="116" spans="1:22" s="3" customFormat="1" x14ac:dyDescent="0.3">
      <c r="A116" s="38">
        <v>1908</v>
      </c>
      <c r="B116" s="122" t="str">
        <f t="shared" si="27"/>
        <v>1908-2020</v>
      </c>
      <c r="C116" s="127">
        <v>113</v>
      </c>
      <c r="D116" s="128">
        <f t="shared" si="28"/>
        <v>9.4070000000000001E-2</v>
      </c>
      <c r="E116" s="125">
        <v>61</v>
      </c>
      <c r="F116" s="126">
        <f t="shared" si="15"/>
        <v>0.53981999999999997</v>
      </c>
      <c r="G116" s="124">
        <f t="shared" si="16"/>
        <v>6.9120000000000001E-2</v>
      </c>
      <c r="H116" s="125">
        <v>64</v>
      </c>
      <c r="I116" s="126">
        <f t="shared" si="17"/>
        <v>0.56637000000000004</v>
      </c>
      <c r="J116" s="124">
        <f t="shared" si="18"/>
        <v>7.0790000000000006E-2</v>
      </c>
      <c r="K116" s="125">
        <v>42</v>
      </c>
      <c r="L116" s="126">
        <f t="shared" si="19"/>
        <v>0.37168000000000001</v>
      </c>
      <c r="M116" s="124">
        <f t="shared" si="20"/>
        <v>5.7349999999999998E-2</v>
      </c>
      <c r="N116" s="125">
        <v>13</v>
      </c>
      <c r="O116" s="126">
        <f t="shared" si="21"/>
        <v>0.11504</v>
      </c>
      <c r="P116" s="124">
        <f t="shared" si="22"/>
        <v>3.1910000000000001E-2</v>
      </c>
      <c r="Q116" s="125">
        <v>5</v>
      </c>
      <c r="R116" s="126">
        <f t="shared" si="23"/>
        <v>4.4249999999999998E-2</v>
      </c>
      <c r="S116" s="124">
        <f t="shared" si="24"/>
        <v>1.9789999999999999E-2</v>
      </c>
      <c r="T116" s="125">
        <v>5</v>
      </c>
      <c r="U116" s="126">
        <f t="shared" si="25"/>
        <v>4.4249999999999998E-2</v>
      </c>
      <c r="V116" s="124">
        <f t="shared" si="26"/>
        <v>1.9789999999999999E-2</v>
      </c>
    </row>
    <row r="117" spans="1:22" s="3" customFormat="1" x14ac:dyDescent="0.3">
      <c r="A117" s="38">
        <v>1907</v>
      </c>
      <c r="B117" s="122" t="str">
        <f t="shared" si="27"/>
        <v>1907-2020</v>
      </c>
      <c r="C117" s="123">
        <v>114</v>
      </c>
      <c r="D117" s="124">
        <f t="shared" si="28"/>
        <v>9.3659999999999993E-2</v>
      </c>
      <c r="E117" s="125">
        <v>61</v>
      </c>
      <c r="F117" s="126">
        <f t="shared" si="15"/>
        <v>0.53508999999999995</v>
      </c>
      <c r="G117" s="124">
        <f t="shared" si="16"/>
        <v>6.8510000000000001E-2</v>
      </c>
      <c r="H117" s="125">
        <v>64</v>
      </c>
      <c r="I117" s="126">
        <f t="shared" si="17"/>
        <v>0.56140000000000001</v>
      </c>
      <c r="J117" s="124">
        <f t="shared" si="18"/>
        <v>7.0180000000000006E-2</v>
      </c>
      <c r="K117" s="125">
        <v>42</v>
      </c>
      <c r="L117" s="126">
        <f t="shared" si="19"/>
        <v>0.36842000000000003</v>
      </c>
      <c r="M117" s="124">
        <f t="shared" si="20"/>
        <v>5.6849999999999998E-2</v>
      </c>
      <c r="N117" s="125">
        <v>13</v>
      </c>
      <c r="O117" s="126">
        <f t="shared" si="21"/>
        <v>0.11404</v>
      </c>
      <c r="P117" s="124">
        <f t="shared" si="22"/>
        <v>3.1629999999999998E-2</v>
      </c>
      <c r="Q117" s="125">
        <v>5</v>
      </c>
      <c r="R117" s="126">
        <f t="shared" si="23"/>
        <v>4.3860000000000003E-2</v>
      </c>
      <c r="S117" s="124">
        <f t="shared" si="24"/>
        <v>1.9619999999999999E-2</v>
      </c>
      <c r="T117" s="125">
        <v>5</v>
      </c>
      <c r="U117" s="126">
        <f t="shared" si="25"/>
        <v>4.3860000000000003E-2</v>
      </c>
      <c r="V117" s="124">
        <f t="shared" si="26"/>
        <v>1.9619999999999999E-2</v>
      </c>
    </row>
    <row r="118" spans="1:22" s="3" customFormat="1" x14ac:dyDescent="0.3">
      <c r="A118" s="38">
        <v>1906</v>
      </c>
      <c r="B118" s="122" t="str">
        <f t="shared" si="27"/>
        <v>1906-2020</v>
      </c>
      <c r="C118" s="127">
        <v>115</v>
      </c>
      <c r="D118" s="128">
        <f t="shared" si="28"/>
        <v>9.325E-2</v>
      </c>
      <c r="E118" s="125">
        <v>61</v>
      </c>
      <c r="F118" s="126">
        <f t="shared" si="15"/>
        <v>0.53042999999999996</v>
      </c>
      <c r="G118" s="124">
        <f t="shared" si="16"/>
        <v>6.7909999999999998E-2</v>
      </c>
      <c r="H118" s="125">
        <v>64</v>
      </c>
      <c r="I118" s="126">
        <f t="shared" si="17"/>
        <v>0.55652000000000001</v>
      </c>
      <c r="J118" s="124">
        <f t="shared" si="18"/>
        <v>6.9559999999999997E-2</v>
      </c>
      <c r="K118" s="125">
        <v>42</v>
      </c>
      <c r="L118" s="126">
        <f t="shared" si="19"/>
        <v>0.36521999999999999</v>
      </c>
      <c r="M118" s="124">
        <f t="shared" si="20"/>
        <v>5.6349999999999997E-2</v>
      </c>
      <c r="N118" s="125">
        <v>14</v>
      </c>
      <c r="O118" s="126">
        <f t="shared" si="21"/>
        <v>0.12174</v>
      </c>
      <c r="P118" s="124">
        <f t="shared" si="22"/>
        <v>3.2539999999999999E-2</v>
      </c>
      <c r="Q118" s="125">
        <v>5</v>
      </c>
      <c r="R118" s="126">
        <f t="shared" si="23"/>
        <v>4.3479999999999998E-2</v>
      </c>
      <c r="S118" s="124">
        <f t="shared" si="24"/>
        <v>1.9439999999999999E-2</v>
      </c>
      <c r="T118" s="125">
        <v>5</v>
      </c>
      <c r="U118" s="126">
        <f t="shared" si="25"/>
        <v>4.3479999999999998E-2</v>
      </c>
      <c r="V118" s="124">
        <f t="shared" si="26"/>
        <v>1.9439999999999999E-2</v>
      </c>
    </row>
    <row r="119" spans="1:22" s="3" customFormat="1" x14ac:dyDescent="0.3">
      <c r="A119" s="38">
        <v>1905</v>
      </c>
      <c r="B119" s="122" t="str">
        <f t="shared" si="27"/>
        <v>1905-2020</v>
      </c>
      <c r="C119" s="123">
        <v>116</v>
      </c>
      <c r="D119" s="124">
        <f t="shared" si="28"/>
        <v>9.2850000000000002E-2</v>
      </c>
      <c r="E119" s="125">
        <v>61</v>
      </c>
      <c r="F119" s="126">
        <f t="shared" si="15"/>
        <v>0.52585999999999999</v>
      </c>
      <c r="G119" s="124">
        <f t="shared" si="16"/>
        <v>6.7330000000000001E-2</v>
      </c>
      <c r="H119" s="125">
        <v>64</v>
      </c>
      <c r="I119" s="126">
        <f t="shared" si="17"/>
        <v>0.55171999999999999</v>
      </c>
      <c r="J119" s="124">
        <f t="shared" si="18"/>
        <v>6.8970000000000004E-2</v>
      </c>
      <c r="K119" s="125">
        <v>42</v>
      </c>
      <c r="L119" s="126">
        <f t="shared" si="19"/>
        <v>0.36207</v>
      </c>
      <c r="M119" s="124">
        <f t="shared" si="20"/>
        <v>5.5870000000000003E-2</v>
      </c>
      <c r="N119" s="125">
        <v>14</v>
      </c>
      <c r="O119" s="126">
        <f t="shared" si="21"/>
        <v>0.12069000000000001</v>
      </c>
      <c r="P119" s="124">
        <f t="shared" si="22"/>
        <v>3.2259999999999997E-2</v>
      </c>
      <c r="Q119" s="125">
        <v>5</v>
      </c>
      <c r="R119" s="126">
        <f t="shared" si="23"/>
        <v>4.3099999999999999E-2</v>
      </c>
      <c r="S119" s="124">
        <f t="shared" si="24"/>
        <v>1.9279999999999999E-2</v>
      </c>
      <c r="T119" s="125">
        <v>5</v>
      </c>
      <c r="U119" s="126">
        <f t="shared" si="25"/>
        <v>4.3099999999999999E-2</v>
      </c>
      <c r="V119" s="124">
        <f t="shared" si="26"/>
        <v>1.9279999999999999E-2</v>
      </c>
    </row>
    <row r="120" spans="1:22" s="3" customFormat="1" x14ac:dyDescent="0.3">
      <c r="A120" s="38">
        <v>1904</v>
      </c>
      <c r="B120" s="122" t="str">
        <f t="shared" si="27"/>
        <v>1904-2020</v>
      </c>
      <c r="C120" s="127">
        <v>117</v>
      </c>
      <c r="D120" s="128">
        <f t="shared" si="28"/>
        <v>9.2450000000000004E-2</v>
      </c>
      <c r="E120" s="125">
        <v>61</v>
      </c>
      <c r="F120" s="126">
        <f t="shared" si="15"/>
        <v>0.52137</v>
      </c>
      <c r="G120" s="124">
        <f t="shared" si="16"/>
        <v>6.6750000000000004E-2</v>
      </c>
      <c r="H120" s="125">
        <v>64</v>
      </c>
      <c r="I120" s="126">
        <f t="shared" si="17"/>
        <v>0.54701</v>
      </c>
      <c r="J120" s="124">
        <f t="shared" si="18"/>
        <v>6.8379999999999996E-2</v>
      </c>
      <c r="K120" s="125">
        <v>42</v>
      </c>
      <c r="L120" s="126">
        <f t="shared" si="19"/>
        <v>0.35897000000000001</v>
      </c>
      <c r="M120" s="124">
        <f t="shared" si="20"/>
        <v>5.5390000000000002E-2</v>
      </c>
      <c r="N120" s="125">
        <v>14</v>
      </c>
      <c r="O120" s="126">
        <f t="shared" si="21"/>
        <v>0.11966</v>
      </c>
      <c r="P120" s="124">
        <f t="shared" si="22"/>
        <v>3.1980000000000001E-2</v>
      </c>
      <c r="Q120" s="125">
        <v>5</v>
      </c>
      <c r="R120" s="126">
        <f t="shared" si="23"/>
        <v>4.274E-2</v>
      </c>
      <c r="S120" s="124">
        <f t="shared" si="24"/>
        <v>1.9109999999999999E-2</v>
      </c>
      <c r="T120" s="125">
        <v>5</v>
      </c>
      <c r="U120" s="126">
        <f t="shared" si="25"/>
        <v>4.274E-2</v>
      </c>
      <c r="V120" s="124">
        <f t="shared" si="26"/>
        <v>1.9109999999999999E-2</v>
      </c>
    </row>
    <row r="121" spans="1:22" s="3" customFormat="1" x14ac:dyDescent="0.3">
      <c r="A121" s="38">
        <v>1903</v>
      </c>
      <c r="B121" s="122" t="str">
        <f t="shared" si="27"/>
        <v>1903-2020</v>
      </c>
      <c r="C121" s="123">
        <v>118</v>
      </c>
      <c r="D121" s="124">
        <f t="shared" si="28"/>
        <v>9.2060000000000003E-2</v>
      </c>
      <c r="E121" s="125">
        <v>61</v>
      </c>
      <c r="F121" s="126">
        <f t="shared" si="15"/>
        <v>0.51695000000000002</v>
      </c>
      <c r="G121" s="124">
        <f t="shared" si="16"/>
        <v>6.6189999999999999E-2</v>
      </c>
      <c r="H121" s="125">
        <v>64</v>
      </c>
      <c r="I121" s="126">
        <f t="shared" si="17"/>
        <v>0.54237000000000002</v>
      </c>
      <c r="J121" s="124">
        <f t="shared" si="18"/>
        <v>6.7799999999999999E-2</v>
      </c>
      <c r="K121" s="125">
        <v>42</v>
      </c>
      <c r="L121" s="126">
        <f t="shared" si="19"/>
        <v>0.35593000000000002</v>
      </c>
      <c r="M121" s="124">
        <f t="shared" si="20"/>
        <v>5.4919999999999997E-2</v>
      </c>
      <c r="N121" s="125">
        <v>14</v>
      </c>
      <c r="O121" s="126">
        <f t="shared" si="21"/>
        <v>0.11864</v>
      </c>
      <c r="P121" s="124">
        <f t="shared" si="22"/>
        <v>3.1710000000000002E-2</v>
      </c>
      <c r="Q121" s="125">
        <v>5</v>
      </c>
      <c r="R121" s="126">
        <f t="shared" si="23"/>
        <v>4.2369999999999998E-2</v>
      </c>
      <c r="S121" s="124">
        <f t="shared" si="24"/>
        <v>1.8950000000000002E-2</v>
      </c>
      <c r="T121" s="125">
        <v>5</v>
      </c>
      <c r="U121" s="126">
        <f t="shared" si="25"/>
        <v>4.2369999999999998E-2</v>
      </c>
      <c r="V121" s="124">
        <f t="shared" si="26"/>
        <v>1.8950000000000002E-2</v>
      </c>
    </row>
    <row r="122" spans="1:22" s="3" customFormat="1" x14ac:dyDescent="0.3">
      <c r="A122" s="38">
        <v>1902</v>
      </c>
      <c r="B122" s="122" t="str">
        <f t="shared" si="27"/>
        <v>1902-2020</v>
      </c>
      <c r="C122" s="127">
        <v>119</v>
      </c>
      <c r="D122" s="128">
        <f t="shared" si="28"/>
        <v>9.1670000000000001E-2</v>
      </c>
      <c r="E122" s="125">
        <v>61</v>
      </c>
      <c r="F122" s="126">
        <f t="shared" si="15"/>
        <v>0.51261000000000001</v>
      </c>
      <c r="G122" s="124">
        <f t="shared" si="16"/>
        <v>6.5629999999999994E-2</v>
      </c>
      <c r="H122" s="125">
        <v>64</v>
      </c>
      <c r="I122" s="126">
        <f t="shared" si="17"/>
        <v>0.53781999999999996</v>
      </c>
      <c r="J122" s="124">
        <f t="shared" si="18"/>
        <v>6.7229999999999998E-2</v>
      </c>
      <c r="K122" s="125">
        <v>42</v>
      </c>
      <c r="L122" s="126">
        <f t="shared" si="19"/>
        <v>0.35293999999999998</v>
      </c>
      <c r="M122" s="124">
        <f t="shared" si="20"/>
        <v>5.4460000000000001E-2</v>
      </c>
      <c r="N122" s="125">
        <v>14</v>
      </c>
      <c r="O122" s="126">
        <f t="shared" si="21"/>
        <v>0.11765</v>
      </c>
      <c r="P122" s="124">
        <f t="shared" si="22"/>
        <v>3.1440000000000003E-2</v>
      </c>
      <c r="Q122" s="125">
        <v>5</v>
      </c>
      <c r="R122" s="126">
        <f t="shared" si="23"/>
        <v>4.2020000000000002E-2</v>
      </c>
      <c r="S122" s="124">
        <f t="shared" si="24"/>
        <v>1.8790000000000001E-2</v>
      </c>
      <c r="T122" s="125">
        <v>5</v>
      </c>
      <c r="U122" s="126">
        <f t="shared" si="25"/>
        <v>4.2020000000000002E-2</v>
      </c>
      <c r="V122" s="124">
        <f t="shared" si="26"/>
        <v>1.8790000000000001E-2</v>
      </c>
    </row>
    <row r="123" spans="1:22" s="3" customFormat="1" x14ac:dyDescent="0.3">
      <c r="A123" s="38">
        <v>1901</v>
      </c>
      <c r="B123" s="122" t="str">
        <f t="shared" si="27"/>
        <v>1901-2020</v>
      </c>
      <c r="C123" s="123">
        <v>120</v>
      </c>
      <c r="D123" s="124">
        <f t="shared" si="28"/>
        <v>9.1289999999999996E-2</v>
      </c>
      <c r="E123" s="125">
        <v>61</v>
      </c>
      <c r="F123" s="126">
        <f t="shared" si="15"/>
        <v>0.50832999999999995</v>
      </c>
      <c r="G123" s="124">
        <f t="shared" si="16"/>
        <v>6.5089999999999995E-2</v>
      </c>
      <c r="H123" s="125">
        <v>64</v>
      </c>
      <c r="I123" s="126">
        <f t="shared" si="17"/>
        <v>0.53332999999999997</v>
      </c>
      <c r="J123" s="124">
        <f t="shared" si="18"/>
        <v>6.6669999999999993E-2</v>
      </c>
      <c r="K123" s="125">
        <v>42</v>
      </c>
      <c r="L123" s="126">
        <f t="shared" si="19"/>
        <v>0.35</v>
      </c>
      <c r="M123" s="124">
        <f t="shared" si="20"/>
        <v>5.4010000000000002E-2</v>
      </c>
      <c r="N123" s="125">
        <v>14</v>
      </c>
      <c r="O123" s="126">
        <f t="shared" si="21"/>
        <v>0.11667</v>
      </c>
      <c r="P123" s="124">
        <f t="shared" si="22"/>
        <v>3.1179999999999999E-2</v>
      </c>
      <c r="Q123" s="125">
        <v>5</v>
      </c>
      <c r="R123" s="126">
        <f t="shared" si="23"/>
        <v>4.1669999999999999E-2</v>
      </c>
      <c r="S123" s="124">
        <f t="shared" si="24"/>
        <v>1.864E-2</v>
      </c>
      <c r="T123" s="125">
        <v>5</v>
      </c>
      <c r="U123" s="126">
        <f t="shared" si="25"/>
        <v>4.1669999999999999E-2</v>
      </c>
      <c r="V123" s="124">
        <f t="shared" si="26"/>
        <v>1.864E-2</v>
      </c>
    </row>
    <row r="124" spans="1:22" s="3" customFormat="1" x14ac:dyDescent="0.3">
      <c r="A124" s="38">
        <v>1900</v>
      </c>
      <c r="B124" s="122" t="str">
        <f t="shared" si="27"/>
        <v>1900-2020</v>
      </c>
      <c r="C124" s="127">
        <v>121</v>
      </c>
      <c r="D124" s="128">
        <f t="shared" si="28"/>
        <v>9.0910000000000005E-2</v>
      </c>
      <c r="E124" s="125">
        <v>61</v>
      </c>
      <c r="F124" s="126">
        <f t="shared" si="15"/>
        <v>0.50412999999999997</v>
      </c>
      <c r="G124" s="124">
        <f t="shared" si="16"/>
        <v>6.4549999999999996E-2</v>
      </c>
      <c r="H124" s="125">
        <v>64</v>
      </c>
      <c r="I124" s="126">
        <f t="shared" si="17"/>
        <v>0.52893000000000001</v>
      </c>
      <c r="J124" s="124">
        <f t="shared" si="18"/>
        <v>6.6119999999999998E-2</v>
      </c>
      <c r="K124" s="125">
        <v>42</v>
      </c>
      <c r="L124" s="126">
        <f t="shared" si="19"/>
        <v>0.34710999999999997</v>
      </c>
      <c r="M124" s="124">
        <f t="shared" si="20"/>
        <v>5.3560000000000003E-2</v>
      </c>
      <c r="N124" s="125">
        <v>14</v>
      </c>
      <c r="O124" s="126">
        <f t="shared" si="21"/>
        <v>0.1157</v>
      </c>
      <c r="P124" s="124">
        <f t="shared" si="22"/>
        <v>3.092E-2</v>
      </c>
      <c r="Q124" s="125">
        <v>5</v>
      </c>
      <c r="R124" s="126">
        <f t="shared" si="23"/>
        <v>4.1320000000000003E-2</v>
      </c>
      <c r="S124" s="124">
        <f t="shared" si="24"/>
        <v>1.848E-2</v>
      </c>
      <c r="T124" s="125">
        <v>5</v>
      </c>
      <c r="U124" s="126">
        <f t="shared" si="25"/>
        <v>4.1320000000000003E-2</v>
      </c>
      <c r="V124" s="124">
        <f t="shared" si="26"/>
        <v>1.848E-2</v>
      </c>
    </row>
    <row r="125" spans="1:22" s="3" customFormat="1" x14ac:dyDescent="0.3">
      <c r="A125" s="38">
        <v>1899</v>
      </c>
      <c r="B125" s="122" t="str">
        <f t="shared" si="27"/>
        <v>1899-2020</v>
      </c>
      <c r="C125" s="123">
        <v>122</v>
      </c>
      <c r="D125" s="124">
        <f t="shared" si="28"/>
        <v>9.0539999999999995E-2</v>
      </c>
      <c r="E125" s="125">
        <v>61</v>
      </c>
      <c r="F125" s="126">
        <f t="shared" si="15"/>
        <v>0.5</v>
      </c>
      <c r="G125" s="124">
        <f t="shared" si="16"/>
        <v>6.4019999999999994E-2</v>
      </c>
      <c r="H125" s="125">
        <v>64</v>
      </c>
      <c r="I125" s="126">
        <f t="shared" si="17"/>
        <v>0.52459</v>
      </c>
      <c r="J125" s="124">
        <f t="shared" si="18"/>
        <v>6.5579999999999999E-2</v>
      </c>
      <c r="K125" s="125">
        <v>42</v>
      </c>
      <c r="L125" s="126">
        <f t="shared" si="19"/>
        <v>0.34426000000000001</v>
      </c>
      <c r="M125" s="124">
        <f t="shared" si="20"/>
        <v>5.3120000000000001E-2</v>
      </c>
      <c r="N125" s="125">
        <v>14</v>
      </c>
      <c r="O125" s="126">
        <f t="shared" si="21"/>
        <v>0.11475</v>
      </c>
      <c r="P125" s="124">
        <f t="shared" si="22"/>
        <v>3.0669999999999999E-2</v>
      </c>
      <c r="Q125" s="125">
        <v>5</v>
      </c>
      <c r="R125" s="126">
        <f t="shared" si="23"/>
        <v>4.0980000000000003E-2</v>
      </c>
      <c r="S125" s="124">
        <f t="shared" si="24"/>
        <v>1.8329999999999999E-2</v>
      </c>
      <c r="T125" s="125">
        <v>5</v>
      </c>
      <c r="U125" s="126">
        <f t="shared" si="25"/>
        <v>4.0980000000000003E-2</v>
      </c>
      <c r="V125" s="124">
        <f t="shared" si="26"/>
        <v>1.8329999999999999E-2</v>
      </c>
    </row>
    <row r="126" spans="1:22" s="3" customFormat="1" x14ac:dyDescent="0.3">
      <c r="A126" s="38">
        <v>1898</v>
      </c>
      <c r="B126" s="122" t="str">
        <f t="shared" si="27"/>
        <v>1898-2020</v>
      </c>
      <c r="C126" s="127">
        <v>123</v>
      </c>
      <c r="D126" s="128">
        <f t="shared" si="28"/>
        <v>9.017E-2</v>
      </c>
      <c r="E126" s="125">
        <v>61</v>
      </c>
      <c r="F126" s="126">
        <f t="shared" si="15"/>
        <v>0.49592999999999998</v>
      </c>
      <c r="G126" s="124">
        <f t="shared" si="16"/>
        <v>6.3500000000000001E-2</v>
      </c>
      <c r="H126" s="125">
        <v>64</v>
      </c>
      <c r="I126" s="126">
        <f t="shared" si="17"/>
        <v>0.52032999999999996</v>
      </c>
      <c r="J126" s="124">
        <f t="shared" si="18"/>
        <v>6.5040000000000001E-2</v>
      </c>
      <c r="K126" s="125">
        <v>42</v>
      </c>
      <c r="L126" s="126">
        <f t="shared" si="19"/>
        <v>0.34145999999999999</v>
      </c>
      <c r="M126" s="124">
        <f t="shared" si="20"/>
        <v>5.2690000000000001E-2</v>
      </c>
      <c r="N126" s="125">
        <v>14</v>
      </c>
      <c r="O126" s="126">
        <f t="shared" si="21"/>
        <v>0.11382</v>
      </c>
      <c r="P126" s="124">
        <f t="shared" si="22"/>
        <v>3.0419999999999999E-2</v>
      </c>
      <c r="Q126" s="125">
        <v>5</v>
      </c>
      <c r="R126" s="126">
        <f t="shared" si="23"/>
        <v>4.0649999999999999E-2</v>
      </c>
      <c r="S126" s="124">
        <f t="shared" si="24"/>
        <v>1.8180000000000002E-2</v>
      </c>
      <c r="T126" s="125">
        <v>5</v>
      </c>
      <c r="U126" s="126">
        <f t="shared" si="25"/>
        <v>4.0649999999999999E-2</v>
      </c>
      <c r="V126" s="124">
        <f t="shared" si="26"/>
        <v>1.8180000000000002E-2</v>
      </c>
    </row>
    <row r="127" spans="1:22" s="3" customFormat="1" x14ac:dyDescent="0.3">
      <c r="A127" s="38">
        <v>1897</v>
      </c>
      <c r="B127" s="122" t="str">
        <f t="shared" si="27"/>
        <v>1897-2020</v>
      </c>
      <c r="C127" s="123">
        <v>124</v>
      </c>
      <c r="D127" s="124">
        <f t="shared" si="28"/>
        <v>8.9800000000000005E-2</v>
      </c>
      <c r="E127" s="125">
        <v>61</v>
      </c>
      <c r="F127" s="126">
        <f t="shared" si="15"/>
        <v>0.49193999999999999</v>
      </c>
      <c r="G127" s="124">
        <f t="shared" si="16"/>
        <v>6.2979999999999994E-2</v>
      </c>
      <c r="H127" s="125">
        <v>64</v>
      </c>
      <c r="I127" s="126">
        <f t="shared" si="17"/>
        <v>0.51612999999999998</v>
      </c>
      <c r="J127" s="124">
        <f t="shared" si="18"/>
        <v>6.4509999999999998E-2</v>
      </c>
      <c r="K127" s="125">
        <v>42</v>
      </c>
      <c r="L127" s="126">
        <f t="shared" si="19"/>
        <v>0.33871000000000001</v>
      </c>
      <c r="M127" s="124">
        <f t="shared" si="20"/>
        <v>5.2260000000000001E-2</v>
      </c>
      <c r="N127" s="125">
        <v>14</v>
      </c>
      <c r="O127" s="126">
        <f t="shared" si="21"/>
        <v>0.1129</v>
      </c>
      <c r="P127" s="124">
        <f t="shared" si="22"/>
        <v>3.0169999999999999E-2</v>
      </c>
      <c r="Q127" s="125">
        <v>5</v>
      </c>
      <c r="R127" s="126">
        <f t="shared" si="23"/>
        <v>4.0320000000000002E-2</v>
      </c>
      <c r="S127" s="124">
        <f t="shared" si="24"/>
        <v>1.8030000000000001E-2</v>
      </c>
      <c r="T127" s="125">
        <v>5</v>
      </c>
      <c r="U127" s="126">
        <f t="shared" si="25"/>
        <v>4.0320000000000002E-2</v>
      </c>
      <c r="V127" s="124">
        <f t="shared" si="26"/>
        <v>1.8030000000000001E-2</v>
      </c>
    </row>
    <row r="128" spans="1:22" s="3" customFormat="1" x14ac:dyDescent="0.3">
      <c r="A128" s="38">
        <v>1896</v>
      </c>
      <c r="B128" s="122" t="str">
        <f t="shared" si="27"/>
        <v>1896-2020</v>
      </c>
      <c r="C128" s="127">
        <v>125</v>
      </c>
      <c r="D128" s="128">
        <f t="shared" si="28"/>
        <v>8.9440000000000006E-2</v>
      </c>
      <c r="E128" s="125">
        <v>61</v>
      </c>
      <c r="F128" s="126">
        <f t="shared" si="15"/>
        <v>0.48799999999999999</v>
      </c>
      <c r="G128" s="124">
        <f t="shared" si="16"/>
        <v>6.2480000000000001E-2</v>
      </c>
      <c r="H128" s="125">
        <v>64</v>
      </c>
      <c r="I128" s="126">
        <f t="shared" si="17"/>
        <v>0.51200000000000001</v>
      </c>
      <c r="J128" s="124">
        <f t="shared" si="18"/>
        <v>6.4000000000000001E-2</v>
      </c>
      <c r="K128" s="125">
        <v>42</v>
      </c>
      <c r="L128" s="126">
        <f t="shared" si="19"/>
        <v>0.33600000000000002</v>
      </c>
      <c r="M128" s="124">
        <f t="shared" si="20"/>
        <v>5.1839999999999997E-2</v>
      </c>
      <c r="N128" s="125">
        <v>14</v>
      </c>
      <c r="O128" s="126">
        <f t="shared" si="21"/>
        <v>0.112</v>
      </c>
      <c r="P128" s="124">
        <f t="shared" si="22"/>
        <v>2.9929999999999998E-2</v>
      </c>
      <c r="Q128" s="125">
        <v>5</v>
      </c>
      <c r="R128" s="126">
        <f t="shared" si="23"/>
        <v>0.04</v>
      </c>
      <c r="S128" s="124">
        <f t="shared" si="24"/>
        <v>1.789E-2</v>
      </c>
      <c r="T128" s="125">
        <v>5</v>
      </c>
      <c r="U128" s="126">
        <f t="shared" si="25"/>
        <v>0.04</v>
      </c>
      <c r="V128" s="124">
        <f t="shared" si="26"/>
        <v>1.789E-2</v>
      </c>
    </row>
    <row r="129" spans="1:22" s="3" customFormat="1" x14ac:dyDescent="0.3">
      <c r="A129" s="38">
        <v>1895</v>
      </c>
      <c r="B129" s="122" t="str">
        <f t="shared" si="27"/>
        <v>1895-2020</v>
      </c>
      <c r="C129" s="123">
        <v>126</v>
      </c>
      <c r="D129" s="124">
        <f t="shared" si="28"/>
        <v>8.9090000000000003E-2</v>
      </c>
      <c r="E129" s="125">
        <v>61</v>
      </c>
      <c r="F129" s="126">
        <f t="shared" si="15"/>
        <v>0.48413</v>
      </c>
      <c r="G129" s="124">
        <f t="shared" si="16"/>
        <v>6.1990000000000003E-2</v>
      </c>
      <c r="H129" s="125">
        <v>64</v>
      </c>
      <c r="I129" s="126">
        <f t="shared" si="17"/>
        <v>0.50793999999999995</v>
      </c>
      <c r="J129" s="124">
        <f t="shared" si="18"/>
        <v>6.3490000000000005E-2</v>
      </c>
      <c r="K129" s="125">
        <v>42</v>
      </c>
      <c r="L129" s="126">
        <f t="shared" si="19"/>
        <v>0.33333000000000002</v>
      </c>
      <c r="M129" s="124">
        <f t="shared" si="20"/>
        <v>5.144E-2</v>
      </c>
      <c r="N129" s="125">
        <v>14</v>
      </c>
      <c r="O129" s="126">
        <f t="shared" si="21"/>
        <v>0.11111</v>
      </c>
      <c r="P129" s="124">
        <f t="shared" si="22"/>
        <v>2.9700000000000001E-2</v>
      </c>
      <c r="Q129" s="125">
        <v>5</v>
      </c>
      <c r="R129" s="126">
        <f t="shared" si="23"/>
        <v>3.968E-2</v>
      </c>
      <c r="S129" s="124">
        <f t="shared" si="24"/>
        <v>1.7749999999999998E-2</v>
      </c>
      <c r="T129" s="125">
        <v>5</v>
      </c>
      <c r="U129" s="126">
        <f t="shared" si="25"/>
        <v>3.968E-2</v>
      </c>
      <c r="V129" s="124">
        <f t="shared" si="26"/>
        <v>1.7749999999999998E-2</v>
      </c>
    </row>
    <row r="130" spans="1:22" s="3" customFormat="1" x14ac:dyDescent="0.3">
      <c r="A130" s="38">
        <v>1894</v>
      </c>
      <c r="B130" s="122" t="str">
        <f t="shared" si="27"/>
        <v>1894-2020</v>
      </c>
      <c r="C130" s="127">
        <v>127</v>
      </c>
      <c r="D130" s="128">
        <f t="shared" si="28"/>
        <v>8.8739999999999999E-2</v>
      </c>
      <c r="E130" s="125">
        <v>61</v>
      </c>
      <c r="F130" s="126">
        <f t="shared" si="15"/>
        <v>0.48031000000000001</v>
      </c>
      <c r="G130" s="124">
        <f t="shared" si="16"/>
        <v>6.1499999999999999E-2</v>
      </c>
      <c r="H130" s="125">
        <v>64</v>
      </c>
      <c r="I130" s="126">
        <f t="shared" si="17"/>
        <v>0.50394000000000005</v>
      </c>
      <c r="J130" s="124">
        <f t="shared" si="18"/>
        <v>6.3E-2</v>
      </c>
      <c r="K130" s="125">
        <v>42</v>
      </c>
      <c r="L130" s="126">
        <f t="shared" si="19"/>
        <v>0.33071</v>
      </c>
      <c r="M130" s="124">
        <f t="shared" si="20"/>
        <v>5.1029999999999999E-2</v>
      </c>
      <c r="N130" s="125">
        <v>14</v>
      </c>
      <c r="O130" s="126">
        <f t="shared" si="21"/>
        <v>0.11024</v>
      </c>
      <c r="P130" s="124">
        <f t="shared" si="22"/>
        <v>2.946E-2</v>
      </c>
      <c r="Q130" s="125">
        <v>5</v>
      </c>
      <c r="R130" s="126">
        <f t="shared" si="23"/>
        <v>3.9370000000000002E-2</v>
      </c>
      <c r="S130" s="124">
        <f t="shared" si="24"/>
        <v>1.7610000000000001E-2</v>
      </c>
      <c r="T130" s="125">
        <v>5</v>
      </c>
      <c r="U130" s="126">
        <f t="shared" si="25"/>
        <v>3.9370000000000002E-2</v>
      </c>
      <c r="V130" s="124">
        <f t="shared" si="26"/>
        <v>1.7610000000000001E-2</v>
      </c>
    </row>
    <row r="131" spans="1:22" s="3" customFormat="1" x14ac:dyDescent="0.3">
      <c r="A131" s="38">
        <v>1893</v>
      </c>
      <c r="B131" s="122" t="str">
        <f t="shared" si="27"/>
        <v>1893-2020</v>
      </c>
      <c r="C131" s="123">
        <v>128</v>
      </c>
      <c r="D131" s="124">
        <f t="shared" si="28"/>
        <v>8.8389999999999996E-2</v>
      </c>
      <c r="E131" s="125">
        <v>61</v>
      </c>
      <c r="F131" s="126">
        <f t="shared" si="15"/>
        <v>0.47655999999999998</v>
      </c>
      <c r="G131" s="124">
        <f t="shared" si="16"/>
        <v>6.1019999999999998E-2</v>
      </c>
      <c r="H131" s="125">
        <v>64</v>
      </c>
      <c r="I131" s="126">
        <f t="shared" si="17"/>
        <v>0.5</v>
      </c>
      <c r="J131" s="124">
        <f t="shared" si="18"/>
        <v>6.25E-2</v>
      </c>
      <c r="K131" s="125">
        <v>42</v>
      </c>
      <c r="L131" s="126">
        <f t="shared" si="19"/>
        <v>0.32812999999999998</v>
      </c>
      <c r="M131" s="124">
        <f t="shared" si="20"/>
        <v>5.0630000000000001E-2</v>
      </c>
      <c r="N131" s="125">
        <v>14</v>
      </c>
      <c r="O131" s="126">
        <f t="shared" si="21"/>
        <v>0.10938000000000001</v>
      </c>
      <c r="P131" s="124">
        <f t="shared" si="22"/>
        <v>2.9229999999999999E-2</v>
      </c>
      <c r="Q131" s="125">
        <v>5</v>
      </c>
      <c r="R131" s="126">
        <f t="shared" si="23"/>
        <v>3.9059999999999997E-2</v>
      </c>
      <c r="S131" s="124">
        <f t="shared" si="24"/>
        <v>1.7469999999999999E-2</v>
      </c>
      <c r="T131" s="125">
        <v>5</v>
      </c>
      <c r="U131" s="126">
        <f t="shared" si="25"/>
        <v>3.9059999999999997E-2</v>
      </c>
      <c r="V131" s="124">
        <f t="shared" si="26"/>
        <v>1.7469999999999999E-2</v>
      </c>
    </row>
    <row r="132" spans="1:22" s="3" customFormat="1" x14ac:dyDescent="0.3">
      <c r="A132" s="38">
        <v>1892</v>
      </c>
      <c r="B132" s="122" t="str">
        <f t="shared" si="27"/>
        <v>1892-2020</v>
      </c>
      <c r="C132" s="127">
        <v>129</v>
      </c>
      <c r="D132" s="128">
        <f t="shared" si="28"/>
        <v>8.8050000000000003E-2</v>
      </c>
      <c r="E132" s="125">
        <v>61</v>
      </c>
      <c r="F132" s="126">
        <f t="shared" si="15"/>
        <v>0.47287000000000001</v>
      </c>
      <c r="G132" s="124">
        <f t="shared" si="16"/>
        <v>6.055E-2</v>
      </c>
      <c r="H132" s="125">
        <v>64</v>
      </c>
      <c r="I132" s="126">
        <f t="shared" si="17"/>
        <v>0.49612000000000001</v>
      </c>
      <c r="J132" s="124">
        <f t="shared" si="18"/>
        <v>6.2019999999999999E-2</v>
      </c>
      <c r="K132" s="125">
        <v>42</v>
      </c>
      <c r="L132" s="126">
        <f t="shared" si="19"/>
        <v>0.32557999999999998</v>
      </c>
      <c r="M132" s="124">
        <f t="shared" si="20"/>
        <v>5.024E-2</v>
      </c>
      <c r="N132" s="125">
        <v>14</v>
      </c>
      <c r="O132" s="126">
        <f t="shared" si="21"/>
        <v>0.10853</v>
      </c>
      <c r="P132" s="124">
        <f t="shared" si="22"/>
        <v>2.9010000000000001E-2</v>
      </c>
      <c r="Q132" s="125">
        <v>5</v>
      </c>
      <c r="R132" s="126">
        <f t="shared" si="23"/>
        <v>3.8760000000000003E-2</v>
      </c>
      <c r="S132" s="124">
        <f t="shared" si="24"/>
        <v>1.7330000000000002E-2</v>
      </c>
      <c r="T132" s="125">
        <v>5</v>
      </c>
      <c r="U132" s="126">
        <f t="shared" si="25"/>
        <v>3.8760000000000003E-2</v>
      </c>
      <c r="V132" s="124">
        <f t="shared" si="26"/>
        <v>1.7330000000000002E-2</v>
      </c>
    </row>
    <row r="133" spans="1:22" s="3" customFormat="1" x14ac:dyDescent="0.3">
      <c r="A133" s="38">
        <v>1891</v>
      </c>
      <c r="B133" s="122" t="str">
        <f t="shared" si="27"/>
        <v>1891-2020</v>
      </c>
      <c r="C133" s="123">
        <v>130</v>
      </c>
      <c r="D133" s="124">
        <f t="shared" si="28"/>
        <v>8.7709999999999996E-2</v>
      </c>
      <c r="E133" s="125">
        <v>61</v>
      </c>
      <c r="F133" s="126">
        <f t="shared" ref="F133:F196" si="29">ROUND(E133/$C133,5)</f>
        <v>0.46922999999999998</v>
      </c>
      <c r="G133" s="124">
        <f t="shared" ref="G133:G196" si="30">ROUND(SQRT(F133)*$D133,5)</f>
        <v>6.0080000000000001E-2</v>
      </c>
      <c r="H133" s="125">
        <v>64</v>
      </c>
      <c r="I133" s="126">
        <f t="shared" ref="I133:I196" si="31">ROUND(H133/$C133,5)</f>
        <v>0.49231000000000003</v>
      </c>
      <c r="J133" s="124">
        <f t="shared" ref="J133:J196" si="32">ROUND(SQRT(I133)*$D133,5)</f>
        <v>6.1539999999999997E-2</v>
      </c>
      <c r="K133" s="125">
        <v>42</v>
      </c>
      <c r="L133" s="126">
        <f t="shared" ref="L133:L196" si="33">ROUND(K133/$C133,5)</f>
        <v>0.32307999999999998</v>
      </c>
      <c r="M133" s="124">
        <f t="shared" ref="M133:M196" si="34">ROUND(SQRT(L133)*$D133,5)</f>
        <v>4.9849999999999998E-2</v>
      </c>
      <c r="N133" s="125">
        <v>14</v>
      </c>
      <c r="O133" s="126">
        <f t="shared" ref="O133:O196" si="35">ROUND(N133/$C133,5)</f>
        <v>0.10768999999999999</v>
      </c>
      <c r="P133" s="124">
        <f t="shared" ref="P133:P196" si="36">ROUND(SQRT(O133)*$D133,5)</f>
        <v>2.878E-2</v>
      </c>
      <c r="Q133" s="125">
        <v>5</v>
      </c>
      <c r="R133" s="126">
        <f t="shared" ref="R133:R196" si="37">ROUND(Q133/$C133,5)</f>
        <v>3.8460000000000001E-2</v>
      </c>
      <c r="S133" s="124">
        <f t="shared" ref="S133:S196" si="38">ROUND(SQRT(R133)*$D133,5)</f>
        <v>1.72E-2</v>
      </c>
      <c r="T133" s="125">
        <v>5</v>
      </c>
      <c r="U133" s="126">
        <f t="shared" ref="U133:U196" si="39">ROUND(T133/$C133,5)</f>
        <v>3.8460000000000001E-2</v>
      </c>
      <c r="V133" s="124">
        <f t="shared" ref="V133:V196" si="40">ROUND(SQRT(U133)*$D133,5)</f>
        <v>1.72E-2</v>
      </c>
    </row>
    <row r="134" spans="1:22" s="3" customFormat="1" x14ac:dyDescent="0.3">
      <c r="A134" s="38">
        <v>1890</v>
      </c>
      <c r="B134" s="122" t="str">
        <f t="shared" ref="B134:B197" si="41">A134&amp;"-2020"</f>
        <v>1890-2020</v>
      </c>
      <c r="C134" s="127">
        <v>131</v>
      </c>
      <c r="D134" s="128">
        <f t="shared" si="28"/>
        <v>8.7370000000000003E-2</v>
      </c>
      <c r="E134" s="125">
        <v>61</v>
      </c>
      <c r="F134" s="126">
        <f t="shared" si="29"/>
        <v>0.46565000000000001</v>
      </c>
      <c r="G134" s="124">
        <f t="shared" si="30"/>
        <v>5.9619999999999999E-2</v>
      </c>
      <c r="H134" s="125">
        <v>64</v>
      </c>
      <c r="I134" s="126">
        <f t="shared" si="31"/>
        <v>0.48854999999999998</v>
      </c>
      <c r="J134" s="124">
        <f t="shared" si="32"/>
        <v>6.1069999999999999E-2</v>
      </c>
      <c r="K134" s="125">
        <v>42</v>
      </c>
      <c r="L134" s="126">
        <f t="shared" si="33"/>
        <v>0.32061000000000001</v>
      </c>
      <c r="M134" s="124">
        <f t="shared" si="34"/>
        <v>4.947E-2</v>
      </c>
      <c r="N134" s="125">
        <v>14</v>
      </c>
      <c r="O134" s="126">
        <f t="shared" si="35"/>
        <v>0.10687000000000001</v>
      </c>
      <c r="P134" s="124">
        <f t="shared" si="36"/>
        <v>2.8559999999999999E-2</v>
      </c>
      <c r="Q134" s="125">
        <v>5</v>
      </c>
      <c r="R134" s="126">
        <f t="shared" si="37"/>
        <v>3.8170000000000003E-2</v>
      </c>
      <c r="S134" s="124">
        <f t="shared" si="38"/>
        <v>1.7069999999999998E-2</v>
      </c>
      <c r="T134" s="125">
        <v>5</v>
      </c>
      <c r="U134" s="126">
        <f t="shared" si="39"/>
        <v>3.8170000000000003E-2</v>
      </c>
      <c r="V134" s="124">
        <f t="shared" si="40"/>
        <v>1.7069999999999998E-2</v>
      </c>
    </row>
    <row r="135" spans="1:22" s="3" customFormat="1" x14ac:dyDescent="0.3">
      <c r="A135" s="38">
        <v>1889</v>
      </c>
      <c r="B135" s="122" t="str">
        <f t="shared" si="41"/>
        <v>1889-2020</v>
      </c>
      <c r="C135" s="123">
        <v>132</v>
      </c>
      <c r="D135" s="124">
        <f t="shared" ref="D135:D198" si="42">ROUND(1/SQRT(C135),5)</f>
        <v>8.7040000000000006E-2</v>
      </c>
      <c r="E135" s="125">
        <v>61</v>
      </c>
      <c r="F135" s="126">
        <f t="shared" si="29"/>
        <v>0.46211999999999998</v>
      </c>
      <c r="G135" s="124">
        <f t="shared" si="30"/>
        <v>5.917E-2</v>
      </c>
      <c r="H135" s="125">
        <v>64</v>
      </c>
      <c r="I135" s="126">
        <f t="shared" si="31"/>
        <v>0.48485</v>
      </c>
      <c r="J135" s="124">
        <f t="shared" si="32"/>
        <v>6.0609999999999997E-2</v>
      </c>
      <c r="K135" s="125">
        <v>42</v>
      </c>
      <c r="L135" s="126">
        <f t="shared" si="33"/>
        <v>0.31818000000000002</v>
      </c>
      <c r="M135" s="124">
        <f t="shared" si="34"/>
        <v>4.9099999999999998E-2</v>
      </c>
      <c r="N135" s="125">
        <v>14</v>
      </c>
      <c r="O135" s="126">
        <f t="shared" si="35"/>
        <v>0.10606</v>
      </c>
      <c r="P135" s="124">
        <f t="shared" si="36"/>
        <v>2.835E-2</v>
      </c>
      <c r="Q135" s="125">
        <v>5</v>
      </c>
      <c r="R135" s="126">
        <f t="shared" si="37"/>
        <v>3.7879999999999997E-2</v>
      </c>
      <c r="S135" s="124">
        <f t="shared" si="38"/>
        <v>1.694E-2</v>
      </c>
      <c r="T135" s="125">
        <v>5</v>
      </c>
      <c r="U135" s="126">
        <f t="shared" si="39"/>
        <v>3.7879999999999997E-2</v>
      </c>
      <c r="V135" s="124">
        <f t="shared" si="40"/>
        <v>1.694E-2</v>
      </c>
    </row>
    <row r="136" spans="1:22" s="3" customFormat="1" x14ac:dyDescent="0.3">
      <c r="A136" s="38">
        <v>1888</v>
      </c>
      <c r="B136" s="122" t="str">
        <f t="shared" si="41"/>
        <v>1888-2020</v>
      </c>
      <c r="C136" s="127">
        <v>133</v>
      </c>
      <c r="D136" s="128">
        <f t="shared" si="42"/>
        <v>8.6709999999999995E-2</v>
      </c>
      <c r="E136" s="125">
        <v>61</v>
      </c>
      <c r="F136" s="126">
        <f t="shared" si="29"/>
        <v>0.45865</v>
      </c>
      <c r="G136" s="124">
        <f t="shared" si="30"/>
        <v>5.8720000000000001E-2</v>
      </c>
      <c r="H136" s="125">
        <v>64</v>
      </c>
      <c r="I136" s="126">
        <f t="shared" si="31"/>
        <v>0.48120000000000002</v>
      </c>
      <c r="J136" s="124">
        <f t="shared" si="32"/>
        <v>6.0150000000000002E-2</v>
      </c>
      <c r="K136" s="125">
        <v>42</v>
      </c>
      <c r="L136" s="126">
        <f t="shared" si="33"/>
        <v>0.31579000000000002</v>
      </c>
      <c r="M136" s="124">
        <f t="shared" si="34"/>
        <v>4.8730000000000002E-2</v>
      </c>
      <c r="N136" s="125">
        <v>14</v>
      </c>
      <c r="O136" s="126">
        <f t="shared" si="35"/>
        <v>0.10526000000000001</v>
      </c>
      <c r="P136" s="124">
        <f t="shared" si="36"/>
        <v>2.8129999999999999E-2</v>
      </c>
      <c r="Q136" s="125">
        <v>5</v>
      </c>
      <c r="R136" s="126">
        <f t="shared" si="37"/>
        <v>3.7589999999999998E-2</v>
      </c>
      <c r="S136" s="124">
        <f t="shared" si="38"/>
        <v>1.6809999999999999E-2</v>
      </c>
      <c r="T136" s="125">
        <v>5</v>
      </c>
      <c r="U136" s="126">
        <f t="shared" si="39"/>
        <v>3.7589999999999998E-2</v>
      </c>
      <c r="V136" s="124">
        <f t="shared" si="40"/>
        <v>1.6809999999999999E-2</v>
      </c>
    </row>
    <row r="137" spans="1:22" s="3" customFormat="1" x14ac:dyDescent="0.3">
      <c r="A137" s="38">
        <v>1887</v>
      </c>
      <c r="B137" s="122" t="str">
        <f t="shared" si="41"/>
        <v>1887-2020</v>
      </c>
      <c r="C137" s="123">
        <v>134</v>
      </c>
      <c r="D137" s="124">
        <f t="shared" si="42"/>
        <v>8.6389999999999995E-2</v>
      </c>
      <c r="E137" s="125">
        <v>61</v>
      </c>
      <c r="F137" s="126">
        <f t="shared" si="29"/>
        <v>0.45522000000000001</v>
      </c>
      <c r="G137" s="124">
        <f t="shared" si="30"/>
        <v>5.8290000000000002E-2</v>
      </c>
      <c r="H137" s="125">
        <v>64</v>
      </c>
      <c r="I137" s="126">
        <f t="shared" si="31"/>
        <v>0.47760999999999998</v>
      </c>
      <c r="J137" s="124">
        <f t="shared" si="32"/>
        <v>5.9700000000000003E-2</v>
      </c>
      <c r="K137" s="125">
        <v>42</v>
      </c>
      <c r="L137" s="126">
        <f t="shared" si="33"/>
        <v>0.31342999999999999</v>
      </c>
      <c r="M137" s="124">
        <f t="shared" si="34"/>
        <v>4.8370000000000003E-2</v>
      </c>
      <c r="N137" s="125">
        <v>14</v>
      </c>
      <c r="O137" s="126">
        <f t="shared" si="35"/>
        <v>0.10448</v>
      </c>
      <c r="P137" s="124">
        <f t="shared" si="36"/>
        <v>2.792E-2</v>
      </c>
      <c r="Q137" s="125">
        <v>5</v>
      </c>
      <c r="R137" s="126">
        <f t="shared" si="37"/>
        <v>3.7310000000000003E-2</v>
      </c>
      <c r="S137" s="124">
        <f t="shared" si="38"/>
        <v>1.669E-2</v>
      </c>
      <c r="T137" s="125">
        <v>5</v>
      </c>
      <c r="U137" s="126">
        <f t="shared" si="39"/>
        <v>3.7310000000000003E-2</v>
      </c>
      <c r="V137" s="124">
        <f t="shared" si="40"/>
        <v>1.669E-2</v>
      </c>
    </row>
    <row r="138" spans="1:22" s="3" customFormat="1" x14ac:dyDescent="0.3">
      <c r="A138" s="38">
        <v>1886</v>
      </c>
      <c r="B138" s="122" t="str">
        <f t="shared" si="41"/>
        <v>1886-2020</v>
      </c>
      <c r="C138" s="127">
        <v>135</v>
      </c>
      <c r="D138" s="128">
        <f t="shared" si="42"/>
        <v>8.6069999999999994E-2</v>
      </c>
      <c r="E138" s="125">
        <v>61</v>
      </c>
      <c r="F138" s="126">
        <f t="shared" si="29"/>
        <v>0.45184999999999997</v>
      </c>
      <c r="G138" s="124">
        <f t="shared" si="30"/>
        <v>5.7860000000000002E-2</v>
      </c>
      <c r="H138" s="125">
        <v>64</v>
      </c>
      <c r="I138" s="126">
        <f t="shared" si="31"/>
        <v>0.47406999999999999</v>
      </c>
      <c r="J138" s="124">
        <f t="shared" si="32"/>
        <v>5.926E-2</v>
      </c>
      <c r="K138" s="125">
        <v>42</v>
      </c>
      <c r="L138" s="126">
        <f t="shared" si="33"/>
        <v>0.31111</v>
      </c>
      <c r="M138" s="124">
        <f t="shared" si="34"/>
        <v>4.8009999999999997E-2</v>
      </c>
      <c r="N138" s="125">
        <v>14</v>
      </c>
      <c r="O138" s="126">
        <f t="shared" si="35"/>
        <v>0.1037</v>
      </c>
      <c r="P138" s="124">
        <f t="shared" si="36"/>
        <v>2.7720000000000002E-2</v>
      </c>
      <c r="Q138" s="125">
        <v>5</v>
      </c>
      <c r="R138" s="126">
        <f t="shared" si="37"/>
        <v>3.7039999999999997E-2</v>
      </c>
      <c r="S138" s="124">
        <f t="shared" si="38"/>
        <v>1.6559999999999998E-2</v>
      </c>
      <c r="T138" s="125">
        <v>5</v>
      </c>
      <c r="U138" s="126">
        <f t="shared" si="39"/>
        <v>3.7039999999999997E-2</v>
      </c>
      <c r="V138" s="124">
        <f t="shared" si="40"/>
        <v>1.6559999999999998E-2</v>
      </c>
    </row>
    <row r="139" spans="1:22" s="3" customFormat="1" x14ac:dyDescent="0.3">
      <c r="A139" s="38">
        <v>1885</v>
      </c>
      <c r="B139" s="122" t="str">
        <f t="shared" si="41"/>
        <v>1885-2020</v>
      </c>
      <c r="C139" s="123">
        <v>136</v>
      </c>
      <c r="D139" s="124">
        <f t="shared" si="42"/>
        <v>8.5750000000000007E-2</v>
      </c>
      <c r="E139" s="125">
        <v>61</v>
      </c>
      <c r="F139" s="126">
        <f t="shared" si="29"/>
        <v>0.44852999999999998</v>
      </c>
      <c r="G139" s="124">
        <f t="shared" si="30"/>
        <v>5.7430000000000002E-2</v>
      </c>
      <c r="H139" s="125">
        <v>64</v>
      </c>
      <c r="I139" s="126">
        <f t="shared" si="31"/>
        <v>0.47059000000000001</v>
      </c>
      <c r="J139" s="124">
        <f t="shared" si="32"/>
        <v>5.8819999999999997E-2</v>
      </c>
      <c r="K139" s="125">
        <v>42</v>
      </c>
      <c r="L139" s="126">
        <f t="shared" si="33"/>
        <v>0.30881999999999998</v>
      </c>
      <c r="M139" s="124">
        <f t="shared" si="34"/>
        <v>4.7649999999999998E-2</v>
      </c>
      <c r="N139" s="125">
        <v>14</v>
      </c>
      <c r="O139" s="126">
        <f t="shared" si="35"/>
        <v>0.10294</v>
      </c>
      <c r="P139" s="124">
        <f t="shared" si="36"/>
        <v>2.751E-2</v>
      </c>
      <c r="Q139" s="125">
        <v>5</v>
      </c>
      <c r="R139" s="126">
        <f t="shared" si="37"/>
        <v>3.6760000000000001E-2</v>
      </c>
      <c r="S139" s="124">
        <f t="shared" si="38"/>
        <v>1.644E-2</v>
      </c>
      <c r="T139" s="125">
        <v>5</v>
      </c>
      <c r="U139" s="126">
        <f t="shared" si="39"/>
        <v>3.6760000000000001E-2</v>
      </c>
      <c r="V139" s="124">
        <f t="shared" si="40"/>
        <v>1.644E-2</v>
      </c>
    </row>
    <row r="140" spans="1:22" s="3" customFormat="1" x14ac:dyDescent="0.3">
      <c r="A140" s="38">
        <v>1884</v>
      </c>
      <c r="B140" s="122" t="str">
        <f t="shared" si="41"/>
        <v>1884-2020</v>
      </c>
      <c r="C140" s="127">
        <v>137</v>
      </c>
      <c r="D140" s="128">
        <f t="shared" si="42"/>
        <v>8.5440000000000002E-2</v>
      </c>
      <c r="E140" s="125">
        <v>61</v>
      </c>
      <c r="F140" s="126">
        <f t="shared" si="29"/>
        <v>0.44525999999999999</v>
      </c>
      <c r="G140" s="124">
        <f t="shared" si="30"/>
        <v>5.7009999999999998E-2</v>
      </c>
      <c r="H140" s="125">
        <v>64</v>
      </c>
      <c r="I140" s="126">
        <f t="shared" si="31"/>
        <v>0.46715000000000001</v>
      </c>
      <c r="J140" s="124">
        <f t="shared" si="32"/>
        <v>5.8400000000000001E-2</v>
      </c>
      <c r="K140" s="125">
        <v>42</v>
      </c>
      <c r="L140" s="126">
        <f t="shared" si="33"/>
        <v>0.30657000000000001</v>
      </c>
      <c r="M140" s="124">
        <f t="shared" si="34"/>
        <v>4.7309999999999998E-2</v>
      </c>
      <c r="N140" s="125">
        <v>14</v>
      </c>
      <c r="O140" s="126">
        <f t="shared" si="35"/>
        <v>0.10219</v>
      </c>
      <c r="P140" s="124">
        <f t="shared" si="36"/>
        <v>2.7310000000000001E-2</v>
      </c>
      <c r="Q140" s="125">
        <v>5</v>
      </c>
      <c r="R140" s="126">
        <f t="shared" si="37"/>
        <v>3.6499999999999998E-2</v>
      </c>
      <c r="S140" s="124">
        <f t="shared" si="38"/>
        <v>1.6320000000000001E-2</v>
      </c>
      <c r="T140" s="125">
        <v>5</v>
      </c>
      <c r="U140" s="126">
        <f t="shared" si="39"/>
        <v>3.6499999999999998E-2</v>
      </c>
      <c r="V140" s="124">
        <f t="shared" si="40"/>
        <v>1.6320000000000001E-2</v>
      </c>
    </row>
    <row r="141" spans="1:22" s="3" customFormat="1" x14ac:dyDescent="0.3">
      <c r="A141" s="38">
        <v>1883</v>
      </c>
      <c r="B141" s="122" t="str">
        <f t="shared" si="41"/>
        <v>1883-2020</v>
      </c>
      <c r="C141" s="123">
        <v>138</v>
      </c>
      <c r="D141" s="124">
        <f t="shared" si="42"/>
        <v>8.5129999999999997E-2</v>
      </c>
      <c r="E141" s="125">
        <v>61</v>
      </c>
      <c r="F141" s="126">
        <f t="shared" si="29"/>
        <v>0.44202999999999998</v>
      </c>
      <c r="G141" s="124">
        <f t="shared" si="30"/>
        <v>5.6599999999999998E-2</v>
      </c>
      <c r="H141" s="125">
        <v>64</v>
      </c>
      <c r="I141" s="126">
        <f t="shared" si="31"/>
        <v>0.46377000000000002</v>
      </c>
      <c r="J141" s="124">
        <f t="shared" si="32"/>
        <v>5.7970000000000001E-2</v>
      </c>
      <c r="K141" s="125">
        <v>42</v>
      </c>
      <c r="L141" s="126">
        <f t="shared" si="33"/>
        <v>0.30435000000000001</v>
      </c>
      <c r="M141" s="124">
        <f t="shared" si="34"/>
        <v>4.6960000000000002E-2</v>
      </c>
      <c r="N141" s="125">
        <v>14</v>
      </c>
      <c r="O141" s="126">
        <f t="shared" si="35"/>
        <v>0.10145</v>
      </c>
      <c r="P141" s="124">
        <f t="shared" si="36"/>
        <v>2.7109999999999999E-2</v>
      </c>
      <c r="Q141" s="125">
        <v>5</v>
      </c>
      <c r="R141" s="126">
        <f t="shared" si="37"/>
        <v>3.6229999999999998E-2</v>
      </c>
      <c r="S141" s="124">
        <f t="shared" si="38"/>
        <v>1.6199999999999999E-2</v>
      </c>
      <c r="T141" s="125">
        <v>5</v>
      </c>
      <c r="U141" s="126">
        <f t="shared" si="39"/>
        <v>3.6229999999999998E-2</v>
      </c>
      <c r="V141" s="124">
        <f t="shared" si="40"/>
        <v>1.6199999999999999E-2</v>
      </c>
    </row>
    <row r="142" spans="1:22" s="3" customFormat="1" x14ac:dyDescent="0.3">
      <c r="A142" s="38">
        <v>1882</v>
      </c>
      <c r="B142" s="122" t="str">
        <f t="shared" si="41"/>
        <v>1882-2020</v>
      </c>
      <c r="C142" s="127">
        <v>139</v>
      </c>
      <c r="D142" s="128">
        <f t="shared" si="42"/>
        <v>8.4820000000000007E-2</v>
      </c>
      <c r="E142" s="125">
        <v>61</v>
      </c>
      <c r="F142" s="126">
        <f t="shared" si="29"/>
        <v>0.43885000000000002</v>
      </c>
      <c r="G142" s="124">
        <f t="shared" si="30"/>
        <v>5.6189999999999997E-2</v>
      </c>
      <c r="H142" s="125">
        <v>64</v>
      </c>
      <c r="I142" s="126">
        <f t="shared" si="31"/>
        <v>0.46043000000000001</v>
      </c>
      <c r="J142" s="124">
        <f t="shared" si="32"/>
        <v>5.7549999999999997E-2</v>
      </c>
      <c r="K142" s="125">
        <v>42</v>
      </c>
      <c r="L142" s="126">
        <f t="shared" si="33"/>
        <v>0.30215999999999998</v>
      </c>
      <c r="M142" s="124">
        <f t="shared" si="34"/>
        <v>4.6620000000000002E-2</v>
      </c>
      <c r="N142" s="125">
        <v>14</v>
      </c>
      <c r="O142" s="126">
        <f t="shared" si="35"/>
        <v>0.10072</v>
      </c>
      <c r="P142" s="124">
        <f t="shared" si="36"/>
        <v>2.6919999999999999E-2</v>
      </c>
      <c r="Q142" s="125">
        <v>5</v>
      </c>
      <c r="R142" s="126">
        <f t="shared" si="37"/>
        <v>3.5970000000000002E-2</v>
      </c>
      <c r="S142" s="124">
        <f t="shared" si="38"/>
        <v>1.609E-2</v>
      </c>
      <c r="T142" s="125">
        <v>5</v>
      </c>
      <c r="U142" s="126">
        <f t="shared" si="39"/>
        <v>3.5970000000000002E-2</v>
      </c>
      <c r="V142" s="124">
        <f t="shared" si="40"/>
        <v>1.609E-2</v>
      </c>
    </row>
    <row r="143" spans="1:22" s="3" customFormat="1" x14ac:dyDescent="0.3">
      <c r="A143" s="38">
        <v>1881</v>
      </c>
      <c r="B143" s="122" t="str">
        <f t="shared" si="41"/>
        <v>1881-2020</v>
      </c>
      <c r="C143" s="123">
        <v>140</v>
      </c>
      <c r="D143" s="124">
        <f t="shared" si="42"/>
        <v>8.4519999999999998E-2</v>
      </c>
      <c r="E143" s="125">
        <v>61</v>
      </c>
      <c r="F143" s="126">
        <f t="shared" si="29"/>
        <v>0.43570999999999999</v>
      </c>
      <c r="G143" s="124">
        <f t="shared" si="30"/>
        <v>5.5789999999999999E-2</v>
      </c>
      <c r="H143" s="125">
        <v>64</v>
      </c>
      <c r="I143" s="126">
        <f t="shared" si="31"/>
        <v>0.45713999999999999</v>
      </c>
      <c r="J143" s="124">
        <f t="shared" si="32"/>
        <v>5.7149999999999999E-2</v>
      </c>
      <c r="K143" s="125">
        <v>42</v>
      </c>
      <c r="L143" s="126">
        <f t="shared" si="33"/>
        <v>0.3</v>
      </c>
      <c r="M143" s="124">
        <f t="shared" si="34"/>
        <v>4.6289999999999998E-2</v>
      </c>
      <c r="N143" s="125">
        <v>14</v>
      </c>
      <c r="O143" s="126">
        <f t="shared" si="35"/>
        <v>0.1</v>
      </c>
      <c r="P143" s="124">
        <f t="shared" si="36"/>
        <v>2.673E-2</v>
      </c>
      <c r="Q143" s="125">
        <v>5</v>
      </c>
      <c r="R143" s="126">
        <f t="shared" si="37"/>
        <v>3.5709999999999999E-2</v>
      </c>
      <c r="S143" s="124">
        <f t="shared" si="38"/>
        <v>1.5970000000000002E-2</v>
      </c>
      <c r="T143" s="125">
        <v>5</v>
      </c>
      <c r="U143" s="126">
        <f t="shared" si="39"/>
        <v>3.5709999999999999E-2</v>
      </c>
      <c r="V143" s="124">
        <f t="shared" si="40"/>
        <v>1.5970000000000002E-2</v>
      </c>
    </row>
    <row r="144" spans="1:22" s="3" customFormat="1" x14ac:dyDescent="0.3">
      <c r="A144" s="38">
        <v>1880</v>
      </c>
      <c r="B144" s="122" t="str">
        <f t="shared" si="41"/>
        <v>1880-2020</v>
      </c>
      <c r="C144" s="127">
        <v>141</v>
      </c>
      <c r="D144" s="128">
        <f t="shared" si="42"/>
        <v>8.4220000000000003E-2</v>
      </c>
      <c r="E144" s="125">
        <v>61</v>
      </c>
      <c r="F144" s="126">
        <f t="shared" si="29"/>
        <v>0.43262</v>
      </c>
      <c r="G144" s="124">
        <f t="shared" si="30"/>
        <v>5.5390000000000002E-2</v>
      </c>
      <c r="H144" s="125">
        <v>64</v>
      </c>
      <c r="I144" s="126">
        <f t="shared" si="31"/>
        <v>0.45390000000000003</v>
      </c>
      <c r="J144" s="124">
        <f t="shared" si="32"/>
        <v>5.6739999999999999E-2</v>
      </c>
      <c r="K144" s="125">
        <v>42</v>
      </c>
      <c r="L144" s="126">
        <f t="shared" si="33"/>
        <v>0.29787000000000002</v>
      </c>
      <c r="M144" s="124">
        <f t="shared" si="34"/>
        <v>4.5969999999999997E-2</v>
      </c>
      <c r="N144" s="125">
        <v>14</v>
      </c>
      <c r="O144" s="126">
        <f t="shared" si="35"/>
        <v>9.9290000000000003E-2</v>
      </c>
      <c r="P144" s="124">
        <f t="shared" si="36"/>
        <v>2.6540000000000001E-2</v>
      </c>
      <c r="Q144" s="125">
        <v>5</v>
      </c>
      <c r="R144" s="126">
        <f t="shared" si="37"/>
        <v>3.5459999999999998E-2</v>
      </c>
      <c r="S144" s="124">
        <f t="shared" si="38"/>
        <v>1.5859999999999999E-2</v>
      </c>
      <c r="T144" s="125">
        <v>5</v>
      </c>
      <c r="U144" s="126">
        <f t="shared" si="39"/>
        <v>3.5459999999999998E-2</v>
      </c>
      <c r="V144" s="124">
        <f t="shared" si="40"/>
        <v>1.5859999999999999E-2</v>
      </c>
    </row>
    <row r="145" spans="1:22" s="3" customFormat="1" x14ac:dyDescent="0.3">
      <c r="A145" s="38">
        <v>1879</v>
      </c>
      <c r="B145" s="122" t="str">
        <f t="shared" si="41"/>
        <v>1879-2020</v>
      </c>
      <c r="C145" s="123">
        <v>142</v>
      </c>
      <c r="D145" s="124">
        <f t="shared" si="42"/>
        <v>8.3919999999999995E-2</v>
      </c>
      <c r="E145" s="125">
        <v>61</v>
      </c>
      <c r="F145" s="126">
        <f t="shared" si="29"/>
        <v>0.42958000000000002</v>
      </c>
      <c r="G145" s="124">
        <f t="shared" si="30"/>
        <v>5.5E-2</v>
      </c>
      <c r="H145" s="125">
        <v>64</v>
      </c>
      <c r="I145" s="126">
        <f t="shared" si="31"/>
        <v>0.45069999999999999</v>
      </c>
      <c r="J145" s="124">
        <f t="shared" si="32"/>
        <v>5.6340000000000001E-2</v>
      </c>
      <c r="K145" s="125">
        <v>42</v>
      </c>
      <c r="L145" s="126">
        <f t="shared" si="33"/>
        <v>0.29576999999999998</v>
      </c>
      <c r="M145" s="124">
        <f t="shared" si="34"/>
        <v>4.564E-2</v>
      </c>
      <c r="N145" s="125">
        <v>14</v>
      </c>
      <c r="O145" s="126">
        <f t="shared" si="35"/>
        <v>9.8589999999999997E-2</v>
      </c>
      <c r="P145" s="124">
        <f t="shared" si="36"/>
        <v>2.6349999999999998E-2</v>
      </c>
      <c r="Q145" s="125">
        <v>5</v>
      </c>
      <c r="R145" s="126">
        <f t="shared" si="37"/>
        <v>3.5209999999999998E-2</v>
      </c>
      <c r="S145" s="124">
        <f t="shared" si="38"/>
        <v>1.575E-2</v>
      </c>
      <c r="T145" s="125">
        <v>5</v>
      </c>
      <c r="U145" s="126">
        <f t="shared" si="39"/>
        <v>3.5209999999999998E-2</v>
      </c>
      <c r="V145" s="124">
        <f t="shared" si="40"/>
        <v>1.575E-2</v>
      </c>
    </row>
    <row r="146" spans="1:22" s="3" customFormat="1" x14ac:dyDescent="0.3">
      <c r="A146" s="38">
        <v>1878</v>
      </c>
      <c r="B146" s="122" t="str">
        <f t="shared" si="41"/>
        <v>1878-2020</v>
      </c>
      <c r="C146" s="127">
        <v>143</v>
      </c>
      <c r="D146" s="128">
        <f t="shared" si="42"/>
        <v>8.362E-2</v>
      </c>
      <c r="E146" s="125">
        <v>61</v>
      </c>
      <c r="F146" s="126">
        <f t="shared" si="29"/>
        <v>0.42657</v>
      </c>
      <c r="G146" s="124">
        <f t="shared" si="30"/>
        <v>5.4609999999999999E-2</v>
      </c>
      <c r="H146" s="125">
        <v>64</v>
      </c>
      <c r="I146" s="126">
        <f t="shared" si="31"/>
        <v>0.44755</v>
      </c>
      <c r="J146" s="124">
        <f t="shared" si="32"/>
        <v>5.5939999999999997E-2</v>
      </c>
      <c r="K146" s="125">
        <v>42</v>
      </c>
      <c r="L146" s="126">
        <f t="shared" si="33"/>
        <v>0.29371000000000003</v>
      </c>
      <c r="M146" s="124">
        <f t="shared" si="34"/>
        <v>4.5319999999999999E-2</v>
      </c>
      <c r="N146" s="125">
        <v>14</v>
      </c>
      <c r="O146" s="126">
        <f t="shared" si="35"/>
        <v>9.7900000000000001E-2</v>
      </c>
      <c r="P146" s="124">
        <f t="shared" si="36"/>
        <v>2.6159999999999999E-2</v>
      </c>
      <c r="Q146" s="125">
        <v>5</v>
      </c>
      <c r="R146" s="126">
        <f t="shared" si="37"/>
        <v>3.4970000000000001E-2</v>
      </c>
      <c r="S146" s="124">
        <f t="shared" si="38"/>
        <v>1.5640000000000001E-2</v>
      </c>
      <c r="T146" s="125">
        <v>5</v>
      </c>
      <c r="U146" s="126">
        <f t="shared" si="39"/>
        <v>3.4970000000000001E-2</v>
      </c>
      <c r="V146" s="124">
        <f t="shared" si="40"/>
        <v>1.5640000000000001E-2</v>
      </c>
    </row>
    <row r="147" spans="1:22" s="3" customFormat="1" x14ac:dyDescent="0.3">
      <c r="A147" s="38">
        <v>1877</v>
      </c>
      <c r="B147" s="122" t="str">
        <f t="shared" si="41"/>
        <v>1877-2020</v>
      </c>
      <c r="C147" s="123">
        <v>144</v>
      </c>
      <c r="D147" s="124">
        <f t="shared" si="42"/>
        <v>8.3330000000000001E-2</v>
      </c>
      <c r="E147" s="125">
        <v>61</v>
      </c>
      <c r="F147" s="126">
        <f t="shared" si="29"/>
        <v>0.42360999999999999</v>
      </c>
      <c r="G147" s="124">
        <f t="shared" si="30"/>
        <v>5.4239999999999997E-2</v>
      </c>
      <c r="H147" s="125">
        <v>64</v>
      </c>
      <c r="I147" s="126">
        <f t="shared" si="31"/>
        <v>0.44444</v>
      </c>
      <c r="J147" s="124">
        <f t="shared" si="32"/>
        <v>5.5550000000000002E-2</v>
      </c>
      <c r="K147" s="125">
        <v>42</v>
      </c>
      <c r="L147" s="126">
        <f t="shared" si="33"/>
        <v>0.29166999999999998</v>
      </c>
      <c r="M147" s="124">
        <f t="shared" si="34"/>
        <v>4.4999999999999998E-2</v>
      </c>
      <c r="N147" s="125">
        <v>14</v>
      </c>
      <c r="O147" s="126">
        <f t="shared" si="35"/>
        <v>9.7220000000000001E-2</v>
      </c>
      <c r="P147" s="124">
        <f t="shared" si="36"/>
        <v>2.598E-2</v>
      </c>
      <c r="Q147" s="125">
        <v>5</v>
      </c>
      <c r="R147" s="126">
        <f t="shared" si="37"/>
        <v>3.4720000000000001E-2</v>
      </c>
      <c r="S147" s="124">
        <f t="shared" si="38"/>
        <v>1.553E-2</v>
      </c>
      <c r="T147" s="125">
        <v>5</v>
      </c>
      <c r="U147" s="126">
        <f t="shared" si="39"/>
        <v>3.4720000000000001E-2</v>
      </c>
      <c r="V147" s="124">
        <f t="shared" si="40"/>
        <v>1.553E-2</v>
      </c>
    </row>
    <row r="148" spans="1:22" s="3" customFormat="1" x14ac:dyDescent="0.3">
      <c r="A148" s="38">
        <v>1876</v>
      </c>
      <c r="B148" s="122" t="str">
        <f t="shared" si="41"/>
        <v>1876-2020</v>
      </c>
      <c r="C148" s="127">
        <v>145</v>
      </c>
      <c r="D148" s="128">
        <f t="shared" si="42"/>
        <v>8.3049999999999999E-2</v>
      </c>
      <c r="E148" s="125">
        <v>61</v>
      </c>
      <c r="F148" s="126">
        <f t="shared" si="29"/>
        <v>0.42069000000000001</v>
      </c>
      <c r="G148" s="124">
        <f t="shared" si="30"/>
        <v>5.3870000000000001E-2</v>
      </c>
      <c r="H148" s="125">
        <v>64</v>
      </c>
      <c r="I148" s="126">
        <f t="shared" si="31"/>
        <v>0.44137999999999999</v>
      </c>
      <c r="J148" s="124">
        <f t="shared" si="32"/>
        <v>5.518E-2</v>
      </c>
      <c r="K148" s="125">
        <v>42</v>
      </c>
      <c r="L148" s="126">
        <f t="shared" si="33"/>
        <v>0.28965999999999997</v>
      </c>
      <c r="M148" s="124">
        <f t="shared" si="34"/>
        <v>4.4699999999999997E-2</v>
      </c>
      <c r="N148" s="125">
        <v>14</v>
      </c>
      <c r="O148" s="126">
        <f t="shared" si="35"/>
        <v>9.6549999999999997E-2</v>
      </c>
      <c r="P148" s="124">
        <f t="shared" si="36"/>
        <v>2.581E-2</v>
      </c>
      <c r="Q148" s="125">
        <v>5</v>
      </c>
      <c r="R148" s="126">
        <f t="shared" si="37"/>
        <v>3.4479999999999997E-2</v>
      </c>
      <c r="S148" s="124">
        <f t="shared" si="38"/>
        <v>1.542E-2</v>
      </c>
      <c r="T148" s="125">
        <v>5</v>
      </c>
      <c r="U148" s="126">
        <f t="shared" si="39"/>
        <v>3.4479999999999997E-2</v>
      </c>
      <c r="V148" s="124">
        <f t="shared" si="40"/>
        <v>1.542E-2</v>
      </c>
    </row>
    <row r="149" spans="1:22" s="3" customFormat="1" x14ac:dyDescent="0.3">
      <c r="A149" s="38">
        <v>1875</v>
      </c>
      <c r="B149" s="122" t="str">
        <f t="shared" si="41"/>
        <v>1875-2020</v>
      </c>
      <c r="C149" s="123">
        <v>146</v>
      </c>
      <c r="D149" s="124">
        <f t="shared" si="42"/>
        <v>8.276E-2</v>
      </c>
      <c r="E149" s="125">
        <v>61</v>
      </c>
      <c r="F149" s="126">
        <f t="shared" si="29"/>
        <v>0.41781000000000001</v>
      </c>
      <c r="G149" s="124">
        <f t="shared" si="30"/>
        <v>5.3490000000000003E-2</v>
      </c>
      <c r="H149" s="125">
        <v>64</v>
      </c>
      <c r="I149" s="126">
        <f t="shared" si="31"/>
        <v>0.43836000000000003</v>
      </c>
      <c r="J149" s="124">
        <f t="shared" si="32"/>
        <v>5.4789999999999998E-2</v>
      </c>
      <c r="K149" s="125">
        <v>42</v>
      </c>
      <c r="L149" s="126">
        <f t="shared" si="33"/>
        <v>0.28766999999999998</v>
      </c>
      <c r="M149" s="124">
        <f t="shared" si="34"/>
        <v>4.4389999999999999E-2</v>
      </c>
      <c r="N149" s="125">
        <v>14</v>
      </c>
      <c r="O149" s="126">
        <f t="shared" si="35"/>
        <v>9.5890000000000003E-2</v>
      </c>
      <c r="P149" s="124">
        <f t="shared" si="36"/>
        <v>2.563E-2</v>
      </c>
      <c r="Q149" s="125">
        <v>5</v>
      </c>
      <c r="R149" s="126">
        <f t="shared" si="37"/>
        <v>3.4250000000000003E-2</v>
      </c>
      <c r="S149" s="124">
        <f t="shared" si="38"/>
        <v>1.532E-2</v>
      </c>
      <c r="T149" s="125">
        <v>5</v>
      </c>
      <c r="U149" s="126">
        <f t="shared" si="39"/>
        <v>3.4250000000000003E-2</v>
      </c>
      <c r="V149" s="124">
        <f t="shared" si="40"/>
        <v>1.532E-2</v>
      </c>
    </row>
    <row r="150" spans="1:22" s="3" customFormat="1" x14ac:dyDescent="0.3">
      <c r="A150" s="38">
        <v>1874</v>
      </c>
      <c r="B150" s="122" t="str">
        <f t="shared" si="41"/>
        <v>1874-2020</v>
      </c>
      <c r="C150" s="127">
        <v>147</v>
      </c>
      <c r="D150" s="128">
        <f t="shared" si="42"/>
        <v>8.2479999999999998E-2</v>
      </c>
      <c r="E150" s="125">
        <v>61</v>
      </c>
      <c r="F150" s="126">
        <f t="shared" si="29"/>
        <v>0.41497000000000001</v>
      </c>
      <c r="G150" s="124">
        <f t="shared" si="30"/>
        <v>5.3129999999999997E-2</v>
      </c>
      <c r="H150" s="125">
        <v>64</v>
      </c>
      <c r="I150" s="126">
        <f t="shared" si="31"/>
        <v>0.43536999999999998</v>
      </c>
      <c r="J150" s="124">
        <f t="shared" si="32"/>
        <v>5.4420000000000003E-2</v>
      </c>
      <c r="K150" s="125">
        <v>42</v>
      </c>
      <c r="L150" s="126">
        <f t="shared" si="33"/>
        <v>0.28571000000000002</v>
      </c>
      <c r="M150" s="124">
        <f t="shared" si="34"/>
        <v>4.4089999999999997E-2</v>
      </c>
      <c r="N150" s="125">
        <v>14</v>
      </c>
      <c r="O150" s="126">
        <f t="shared" si="35"/>
        <v>9.5240000000000005E-2</v>
      </c>
      <c r="P150" s="124">
        <f t="shared" si="36"/>
        <v>2.545E-2</v>
      </c>
      <c r="Q150" s="125">
        <v>5</v>
      </c>
      <c r="R150" s="126">
        <f t="shared" si="37"/>
        <v>3.4009999999999999E-2</v>
      </c>
      <c r="S150" s="124">
        <f t="shared" si="38"/>
        <v>1.521E-2</v>
      </c>
      <c r="T150" s="125">
        <v>5</v>
      </c>
      <c r="U150" s="126">
        <f t="shared" si="39"/>
        <v>3.4009999999999999E-2</v>
      </c>
      <c r="V150" s="124">
        <f t="shared" si="40"/>
        <v>1.521E-2</v>
      </c>
    </row>
    <row r="151" spans="1:22" s="3" customFormat="1" x14ac:dyDescent="0.3">
      <c r="A151" s="38">
        <v>1873</v>
      </c>
      <c r="B151" s="122" t="str">
        <f t="shared" si="41"/>
        <v>1873-2020</v>
      </c>
      <c r="C151" s="123">
        <v>148</v>
      </c>
      <c r="D151" s="124">
        <f t="shared" si="42"/>
        <v>8.2199999999999995E-2</v>
      </c>
      <c r="E151" s="125">
        <v>61</v>
      </c>
      <c r="F151" s="126">
        <f t="shared" si="29"/>
        <v>0.41216000000000003</v>
      </c>
      <c r="G151" s="124">
        <f t="shared" si="30"/>
        <v>5.2769999999999997E-2</v>
      </c>
      <c r="H151" s="125">
        <v>64</v>
      </c>
      <c r="I151" s="126">
        <f t="shared" si="31"/>
        <v>0.43242999999999998</v>
      </c>
      <c r="J151" s="124">
        <f t="shared" si="32"/>
        <v>5.4050000000000001E-2</v>
      </c>
      <c r="K151" s="125">
        <v>42</v>
      </c>
      <c r="L151" s="126">
        <f t="shared" si="33"/>
        <v>0.28377999999999998</v>
      </c>
      <c r="M151" s="124">
        <f t="shared" si="34"/>
        <v>4.3790000000000003E-2</v>
      </c>
      <c r="N151" s="125">
        <v>14</v>
      </c>
      <c r="O151" s="126">
        <f t="shared" si="35"/>
        <v>9.4589999999999994E-2</v>
      </c>
      <c r="P151" s="124">
        <f t="shared" si="36"/>
        <v>2.528E-2</v>
      </c>
      <c r="Q151" s="125">
        <v>5</v>
      </c>
      <c r="R151" s="126">
        <f t="shared" si="37"/>
        <v>3.3779999999999998E-2</v>
      </c>
      <c r="S151" s="124">
        <f t="shared" si="38"/>
        <v>1.511E-2</v>
      </c>
      <c r="T151" s="125">
        <v>5</v>
      </c>
      <c r="U151" s="126">
        <f t="shared" si="39"/>
        <v>3.3779999999999998E-2</v>
      </c>
      <c r="V151" s="124">
        <f t="shared" si="40"/>
        <v>1.511E-2</v>
      </c>
    </row>
    <row r="152" spans="1:22" s="3" customFormat="1" x14ac:dyDescent="0.3">
      <c r="A152" s="38">
        <v>1872</v>
      </c>
      <c r="B152" s="122" t="str">
        <f t="shared" si="41"/>
        <v>1872-2020</v>
      </c>
      <c r="C152" s="127">
        <v>149</v>
      </c>
      <c r="D152" s="128">
        <f t="shared" si="42"/>
        <v>8.1920000000000007E-2</v>
      </c>
      <c r="E152" s="125">
        <v>61</v>
      </c>
      <c r="F152" s="126">
        <f t="shared" si="29"/>
        <v>0.40939999999999999</v>
      </c>
      <c r="G152" s="124">
        <f t="shared" si="30"/>
        <v>5.2420000000000001E-2</v>
      </c>
      <c r="H152" s="125">
        <v>64</v>
      </c>
      <c r="I152" s="126">
        <f t="shared" si="31"/>
        <v>0.42953000000000002</v>
      </c>
      <c r="J152" s="124">
        <f t="shared" si="32"/>
        <v>5.3690000000000002E-2</v>
      </c>
      <c r="K152" s="125">
        <v>44</v>
      </c>
      <c r="L152" s="126">
        <f t="shared" si="33"/>
        <v>0.29530000000000001</v>
      </c>
      <c r="M152" s="124">
        <f t="shared" si="34"/>
        <v>4.4519999999999997E-2</v>
      </c>
      <c r="N152" s="125">
        <v>14</v>
      </c>
      <c r="O152" s="126">
        <f t="shared" si="35"/>
        <v>9.3960000000000002E-2</v>
      </c>
      <c r="P152" s="124">
        <f t="shared" si="36"/>
        <v>2.511E-2</v>
      </c>
      <c r="Q152" s="125">
        <v>5</v>
      </c>
      <c r="R152" s="126">
        <f t="shared" si="37"/>
        <v>3.356E-2</v>
      </c>
      <c r="S152" s="124">
        <f t="shared" si="38"/>
        <v>1.5010000000000001E-2</v>
      </c>
      <c r="T152" s="125">
        <v>5</v>
      </c>
      <c r="U152" s="126">
        <f t="shared" si="39"/>
        <v>3.356E-2</v>
      </c>
      <c r="V152" s="124">
        <f t="shared" si="40"/>
        <v>1.5010000000000001E-2</v>
      </c>
    </row>
    <row r="153" spans="1:22" s="3" customFormat="1" x14ac:dyDescent="0.3">
      <c r="A153" s="38">
        <v>1871</v>
      </c>
      <c r="B153" s="122" t="str">
        <f t="shared" si="41"/>
        <v>1871-2020</v>
      </c>
      <c r="C153" s="123">
        <v>150</v>
      </c>
      <c r="D153" s="124">
        <f t="shared" si="42"/>
        <v>8.165E-2</v>
      </c>
      <c r="E153" s="125">
        <v>61</v>
      </c>
      <c r="F153" s="126">
        <f t="shared" si="29"/>
        <v>0.40666999999999998</v>
      </c>
      <c r="G153" s="124">
        <f t="shared" si="30"/>
        <v>5.2069999999999998E-2</v>
      </c>
      <c r="H153" s="125">
        <v>65</v>
      </c>
      <c r="I153" s="126">
        <f t="shared" si="31"/>
        <v>0.43332999999999999</v>
      </c>
      <c r="J153" s="124">
        <f t="shared" si="32"/>
        <v>5.3749999999999999E-2</v>
      </c>
      <c r="K153" s="125">
        <v>44</v>
      </c>
      <c r="L153" s="126">
        <f t="shared" si="33"/>
        <v>0.29332999999999998</v>
      </c>
      <c r="M153" s="124">
        <f t="shared" si="34"/>
        <v>4.4220000000000002E-2</v>
      </c>
      <c r="N153" s="125">
        <v>14</v>
      </c>
      <c r="O153" s="126">
        <f t="shared" si="35"/>
        <v>9.3329999999999996E-2</v>
      </c>
      <c r="P153" s="124">
        <f t="shared" si="36"/>
        <v>2.494E-2</v>
      </c>
      <c r="Q153" s="125">
        <v>5</v>
      </c>
      <c r="R153" s="126">
        <f t="shared" si="37"/>
        <v>3.3329999999999999E-2</v>
      </c>
      <c r="S153" s="124">
        <f t="shared" si="38"/>
        <v>1.491E-2</v>
      </c>
      <c r="T153" s="125">
        <v>5</v>
      </c>
      <c r="U153" s="126">
        <f t="shared" si="39"/>
        <v>3.3329999999999999E-2</v>
      </c>
      <c r="V153" s="124">
        <f t="shared" si="40"/>
        <v>1.491E-2</v>
      </c>
    </row>
    <row r="154" spans="1:22" s="3" customFormat="1" x14ac:dyDescent="0.3">
      <c r="A154" s="38">
        <v>1870</v>
      </c>
      <c r="B154" s="122" t="str">
        <f t="shared" si="41"/>
        <v>1870-2020</v>
      </c>
      <c r="C154" s="127">
        <v>151</v>
      </c>
      <c r="D154" s="128">
        <f t="shared" si="42"/>
        <v>8.1379999999999994E-2</v>
      </c>
      <c r="E154" s="125">
        <v>61</v>
      </c>
      <c r="F154" s="126">
        <f t="shared" si="29"/>
        <v>0.40397</v>
      </c>
      <c r="G154" s="124">
        <f t="shared" si="30"/>
        <v>5.1720000000000002E-2</v>
      </c>
      <c r="H154" s="125">
        <v>65</v>
      </c>
      <c r="I154" s="126">
        <f t="shared" si="31"/>
        <v>0.43046000000000001</v>
      </c>
      <c r="J154" s="124">
        <f t="shared" si="32"/>
        <v>5.339E-2</v>
      </c>
      <c r="K154" s="125">
        <v>44</v>
      </c>
      <c r="L154" s="126">
        <f t="shared" si="33"/>
        <v>0.29138999999999998</v>
      </c>
      <c r="M154" s="124">
        <f t="shared" si="34"/>
        <v>4.3929999999999997E-2</v>
      </c>
      <c r="N154" s="125">
        <v>14</v>
      </c>
      <c r="O154" s="126">
        <f t="shared" si="35"/>
        <v>9.2719999999999997E-2</v>
      </c>
      <c r="P154" s="124">
        <f t="shared" si="36"/>
        <v>2.478E-2</v>
      </c>
      <c r="Q154" s="125">
        <v>5</v>
      </c>
      <c r="R154" s="126">
        <f t="shared" si="37"/>
        <v>3.3110000000000001E-2</v>
      </c>
      <c r="S154" s="124">
        <f t="shared" si="38"/>
        <v>1.481E-2</v>
      </c>
      <c r="T154" s="125">
        <v>5</v>
      </c>
      <c r="U154" s="126">
        <f t="shared" si="39"/>
        <v>3.3110000000000001E-2</v>
      </c>
      <c r="V154" s="124">
        <f t="shared" si="40"/>
        <v>1.481E-2</v>
      </c>
    </row>
    <row r="155" spans="1:22" s="3" customFormat="1" x14ac:dyDescent="0.3">
      <c r="A155" s="38">
        <v>1869</v>
      </c>
      <c r="B155" s="122" t="str">
        <f t="shared" si="41"/>
        <v>1869-2020</v>
      </c>
      <c r="C155" s="123">
        <v>152</v>
      </c>
      <c r="D155" s="124">
        <f t="shared" si="42"/>
        <v>8.1110000000000002E-2</v>
      </c>
      <c r="E155" s="125">
        <v>61</v>
      </c>
      <c r="F155" s="126">
        <f t="shared" si="29"/>
        <v>0.40132000000000001</v>
      </c>
      <c r="G155" s="124">
        <f t="shared" si="30"/>
        <v>5.1380000000000002E-2</v>
      </c>
      <c r="H155" s="125">
        <v>66</v>
      </c>
      <c r="I155" s="126">
        <f t="shared" si="31"/>
        <v>0.43420999999999998</v>
      </c>
      <c r="J155" s="124">
        <f t="shared" si="32"/>
        <v>5.3449999999999998E-2</v>
      </c>
      <c r="K155" s="125">
        <v>44</v>
      </c>
      <c r="L155" s="126">
        <f t="shared" si="33"/>
        <v>0.28947000000000001</v>
      </c>
      <c r="M155" s="124">
        <f t="shared" si="34"/>
        <v>4.3639999999999998E-2</v>
      </c>
      <c r="N155" s="125">
        <v>14</v>
      </c>
      <c r="O155" s="126">
        <f t="shared" si="35"/>
        <v>9.2109999999999997E-2</v>
      </c>
      <c r="P155" s="124">
        <f t="shared" si="36"/>
        <v>2.462E-2</v>
      </c>
      <c r="Q155" s="125">
        <v>5</v>
      </c>
      <c r="R155" s="126">
        <f t="shared" si="37"/>
        <v>3.2890000000000003E-2</v>
      </c>
      <c r="S155" s="124">
        <f t="shared" si="38"/>
        <v>1.4710000000000001E-2</v>
      </c>
      <c r="T155" s="125">
        <v>5</v>
      </c>
      <c r="U155" s="126">
        <f t="shared" si="39"/>
        <v>3.2890000000000003E-2</v>
      </c>
      <c r="V155" s="124">
        <f t="shared" si="40"/>
        <v>1.4710000000000001E-2</v>
      </c>
    </row>
    <row r="156" spans="1:22" s="3" customFormat="1" x14ac:dyDescent="0.3">
      <c r="A156" s="38">
        <v>1868</v>
      </c>
      <c r="B156" s="122" t="str">
        <f t="shared" si="41"/>
        <v>1868-2020</v>
      </c>
      <c r="C156" s="127">
        <v>153</v>
      </c>
      <c r="D156" s="128">
        <f t="shared" si="42"/>
        <v>8.0850000000000005E-2</v>
      </c>
      <c r="E156" s="125">
        <v>61</v>
      </c>
      <c r="F156" s="126">
        <f t="shared" si="29"/>
        <v>0.39868999999999999</v>
      </c>
      <c r="G156" s="124">
        <f t="shared" si="30"/>
        <v>5.1049999999999998E-2</v>
      </c>
      <c r="H156" s="125">
        <v>66</v>
      </c>
      <c r="I156" s="126">
        <f t="shared" si="31"/>
        <v>0.43136999999999998</v>
      </c>
      <c r="J156" s="124">
        <f t="shared" si="32"/>
        <v>5.3100000000000001E-2</v>
      </c>
      <c r="K156" s="125">
        <v>44</v>
      </c>
      <c r="L156" s="126">
        <f t="shared" si="33"/>
        <v>0.28758</v>
      </c>
      <c r="M156" s="124">
        <f t="shared" si="34"/>
        <v>4.3360000000000003E-2</v>
      </c>
      <c r="N156" s="125">
        <v>14</v>
      </c>
      <c r="O156" s="126">
        <f t="shared" si="35"/>
        <v>9.1499999999999998E-2</v>
      </c>
      <c r="P156" s="124">
        <f t="shared" si="36"/>
        <v>2.4459999999999999E-2</v>
      </c>
      <c r="Q156" s="125">
        <v>5</v>
      </c>
      <c r="R156" s="126">
        <f t="shared" si="37"/>
        <v>3.2680000000000001E-2</v>
      </c>
      <c r="S156" s="124">
        <f t="shared" si="38"/>
        <v>1.4619999999999999E-2</v>
      </c>
      <c r="T156" s="125">
        <v>5</v>
      </c>
      <c r="U156" s="126">
        <f t="shared" si="39"/>
        <v>3.2680000000000001E-2</v>
      </c>
      <c r="V156" s="124">
        <f t="shared" si="40"/>
        <v>1.4619999999999999E-2</v>
      </c>
    </row>
    <row r="157" spans="1:22" s="3" customFormat="1" x14ac:dyDescent="0.3">
      <c r="A157" s="38">
        <v>1867</v>
      </c>
      <c r="B157" s="122" t="str">
        <f t="shared" si="41"/>
        <v>1867-2020</v>
      </c>
      <c r="C157" s="123">
        <v>154</v>
      </c>
      <c r="D157" s="124">
        <f t="shared" si="42"/>
        <v>8.0579999999999999E-2</v>
      </c>
      <c r="E157" s="125">
        <v>61</v>
      </c>
      <c r="F157" s="126">
        <f t="shared" si="29"/>
        <v>0.39610000000000001</v>
      </c>
      <c r="G157" s="124">
        <f t="shared" si="30"/>
        <v>5.0709999999999998E-2</v>
      </c>
      <c r="H157" s="125">
        <v>66</v>
      </c>
      <c r="I157" s="126">
        <f t="shared" si="31"/>
        <v>0.42857000000000001</v>
      </c>
      <c r="J157" s="124">
        <f t="shared" si="32"/>
        <v>5.2749999999999998E-2</v>
      </c>
      <c r="K157" s="125">
        <v>44</v>
      </c>
      <c r="L157" s="126">
        <f t="shared" si="33"/>
        <v>0.28571000000000002</v>
      </c>
      <c r="M157" s="124">
        <f t="shared" si="34"/>
        <v>4.3069999999999997E-2</v>
      </c>
      <c r="N157" s="125">
        <v>14</v>
      </c>
      <c r="O157" s="126">
        <f t="shared" si="35"/>
        <v>9.0910000000000005E-2</v>
      </c>
      <c r="P157" s="124">
        <f t="shared" si="36"/>
        <v>2.4299999999999999E-2</v>
      </c>
      <c r="Q157" s="125">
        <v>5</v>
      </c>
      <c r="R157" s="126">
        <f t="shared" si="37"/>
        <v>3.2469999999999999E-2</v>
      </c>
      <c r="S157" s="124">
        <f t="shared" si="38"/>
        <v>1.452E-2</v>
      </c>
      <c r="T157" s="125">
        <v>5</v>
      </c>
      <c r="U157" s="126">
        <f t="shared" si="39"/>
        <v>3.2469999999999999E-2</v>
      </c>
      <c r="V157" s="124">
        <f t="shared" si="40"/>
        <v>1.452E-2</v>
      </c>
    </row>
    <row r="158" spans="1:22" s="3" customFormat="1" x14ac:dyDescent="0.3">
      <c r="A158" s="38">
        <v>1866</v>
      </c>
      <c r="B158" s="122" t="str">
        <f t="shared" si="41"/>
        <v>1866-2020</v>
      </c>
      <c r="C158" s="127">
        <v>155</v>
      </c>
      <c r="D158" s="128">
        <f t="shared" si="42"/>
        <v>8.0320000000000003E-2</v>
      </c>
      <c r="E158" s="125">
        <v>61</v>
      </c>
      <c r="F158" s="126">
        <f t="shared" si="29"/>
        <v>0.39355000000000001</v>
      </c>
      <c r="G158" s="124">
        <f t="shared" si="30"/>
        <v>5.0389999999999997E-2</v>
      </c>
      <c r="H158" s="125">
        <v>66</v>
      </c>
      <c r="I158" s="126">
        <f t="shared" si="31"/>
        <v>0.42581000000000002</v>
      </c>
      <c r="J158" s="124">
        <f t="shared" si="32"/>
        <v>5.2409999999999998E-2</v>
      </c>
      <c r="K158" s="125">
        <v>44</v>
      </c>
      <c r="L158" s="126">
        <f t="shared" si="33"/>
        <v>0.28387000000000001</v>
      </c>
      <c r="M158" s="124">
        <f t="shared" si="34"/>
        <v>4.2790000000000002E-2</v>
      </c>
      <c r="N158" s="125">
        <v>14</v>
      </c>
      <c r="O158" s="126">
        <f t="shared" si="35"/>
        <v>9.0319999999999998E-2</v>
      </c>
      <c r="P158" s="124">
        <f t="shared" si="36"/>
        <v>2.4140000000000002E-2</v>
      </c>
      <c r="Q158" s="125">
        <v>5</v>
      </c>
      <c r="R158" s="126">
        <f t="shared" si="37"/>
        <v>3.2259999999999997E-2</v>
      </c>
      <c r="S158" s="124">
        <f t="shared" si="38"/>
        <v>1.443E-2</v>
      </c>
      <c r="T158" s="125">
        <v>5</v>
      </c>
      <c r="U158" s="126">
        <f t="shared" si="39"/>
        <v>3.2259999999999997E-2</v>
      </c>
      <c r="V158" s="124">
        <f t="shared" si="40"/>
        <v>1.443E-2</v>
      </c>
    </row>
    <row r="159" spans="1:22" s="3" customFormat="1" x14ac:dyDescent="0.3">
      <c r="A159" s="38">
        <v>1865</v>
      </c>
      <c r="B159" s="122" t="str">
        <f t="shared" si="41"/>
        <v>1865-2020</v>
      </c>
      <c r="C159" s="123">
        <v>156</v>
      </c>
      <c r="D159" s="124">
        <f t="shared" si="42"/>
        <v>8.0060000000000006E-2</v>
      </c>
      <c r="E159" s="125">
        <v>61</v>
      </c>
      <c r="F159" s="126">
        <f t="shared" si="29"/>
        <v>0.39102999999999999</v>
      </c>
      <c r="G159" s="124">
        <f t="shared" si="30"/>
        <v>5.006E-2</v>
      </c>
      <c r="H159" s="125">
        <v>66</v>
      </c>
      <c r="I159" s="126">
        <f t="shared" si="31"/>
        <v>0.42308000000000001</v>
      </c>
      <c r="J159" s="124">
        <f t="shared" si="32"/>
        <v>5.2069999999999998E-2</v>
      </c>
      <c r="K159" s="125">
        <v>44</v>
      </c>
      <c r="L159" s="126">
        <f t="shared" si="33"/>
        <v>0.28205000000000002</v>
      </c>
      <c r="M159" s="124">
        <f t="shared" si="34"/>
        <v>4.2520000000000002E-2</v>
      </c>
      <c r="N159" s="125">
        <v>14</v>
      </c>
      <c r="O159" s="126">
        <f t="shared" si="35"/>
        <v>8.974E-2</v>
      </c>
      <c r="P159" s="124">
        <f t="shared" si="36"/>
        <v>2.3980000000000001E-2</v>
      </c>
      <c r="Q159" s="125">
        <v>5</v>
      </c>
      <c r="R159" s="126">
        <f t="shared" si="37"/>
        <v>3.2050000000000002E-2</v>
      </c>
      <c r="S159" s="124">
        <f t="shared" si="38"/>
        <v>1.4330000000000001E-2</v>
      </c>
      <c r="T159" s="125">
        <v>5</v>
      </c>
      <c r="U159" s="126">
        <f t="shared" si="39"/>
        <v>3.2050000000000002E-2</v>
      </c>
      <c r="V159" s="124">
        <f t="shared" si="40"/>
        <v>1.4330000000000001E-2</v>
      </c>
    </row>
    <row r="160" spans="1:22" s="3" customFormat="1" x14ac:dyDescent="0.3">
      <c r="A160" s="38">
        <v>1864</v>
      </c>
      <c r="B160" s="122" t="str">
        <f t="shared" si="41"/>
        <v>1864-2020</v>
      </c>
      <c r="C160" s="127">
        <v>157</v>
      </c>
      <c r="D160" s="128">
        <f t="shared" si="42"/>
        <v>7.9810000000000006E-2</v>
      </c>
      <c r="E160" s="125">
        <v>61</v>
      </c>
      <c r="F160" s="126">
        <f t="shared" si="29"/>
        <v>0.38854</v>
      </c>
      <c r="G160" s="124">
        <f t="shared" si="30"/>
        <v>4.9750000000000003E-2</v>
      </c>
      <c r="H160" s="125">
        <v>66</v>
      </c>
      <c r="I160" s="126">
        <f t="shared" si="31"/>
        <v>0.42037999999999998</v>
      </c>
      <c r="J160" s="124">
        <f t="shared" si="32"/>
        <v>5.1749999999999997E-2</v>
      </c>
      <c r="K160" s="125">
        <v>44</v>
      </c>
      <c r="L160" s="126">
        <f t="shared" si="33"/>
        <v>0.28025</v>
      </c>
      <c r="M160" s="124">
        <f t="shared" si="34"/>
        <v>4.2250000000000003E-2</v>
      </c>
      <c r="N160" s="125">
        <v>14</v>
      </c>
      <c r="O160" s="126">
        <f t="shared" si="35"/>
        <v>8.9169999999999999E-2</v>
      </c>
      <c r="P160" s="124">
        <f t="shared" si="36"/>
        <v>2.383E-2</v>
      </c>
      <c r="Q160" s="125">
        <v>5</v>
      </c>
      <c r="R160" s="126">
        <f t="shared" si="37"/>
        <v>3.1850000000000003E-2</v>
      </c>
      <c r="S160" s="124">
        <f t="shared" si="38"/>
        <v>1.4239999999999999E-2</v>
      </c>
      <c r="T160" s="125">
        <v>5</v>
      </c>
      <c r="U160" s="126">
        <f t="shared" si="39"/>
        <v>3.1850000000000003E-2</v>
      </c>
      <c r="V160" s="124">
        <f t="shared" si="40"/>
        <v>1.4239999999999999E-2</v>
      </c>
    </row>
    <row r="161" spans="1:22" s="3" customFormat="1" x14ac:dyDescent="0.3">
      <c r="A161" s="38">
        <v>1863</v>
      </c>
      <c r="B161" s="122" t="str">
        <f t="shared" si="41"/>
        <v>1863-2020</v>
      </c>
      <c r="C161" s="123">
        <v>158</v>
      </c>
      <c r="D161" s="124">
        <f t="shared" si="42"/>
        <v>7.9560000000000006E-2</v>
      </c>
      <c r="E161" s="125">
        <v>61</v>
      </c>
      <c r="F161" s="126">
        <f t="shared" si="29"/>
        <v>0.38607999999999998</v>
      </c>
      <c r="G161" s="124">
        <f t="shared" si="30"/>
        <v>4.9430000000000002E-2</v>
      </c>
      <c r="H161" s="125">
        <v>66</v>
      </c>
      <c r="I161" s="126">
        <f t="shared" si="31"/>
        <v>0.41771999999999998</v>
      </c>
      <c r="J161" s="124">
        <f t="shared" si="32"/>
        <v>5.142E-2</v>
      </c>
      <c r="K161" s="125">
        <v>44</v>
      </c>
      <c r="L161" s="126">
        <f t="shared" si="33"/>
        <v>0.27848000000000001</v>
      </c>
      <c r="M161" s="124">
        <f t="shared" si="34"/>
        <v>4.1980000000000003E-2</v>
      </c>
      <c r="N161" s="125">
        <v>15</v>
      </c>
      <c r="O161" s="126">
        <f t="shared" si="35"/>
        <v>9.4939999999999997E-2</v>
      </c>
      <c r="P161" s="124">
        <f t="shared" si="36"/>
        <v>2.4510000000000001E-2</v>
      </c>
      <c r="Q161" s="125">
        <v>6</v>
      </c>
      <c r="R161" s="126">
        <f t="shared" si="37"/>
        <v>3.7969999999999997E-2</v>
      </c>
      <c r="S161" s="124">
        <f t="shared" si="38"/>
        <v>1.55E-2</v>
      </c>
      <c r="T161" s="125">
        <v>5</v>
      </c>
      <c r="U161" s="126">
        <f t="shared" si="39"/>
        <v>3.1649999999999998E-2</v>
      </c>
      <c r="V161" s="124">
        <f t="shared" si="40"/>
        <v>1.4149999999999999E-2</v>
      </c>
    </row>
    <row r="162" spans="1:22" s="3" customFormat="1" x14ac:dyDescent="0.3">
      <c r="A162" s="38">
        <v>1862</v>
      </c>
      <c r="B162" s="122" t="str">
        <f t="shared" si="41"/>
        <v>1862-2020</v>
      </c>
      <c r="C162" s="127">
        <v>159</v>
      </c>
      <c r="D162" s="128">
        <f t="shared" si="42"/>
        <v>7.9310000000000005E-2</v>
      </c>
      <c r="E162" s="125">
        <v>61</v>
      </c>
      <c r="F162" s="126">
        <f t="shared" si="29"/>
        <v>0.38364999999999999</v>
      </c>
      <c r="G162" s="124">
        <f t="shared" si="30"/>
        <v>4.9119999999999997E-2</v>
      </c>
      <c r="H162" s="125">
        <v>66</v>
      </c>
      <c r="I162" s="126">
        <f t="shared" si="31"/>
        <v>0.41509000000000001</v>
      </c>
      <c r="J162" s="124">
        <f t="shared" si="32"/>
        <v>5.11E-2</v>
      </c>
      <c r="K162" s="125">
        <v>44</v>
      </c>
      <c r="L162" s="126">
        <f t="shared" si="33"/>
        <v>0.27672999999999998</v>
      </c>
      <c r="M162" s="124">
        <f t="shared" si="34"/>
        <v>4.172E-2</v>
      </c>
      <c r="N162" s="125">
        <v>15</v>
      </c>
      <c r="O162" s="126">
        <f t="shared" si="35"/>
        <v>9.4339999999999993E-2</v>
      </c>
      <c r="P162" s="124">
        <f t="shared" si="36"/>
        <v>2.436E-2</v>
      </c>
      <c r="Q162" s="125">
        <v>6</v>
      </c>
      <c r="R162" s="126">
        <f t="shared" si="37"/>
        <v>3.7740000000000003E-2</v>
      </c>
      <c r="S162" s="124">
        <f t="shared" si="38"/>
        <v>1.541E-2</v>
      </c>
      <c r="T162" s="125">
        <v>5</v>
      </c>
      <c r="U162" s="126">
        <f t="shared" si="39"/>
        <v>3.1449999999999999E-2</v>
      </c>
      <c r="V162" s="124">
        <f t="shared" si="40"/>
        <v>1.406E-2</v>
      </c>
    </row>
    <row r="163" spans="1:22" s="3" customFormat="1" x14ac:dyDescent="0.3">
      <c r="A163" s="38">
        <v>1861</v>
      </c>
      <c r="B163" s="122" t="str">
        <f t="shared" si="41"/>
        <v>1861-2020</v>
      </c>
      <c r="C163" s="123">
        <v>160</v>
      </c>
      <c r="D163" s="124">
        <f t="shared" si="42"/>
        <v>7.9060000000000005E-2</v>
      </c>
      <c r="E163" s="125">
        <v>61</v>
      </c>
      <c r="F163" s="126">
        <f t="shared" si="29"/>
        <v>0.38124999999999998</v>
      </c>
      <c r="G163" s="124">
        <f t="shared" si="30"/>
        <v>4.8820000000000002E-2</v>
      </c>
      <c r="H163" s="125">
        <v>66</v>
      </c>
      <c r="I163" s="126">
        <f t="shared" si="31"/>
        <v>0.41249999999999998</v>
      </c>
      <c r="J163" s="124">
        <f t="shared" si="32"/>
        <v>5.0779999999999999E-2</v>
      </c>
      <c r="K163" s="125">
        <v>44</v>
      </c>
      <c r="L163" s="126">
        <f t="shared" si="33"/>
        <v>0.27500000000000002</v>
      </c>
      <c r="M163" s="124">
        <f t="shared" si="34"/>
        <v>4.1459999999999997E-2</v>
      </c>
      <c r="N163" s="125">
        <v>15</v>
      </c>
      <c r="O163" s="126">
        <f t="shared" si="35"/>
        <v>9.375E-2</v>
      </c>
      <c r="P163" s="124">
        <f t="shared" si="36"/>
        <v>2.4209999999999999E-2</v>
      </c>
      <c r="Q163" s="125">
        <v>6</v>
      </c>
      <c r="R163" s="126">
        <f t="shared" si="37"/>
        <v>3.7499999999999999E-2</v>
      </c>
      <c r="S163" s="124">
        <f t="shared" si="38"/>
        <v>1.5310000000000001E-2</v>
      </c>
      <c r="T163" s="125">
        <v>5</v>
      </c>
      <c r="U163" s="126">
        <f t="shared" si="39"/>
        <v>3.125E-2</v>
      </c>
      <c r="V163" s="124">
        <f t="shared" si="40"/>
        <v>1.3979999999999999E-2</v>
      </c>
    </row>
    <row r="164" spans="1:22" s="3" customFormat="1" x14ac:dyDescent="0.3">
      <c r="A164" s="38">
        <v>1860</v>
      </c>
      <c r="B164" s="122" t="str">
        <f t="shared" si="41"/>
        <v>1860-2020</v>
      </c>
      <c r="C164" s="127">
        <v>161</v>
      </c>
      <c r="D164" s="128">
        <f t="shared" si="42"/>
        <v>7.8810000000000005E-2</v>
      </c>
      <c r="E164" s="125">
        <v>61</v>
      </c>
      <c r="F164" s="126">
        <f t="shared" si="29"/>
        <v>0.37887999999999999</v>
      </c>
      <c r="G164" s="124">
        <f t="shared" si="30"/>
        <v>4.8509999999999998E-2</v>
      </c>
      <c r="H164" s="125">
        <v>66</v>
      </c>
      <c r="I164" s="126">
        <f t="shared" si="31"/>
        <v>0.40994000000000003</v>
      </c>
      <c r="J164" s="124">
        <f t="shared" si="32"/>
        <v>5.0459999999999998E-2</v>
      </c>
      <c r="K164" s="125">
        <v>44</v>
      </c>
      <c r="L164" s="126">
        <f t="shared" si="33"/>
        <v>0.27328999999999998</v>
      </c>
      <c r="M164" s="124">
        <f t="shared" si="34"/>
        <v>4.1200000000000001E-2</v>
      </c>
      <c r="N164" s="125">
        <v>15</v>
      </c>
      <c r="O164" s="126">
        <f t="shared" si="35"/>
        <v>9.3170000000000003E-2</v>
      </c>
      <c r="P164" s="124">
        <f t="shared" si="36"/>
        <v>2.4060000000000002E-2</v>
      </c>
      <c r="Q164" s="125">
        <v>6</v>
      </c>
      <c r="R164" s="126">
        <f t="shared" si="37"/>
        <v>3.7269999999999998E-2</v>
      </c>
      <c r="S164" s="124">
        <f t="shared" si="38"/>
        <v>1.521E-2</v>
      </c>
      <c r="T164" s="125">
        <v>5</v>
      </c>
      <c r="U164" s="126">
        <f t="shared" si="39"/>
        <v>3.1060000000000001E-2</v>
      </c>
      <c r="V164" s="124">
        <f t="shared" si="40"/>
        <v>1.389E-2</v>
      </c>
    </row>
    <row r="165" spans="1:22" s="3" customFormat="1" x14ac:dyDescent="0.3">
      <c r="A165" s="38">
        <v>1859</v>
      </c>
      <c r="B165" s="122" t="str">
        <f t="shared" si="41"/>
        <v>1859-2020</v>
      </c>
      <c r="C165" s="123">
        <v>162</v>
      </c>
      <c r="D165" s="124">
        <f t="shared" si="42"/>
        <v>7.8570000000000001E-2</v>
      </c>
      <c r="E165" s="125">
        <v>61</v>
      </c>
      <c r="F165" s="126">
        <f t="shared" si="29"/>
        <v>0.37653999999999999</v>
      </c>
      <c r="G165" s="124">
        <f t="shared" si="30"/>
        <v>4.8210000000000003E-2</v>
      </c>
      <c r="H165" s="125">
        <v>66</v>
      </c>
      <c r="I165" s="126">
        <f t="shared" si="31"/>
        <v>0.40740999999999999</v>
      </c>
      <c r="J165" s="124">
        <f t="shared" si="32"/>
        <v>5.015E-2</v>
      </c>
      <c r="K165" s="125">
        <v>44</v>
      </c>
      <c r="L165" s="126">
        <f t="shared" si="33"/>
        <v>0.27160000000000001</v>
      </c>
      <c r="M165" s="124">
        <f t="shared" si="34"/>
        <v>4.095E-2</v>
      </c>
      <c r="N165" s="125">
        <v>15</v>
      </c>
      <c r="O165" s="126">
        <f t="shared" si="35"/>
        <v>9.2590000000000006E-2</v>
      </c>
      <c r="P165" s="124">
        <f t="shared" si="36"/>
        <v>2.3910000000000001E-2</v>
      </c>
      <c r="Q165" s="125">
        <v>6</v>
      </c>
      <c r="R165" s="126">
        <f t="shared" si="37"/>
        <v>3.7039999999999997E-2</v>
      </c>
      <c r="S165" s="124">
        <f t="shared" si="38"/>
        <v>1.512E-2</v>
      </c>
      <c r="T165" s="125">
        <v>5</v>
      </c>
      <c r="U165" s="126">
        <f t="shared" si="39"/>
        <v>3.0859999999999999E-2</v>
      </c>
      <c r="V165" s="124">
        <f t="shared" si="40"/>
        <v>1.38E-2</v>
      </c>
    </row>
    <row r="166" spans="1:22" s="3" customFormat="1" x14ac:dyDescent="0.3">
      <c r="A166" s="38">
        <v>1858</v>
      </c>
      <c r="B166" s="122" t="str">
        <f t="shared" si="41"/>
        <v>1858-2020</v>
      </c>
      <c r="C166" s="127">
        <v>163</v>
      </c>
      <c r="D166" s="128">
        <f t="shared" si="42"/>
        <v>7.8329999999999997E-2</v>
      </c>
      <c r="E166" s="125">
        <v>61</v>
      </c>
      <c r="F166" s="126">
        <f t="shared" si="29"/>
        <v>0.37423000000000001</v>
      </c>
      <c r="G166" s="124">
        <f t="shared" si="30"/>
        <v>4.7919999999999997E-2</v>
      </c>
      <c r="H166" s="125">
        <v>66</v>
      </c>
      <c r="I166" s="126">
        <f t="shared" si="31"/>
        <v>0.40490999999999999</v>
      </c>
      <c r="J166" s="124">
        <f t="shared" si="32"/>
        <v>4.9840000000000002E-2</v>
      </c>
      <c r="K166" s="125">
        <v>44</v>
      </c>
      <c r="L166" s="126">
        <f t="shared" si="33"/>
        <v>0.26994000000000001</v>
      </c>
      <c r="M166" s="124">
        <f t="shared" si="34"/>
        <v>4.07E-2</v>
      </c>
      <c r="N166" s="125">
        <v>15</v>
      </c>
      <c r="O166" s="126">
        <f t="shared" si="35"/>
        <v>9.2020000000000005E-2</v>
      </c>
      <c r="P166" s="124">
        <f t="shared" si="36"/>
        <v>2.376E-2</v>
      </c>
      <c r="Q166" s="125">
        <v>6</v>
      </c>
      <c r="R166" s="126">
        <f t="shared" si="37"/>
        <v>3.6810000000000002E-2</v>
      </c>
      <c r="S166" s="124">
        <f t="shared" si="38"/>
        <v>1.503E-2</v>
      </c>
      <c r="T166" s="125">
        <v>5</v>
      </c>
      <c r="U166" s="126">
        <f t="shared" si="39"/>
        <v>3.0669999999999999E-2</v>
      </c>
      <c r="V166" s="124">
        <f t="shared" si="40"/>
        <v>1.372E-2</v>
      </c>
    </row>
    <row r="167" spans="1:22" s="3" customFormat="1" x14ac:dyDescent="0.3">
      <c r="A167" s="38">
        <v>1857</v>
      </c>
      <c r="B167" s="122" t="str">
        <f t="shared" si="41"/>
        <v>1857-2020</v>
      </c>
      <c r="C167" s="123">
        <v>164</v>
      </c>
      <c r="D167" s="124">
        <f t="shared" si="42"/>
        <v>7.8090000000000007E-2</v>
      </c>
      <c r="E167" s="125">
        <v>61</v>
      </c>
      <c r="F167" s="126">
        <f t="shared" si="29"/>
        <v>0.37195</v>
      </c>
      <c r="G167" s="124">
        <f t="shared" si="30"/>
        <v>4.7629999999999999E-2</v>
      </c>
      <c r="H167" s="125">
        <v>66</v>
      </c>
      <c r="I167" s="126">
        <f t="shared" si="31"/>
        <v>0.40244000000000002</v>
      </c>
      <c r="J167" s="124">
        <f t="shared" si="32"/>
        <v>4.9540000000000001E-2</v>
      </c>
      <c r="K167" s="125">
        <v>44</v>
      </c>
      <c r="L167" s="126">
        <f t="shared" si="33"/>
        <v>0.26828999999999997</v>
      </c>
      <c r="M167" s="124">
        <f t="shared" si="34"/>
        <v>4.045E-2</v>
      </c>
      <c r="N167" s="125">
        <v>15</v>
      </c>
      <c r="O167" s="126">
        <f t="shared" si="35"/>
        <v>9.146E-2</v>
      </c>
      <c r="P167" s="124">
        <f t="shared" si="36"/>
        <v>2.3619999999999999E-2</v>
      </c>
      <c r="Q167" s="125">
        <v>6</v>
      </c>
      <c r="R167" s="126">
        <f t="shared" si="37"/>
        <v>3.6589999999999998E-2</v>
      </c>
      <c r="S167" s="124">
        <f t="shared" si="38"/>
        <v>1.494E-2</v>
      </c>
      <c r="T167" s="125">
        <v>5</v>
      </c>
      <c r="U167" s="126">
        <f t="shared" si="39"/>
        <v>3.049E-2</v>
      </c>
      <c r="V167" s="124">
        <f t="shared" si="40"/>
        <v>1.3639999999999999E-2</v>
      </c>
    </row>
    <row r="168" spans="1:22" s="3" customFormat="1" x14ac:dyDescent="0.3">
      <c r="A168" s="38">
        <v>1856</v>
      </c>
      <c r="B168" s="122" t="str">
        <f t="shared" si="41"/>
        <v>1856-2020</v>
      </c>
      <c r="C168" s="127">
        <v>165</v>
      </c>
      <c r="D168" s="128">
        <f t="shared" si="42"/>
        <v>7.7850000000000003E-2</v>
      </c>
      <c r="E168" s="125">
        <v>61</v>
      </c>
      <c r="F168" s="126">
        <f t="shared" si="29"/>
        <v>0.36969999999999997</v>
      </c>
      <c r="G168" s="124">
        <f t="shared" si="30"/>
        <v>4.734E-2</v>
      </c>
      <c r="H168" s="125">
        <v>66</v>
      </c>
      <c r="I168" s="126">
        <f t="shared" si="31"/>
        <v>0.4</v>
      </c>
      <c r="J168" s="124">
        <f t="shared" si="32"/>
        <v>4.9239999999999999E-2</v>
      </c>
      <c r="K168" s="125">
        <v>44</v>
      </c>
      <c r="L168" s="126">
        <f t="shared" si="33"/>
        <v>0.26667000000000002</v>
      </c>
      <c r="M168" s="124">
        <f t="shared" si="34"/>
        <v>4.02E-2</v>
      </c>
      <c r="N168" s="125">
        <v>16</v>
      </c>
      <c r="O168" s="126">
        <f t="shared" si="35"/>
        <v>9.6970000000000001E-2</v>
      </c>
      <c r="P168" s="124">
        <f t="shared" si="36"/>
        <v>2.4240000000000001E-2</v>
      </c>
      <c r="Q168" s="125">
        <v>6</v>
      </c>
      <c r="R168" s="126">
        <f t="shared" si="37"/>
        <v>3.6360000000000003E-2</v>
      </c>
      <c r="S168" s="124">
        <f t="shared" si="38"/>
        <v>1.4840000000000001E-2</v>
      </c>
      <c r="T168" s="125">
        <v>5</v>
      </c>
      <c r="U168" s="126">
        <f t="shared" si="39"/>
        <v>3.0300000000000001E-2</v>
      </c>
      <c r="V168" s="124">
        <f t="shared" si="40"/>
        <v>1.355E-2</v>
      </c>
    </row>
    <row r="169" spans="1:22" s="3" customFormat="1" x14ac:dyDescent="0.3">
      <c r="A169" s="38">
        <v>1855</v>
      </c>
      <c r="B169" s="122" t="str">
        <f t="shared" si="41"/>
        <v>1855-2020</v>
      </c>
      <c r="C169" s="123">
        <v>166</v>
      </c>
      <c r="D169" s="124">
        <f t="shared" si="42"/>
        <v>7.7619999999999995E-2</v>
      </c>
      <c r="E169" s="125">
        <v>61</v>
      </c>
      <c r="F169" s="126">
        <f t="shared" si="29"/>
        <v>0.36747000000000002</v>
      </c>
      <c r="G169" s="124">
        <f t="shared" si="30"/>
        <v>4.7050000000000002E-2</v>
      </c>
      <c r="H169" s="125">
        <v>66</v>
      </c>
      <c r="I169" s="126">
        <f t="shared" si="31"/>
        <v>0.39759</v>
      </c>
      <c r="J169" s="124">
        <f t="shared" si="32"/>
        <v>4.8939999999999997E-2</v>
      </c>
      <c r="K169" s="125">
        <v>44</v>
      </c>
      <c r="L169" s="126">
        <f t="shared" si="33"/>
        <v>0.26506000000000002</v>
      </c>
      <c r="M169" s="124">
        <f t="shared" si="34"/>
        <v>3.9960000000000002E-2</v>
      </c>
      <c r="N169" s="125">
        <v>16</v>
      </c>
      <c r="O169" s="126">
        <f t="shared" si="35"/>
        <v>9.6390000000000003E-2</v>
      </c>
      <c r="P169" s="124">
        <f t="shared" si="36"/>
        <v>2.41E-2</v>
      </c>
      <c r="Q169" s="125">
        <v>6</v>
      </c>
      <c r="R169" s="126">
        <f t="shared" si="37"/>
        <v>3.6139999999999999E-2</v>
      </c>
      <c r="S169" s="124">
        <f t="shared" si="38"/>
        <v>1.4760000000000001E-2</v>
      </c>
      <c r="T169" s="125">
        <v>5</v>
      </c>
      <c r="U169" s="126">
        <f t="shared" si="39"/>
        <v>3.0120000000000001E-2</v>
      </c>
      <c r="V169" s="124">
        <f t="shared" si="40"/>
        <v>1.3469999999999999E-2</v>
      </c>
    </row>
    <row r="170" spans="1:22" s="3" customFormat="1" x14ac:dyDescent="0.3">
      <c r="A170" s="38">
        <v>1854</v>
      </c>
      <c r="B170" s="122" t="str">
        <f t="shared" si="41"/>
        <v>1854-2020</v>
      </c>
      <c r="C170" s="127">
        <v>167</v>
      </c>
      <c r="D170" s="128">
        <f t="shared" si="42"/>
        <v>7.7380000000000004E-2</v>
      </c>
      <c r="E170" s="125">
        <v>61</v>
      </c>
      <c r="F170" s="126">
        <f t="shared" si="29"/>
        <v>0.36526999999999998</v>
      </c>
      <c r="G170" s="124">
        <f t="shared" si="30"/>
        <v>4.6769999999999999E-2</v>
      </c>
      <c r="H170" s="125">
        <v>66</v>
      </c>
      <c r="I170" s="126">
        <f t="shared" si="31"/>
        <v>0.39521000000000001</v>
      </c>
      <c r="J170" s="124">
        <f t="shared" si="32"/>
        <v>4.8649999999999999E-2</v>
      </c>
      <c r="K170" s="125">
        <v>44</v>
      </c>
      <c r="L170" s="126">
        <f t="shared" si="33"/>
        <v>0.26346999999999998</v>
      </c>
      <c r="M170" s="124">
        <f t="shared" si="34"/>
        <v>3.9719999999999998E-2</v>
      </c>
      <c r="N170" s="125">
        <v>16</v>
      </c>
      <c r="O170" s="126">
        <f t="shared" si="35"/>
        <v>9.5810000000000006E-2</v>
      </c>
      <c r="P170" s="124">
        <f t="shared" si="36"/>
        <v>2.3949999999999999E-2</v>
      </c>
      <c r="Q170" s="125">
        <v>6</v>
      </c>
      <c r="R170" s="126">
        <f t="shared" si="37"/>
        <v>3.5929999999999997E-2</v>
      </c>
      <c r="S170" s="124">
        <f t="shared" si="38"/>
        <v>1.4670000000000001E-2</v>
      </c>
      <c r="T170" s="125">
        <v>5</v>
      </c>
      <c r="U170" s="126">
        <f t="shared" si="39"/>
        <v>2.9940000000000001E-2</v>
      </c>
      <c r="V170" s="124">
        <f t="shared" si="40"/>
        <v>1.3390000000000001E-2</v>
      </c>
    </row>
    <row r="171" spans="1:22" s="3" customFormat="1" x14ac:dyDescent="0.3">
      <c r="A171" s="38">
        <v>1853</v>
      </c>
      <c r="B171" s="122" t="str">
        <f t="shared" si="41"/>
        <v>1853-2020</v>
      </c>
      <c r="C171" s="123">
        <v>168</v>
      </c>
      <c r="D171" s="124">
        <f t="shared" si="42"/>
        <v>7.7149999999999996E-2</v>
      </c>
      <c r="E171" s="125">
        <v>61</v>
      </c>
      <c r="F171" s="126">
        <f t="shared" si="29"/>
        <v>0.36309999999999998</v>
      </c>
      <c r="G171" s="124">
        <f t="shared" si="30"/>
        <v>4.6489999999999997E-2</v>
      </c>
      <c r="H171" s="125">
        <v>66</v>
      </c>
      <c r="I171" s="126">
        <f t="shared" si="31"/>
        <v>0.39285999999999999</v>
      </c>
      <c r="J171" s="124">
        <f t="shared" si="32"/>
        <v>4.836E-2</v>
      </c>
      <c r="K171" s="125">
        <v>44</v>
      </c>
      <c r="L171" s="126">
        <f t="shared" si="33"/>
        <v>0.26190000000000002</v>
      </c>
      <c r="M171" s="124">
        <f t="shared" si="34"/>
        <v>3.9480000000000001E-2</v>
      </c>
      <c r="N171" s="125">
        <v>16</v>
      </c>
      <c r="O171" s="126">
        <f t="shared" si="35"/>
        <v>9.5240000000000005E-2</v>
      </c>
      <c r="P171" s="124">
        <f t="shared" si="36"/>
        <v>2.3810000000000001E-2</v>
      </c>
      <c r="Q171" s="125">
        <v>6</v>
      </c>
      <c r="R171" s="126">
        <f t="shared" si="37"/>
        <v>3.5709999999999999E-2</v>
      </c>
      <c r="S171" s="124">
        <f t="shared" si="38"/>
        <v>1.4579999999999999E-2</v>
      </c>
      <c r="T171" s="125">
        <v>5</v>
      </c>
      <c r="U171" s="126">
        <f t="shared" si="39"/>
        <v>2.9760000000000002E-2</v>
      </c>
      <c r="V171" s="124">
        <f t="shared" si="40"/>
        <v>1.3310000000000001E-2</v>
      </c>
    </row>
    <row r="172" spans="1:22" s="3" customFormat="1" x14ac:dyDescent="0.3">
      <c r="A172" s="38">
        <v>1852</v>
      </c>
      <c r="B172" s="122" t="str">
        <f t="shared" si="41"/>
        <v>1852-2020</v>
      </c>
      <c r="C172" s="127">
        <v>169</v>
      </c>
      <c r="D172" s="128">
        <f t="shared" si="42"/>
        <v>7.6920000000000002E-2</v>
      </c>
      <c r="E172" s="125">
        <v>61</v>
      </c>
      <c r="F172" s="126">
        <f t="shared" si="29"/>
        <v>0.36094999999999999</v>
      </c>
      <c r="G172" s="124">
        <f t="shared" si="30"/>
        <v>4.6210000000000001E-2</v>
      </c>
      <c r="H172" s="125">
        <v>66</v>
      </c>
      <c r="I172" s="126">
        <f t="shared" si="31"/>
        <v>0.39052999999999999</v>
      </c>
      <c r="J172" s="124">
        <f t="shared" si="32"/>
        <v>4.8070000000000002E-2</v>
      </c>
      <c r="K172" s="125">
        <v>44</v>
      </c>
      <c r="L172" s="126">
        <f t="shared" si="33"/>
        <v>0.26035999999999998</v>
      </c>
      <c r="M172" s="124">
        <f t="shared" si="34"/>
        <v>3.925E-2</v>
      </c>
      <c r="N172" s="125">
        <v>16</v>
      </c>
      <c r="O172" s="126">
        <f t="shared" si="35"/>
        <v>9.4670000000000004E-2</v>
      </c>
      <c r="P172" s="124">
        <f t="shared" si="36"/>
        <v>2.367E-2</v>
      </c>
      <c r="Q172" s="125">
        <v>6</v>
      </c>
      <c r="R172" s="126">
        <f t="shared" si="37"/>
        <v>3.5499999999999997E-2</v>
      </c>
      <c r="S172" s="124">
        <f t="shared" si="38"/>
        <v>1.4489999999999999E-2</v>
      </c>
      <c r="T172" s="125">
        <v>5</v>
      </c>
      <c r="U172" s="126">
        <f t="shared" si="39"/>
        <v>2.9590000000000002E-2</v>
      </c>
      <c r="V172" s="124">
        <f t="shared" si="40"/>
        <v>1.323E-2</v>
      </c>
    </row>
    <row r="173" spans="1:22" s="3" customFormat="1" x14ac:dyDescent="0.3">
      <c r="A173" s="38">
        <v>1851</v>
      </c>
      <c r="B173" s="122" t="str">
        <f t="shared" si="41"/>
        <v>1851-2020</v>
      </c>
      <c r="C173" s="123">
        <v>170</v>
      </c>
      <c r="D173" s="124">
        <f t="shared" si="42"/>
        <v>7.6700000000000004E-2</v>
      </c>
      <c r="E173" s="125">
        <v>61</v>
      </c>
      <c r="F173" s="126">
        <f t="shared" si="29"/>
        <v>0.35881999999999997</v>
      </c>
      <c r="G173" s="124">
        <f t="shared" si="30"/>
        <v>4.5940000000000002E-2</v>
      </c>
      <c r="H173" s="125">
        <v>66</v>
      </c>
      <c r="I173" s="126">
        <f t="shared" si="31"/>
        <v>0.38823999999999997</v>
      </c>
      <c r="J173" s="124">
        <f t="shared" si="32"/>
        <v>4.7789999999999999E-2</v>
      </c>
      <c r="K173" s="125">
        <v>44</v>
      </c>
      <c r="L173" s="126">
        <f t="shared" si="33"/>
        <v>0.25881999999999999</v>
      </c>
      <c r="M173" s="124">
        <f t="shared" si="34"/>
        <v>3.9019999999999999E-2</v>
      </c>
      <c r="N173" s="125">
        <v>16</v>
      </c>
      <c r="O173" s="126">
        <f t="shared" si="35"/>
        <v>9.4119999999999995E-2</v>
      </c>
      <c r="P173" s="124">
        <f t="shared" si="36"/>
        <v>2.3529999999999999E-2</v>
      </c>
      <c r="Q173" s="125">
        <v>6</v>
      </c>
      <c r="R173" s="126">
        <f t="shared" si="37"/>
        <v>3.5290000000000002E-2</v>
      </c>
      <c r="S173" s="124">
        <f t="shared" si="38"/>
        <v>1.4409999999999999E-2</v>
      </c>
      <c r="T173" s="125">
        <v>5</v>
      </c>
      <c r="U173" s="126">
        <f t="shared" si="39"/>
        <v>2.9409999999999999E-2</v>
      </c>
      <c r="V173" s="124">
        <f t="shared" si="40"/>
        <v>1.315E-2</v>
      </c>
    </row>
    <row r="174" spans="1:22" s="3" customFormat="1" x14ac:dyDescent="0.3">
      <c r="A174" s="38">
        <v>1850</v>
      </c>
      <c r="B174" s="122" t="str">
        <f t="shared" si="41"/>
        <v>1850-2020</v>
      </c>
      <c r="C174" s="127">
        <v>171</v>
      </c>
      <c r="D174" s="128">
        <f t="shared" si="42"/>
        <v>7.6469999999999996E-2</v>
      </c>
      <c r="E174" s="125">
        <v>61</v>
      </c>
      <c r="F174" s="126">
        <f t="shared" si="29"/>
        <v>0.35672999999999999</v>
      </c>
      <c r="G174" s="124">
        <f t="shared" si="30"/>
        <v>4.5670000000000002E-2</v>
      </c>
      <c r="H174" s="125">
        <v>66</v>
      </c>
      <c r="I174" s="126">
        <f t="shared" si="31"/>
        <v>0.38596000000000003</v>
      </c>
      <c r="J174" s="124">
        <f t="shared" si="32"/>
        <v>4.7509999999999997E-2</v>
      </c>
      <c r="K174" s="125">
        <v>44</v>
      </c>
      <c r="L174" s="126">
        <f t="shared" si="33"/>
        <v>0.25730999999999998</v>
      </c>
      <c r="M174" s="124">
        <f t="shared" si="34"/>
        <v>3.8789999999999998E-2</v>
      </c>
      <c r="N174" s="125">
        <v>16</v>
      </c>
      <c r="O174" s="126">
        <f t="shared" si="35"/>
        <v>9.357E-2</v>
      </c>
      <c r="P174" s="124">
        <f t="shared" si="36"/>
        <v>2.3390000000000001E-2</v>
      </c>
      <c r="Q174" s="125">
        <v>6</v>
      </c>
      <c r="R174" s="126">
        <f t="shared" si="37"/>
        <v>3.5090000000000003E-2</v>
      </c>
      <c r="S174" s="124">
        <f t="shared" si="38"/>
        <v>1.4319999999999999E-2</v>
      </c>
      <c r="T174" s="125">
        <v>5</v>
      </c>
      <c r="U174" s="126">
        <f t="shared" si="39"/>
        <v>2.9239999999999999E-2</v>
      </c>
      <c r="V174" s="124">
        <f t="shared" si="40"/>
        <v>1.308E-2</v>
      </c>
    </row>
    <row r="175" spans="1:22" s="3" customFormat="1" x14ac:dyDescent="0.3">
      <c r="A175" s="38">
        <v>1849</v>
      </c>
      <c r="B175" s="122" t="str">
        <f t="shared" si="41"/>
        <v>1849-2020</v>
      </c>
      <c r="C175" s="123">
        <v>172</v>
      </c>
      <c r="D175" s="124">
        <f t="shared" si="42"/>
        <v>7.6249999999999998E-2</v>
      </c>
      <c r="E175" s="125">
        <v>61</v>
      </c>
      <c r="F175" s="126">
        <f t="shared" si="29"/>
        <v>0.35465000000000002</v>
      </c>
      <c r="G175" s="124">
        <f t="shared" si="30"/>
        <v>4.5409999999999999E-2</v>
      </c>
      <c r="H175" s="125">
        <v>67</v>
      </c>
      <c r="I175" s="126">
        <f t="shared" si="31"/>
        <v>0.38952999999999999</v>
      </c>
      <c r="J175" s="124">
        <f t="shared" si="32"/>
        <v>4.759E-2</v>
      </c>
      <c r="K175" s="125">
        <v>45</v>
      </c>
      <c r="L175" s="126">
        <f t="shared" si="33"/>
        <v>0.26162999999999997</v>
      </c>
      <c r="M175" s="124">
        <f t="shared" si="34"/>
        <v>3.9E-2</v>
      </c>
      <c r="N175" s="125">
        <v>16</v>
      </c>
      <c r="O175" s="126">
        <f t="shared" si="35"/>
        <v>9.3020000000000005E-2</v>
      </c>
      <c r="P175" s="124">
        <f t="shared" si="36"/>
        <v>2.3259999999999999E-2</v>
      </c>
      <c r="Q175" s="125">
        <v>6</v>
      </c>
      <c r="R175" s="126">
        <f t="shared" si="37"/>
        <v>3.4880000000000001E-2</v>
      </c>
      <c r="S175" s="124">
        <f t="shared" si="38"/>
        <v>1.4239999999999999E-2</v>
      </c>
      <c r="T175" s="125">
        <v>5</v>
      </c>
      <c r="U175" s="126">
        <f t="shared" si="39"/>
        <v>2.9069999999999999E-2</v>
      </c>
      <c r="V175" s="124">
        <f t="shared" si="40"/>
        <v>1.2999999999999999E-2</v>
      </c>
    </row>
    <row r="176" spans="1:22" s="3" customFormat="1" x14ac:dyDescent="0.3">
      <c r="A176" s="38">
        <v>1848</v>
      </c>
      <c r="B176" s="122" t="str">
        <f t="shared" si="41"/>
        <v>1848-2020</v>
      </c>
      <c r="C176" s="127">
        <v>173</v>
      </c>
      <c r="D176" s="128">
        <f t="shared" si="42"/>
        <v>7.603E-2</v>
      </c>
      <c r="E176" s="125">
        <v>61</v>
      </c>
      <c r="F176" s="126">
        <f t="shared" si="29"/>
        <v>0.35260000000000002</v>
      </c>
      <c r="G176" s="124">
        <f t="shared" si="30"/>
        <v>4.5150000000000003E-2</v>
      </c>
      <c r="H176" s="125">
        <v>67</v>
      </c>
      <c r="I176" s="126">
        <f t="shared" si="31"/>
        <v>0.38728000000000001</v>
      </c>
      <c r="J176" s="124">
        <f t="shared" si="32"/>
        <v>4.7309999999999998E-2</v>
      </c>
      <c r="K176" s="125">
        <v>45</v>
      </c>
      <c r="L176" s="126">
        <f t="shared" si="33"/>
        <v>0.26012000000000002</v>
      </c>
      <c r="M176" s="124">
        <f t="shared" si="34"/>
        <v>3.8780000000000002E-2</v>
      </c>
      <c r="N176" s="125">
        <v>16</v>
      </c>
      <c r="O176" s="126">
        <f t="shared" si="35"/>
        <v>9.2490000000000003E-2</v>
      </c>
      <c r="P176" s="124">
        <f t="shared" si="36"/>
        <v>2.3120000000000002E-2</v>
      </c>
      <c r="Q176" s="125">
        <v>6</v>
      </c>
      <c r="R176" s="126">
        <f t="shared" si="37"/>
        <v>3.4680000000000002E-2</v>
      </c>
      <c r="S176" s="124">
        <f t="shared" si="38"/>
        <v>1.4160000000000001E-2</v>
      </c>
      <c r="T176" s="125">
        <v>6</v>
      </c>
      <c r="U176" s="126">
        <f t="shared" si="39"/>
        <v>3.4680000000000002E-2</v>
      </c>
      <c r="V176" s="124">
        <f t="shared" si="40"/>
        <v>1.4160000000000001E-2</v>
      </c>
    </row>
    <row r="177" spans="1:22" s="3" customFormat="1" x14ac:dyDescent="0.3">
      <c r="A177" s="38">
        <v>1847</v>
      </c>
      <c r="B177" s="122" t="str">
        <f t="shared" si="41"/>
        <v>1847-2020</v>
      </c>
      <c r="C177" s="123">
        <v>174</v>
      </c>
      <c r="D177" s="124">
        <f t="shared" si="42"/>
        <v>7.5810000000000002E-2</v>
      </c>
      <c r="E177" s="125">
        <v>61</v>
      </c>
      <c r="F177" s="126">
        <f t="shared" si="29"/>
        <v>0.35056999999999999</v>
      </c>
      <c r="G177" s="124">
        <f t="shared" si="30"/>
        <v>4.4889999999999999E-2</v>
      </c>
      <c r="H177" s="125">
        <v>67</v>
      </c>
      <c r="I177" s="126">
        <f t="shared" si="31"/>
        <v>0.38506000000000001</v>
      </c>
      <c r="J177" s="124">
        <f t="shared" si="32"/>
        <v>4.7039999999999998E-2</v>
      </c>
      <c r="K177" s="125">
        <v>45</v>
      </c>
      <c r="L177" s="126">
        <f t="shared" si="33"/>
        <v>0.25862000000000002</v>
      </c>
      <c r="M177" s="124">
        <f t="shared" si="34"/>
        <v>3.8550000000000001E-2</v>
      </c>
      <c r="N177" s="125">
        <v>16</v>
      </c>
      <c r="O177" s="126">
        <f t="shared" si="35"/>
        <v>9.1950000000000004E-2</v>
      </c>
      <c r="P177" s="124">
        <f t="shared" si="36"/>
        <v>2.299E-2</v>
      </c>
      <c r="Q177" s="125">
        <v>6</v>
      </c>
      <c r="R177" s="126">
        <f t="shared" si="37"/>
        <v>3.4479999999999997E-2</v>
      </c>
      <c r="S177" s="124">
        <f t="shared" si="38"/>
        <v>1.4080000000000001E-2</v>
      </c>
      <c r="T177" s="125">
        <v>7</v>
      </c>
      <c r="U177" s="126">
        <f t="shared" si="39"/>
        <v>4.0230000000000002E-2</v>
      </c>
      <c r="V177" s="124">
        <f t="shared" si="40"/>
        <v>1.521E-2</v>
      </c>
    </row>
    <row r="178" spans="1:22" s="3" customFormat="1" x14ac:dyDescent="0.3">
      <c r="A178" s="38">
        <v>1846</v>
      </c>
      <c r="B178" s="122" t="str">
        <f t="shared" si="41"/>
        <v>1846-2020</v>
      </c>
      <c r="C178" s="127">
        <v>175</v>
      </c>
      <c r="D178" s="128">
        <f t="shared" si="42"/>
        <v>7.5590000000000004E-2</v>
      </c>
      <c r="E178" s="125">
        <v>61</v>
      </c>
      <c r="F178" s="126">
        <f t="shared" si="29"/>
        <v>0.34856999999999999</v>
      </c>
      <c r="G178" s="124">
        <f t="shared" si="30"/>
        <v>4.4630000000000003E-2</v>
      </c>
      <c r="H178" s="125">
        <v>67</v>
      </c>
      <c r="I178" s="126">
        <f t="shared" si="31"/>
        <v>0.38285999999999998</v>
      </c>
      <c r="J178" s="124">
        <f t="shared" si="32"/>
        <v>4.6769999999999999E-2</v>
      </c>
      <c r="K178" s="125">
        <v>45</v>
      </c>
      <c r="L178" s="126">
        <f t="shared" si="33"/>
        <v>0.25713999999999998</v>
      </c>
      <c r="M178" s="124">
        <f t="shared" si="34"/>
        <v>3.8330000000000003E-2</v>
      </c>
      <c r="N178" s="125">
        <v>16</v>
      </c>
      <c r="O178" s="126">
        <f t="shared" si="35"/>
        <v>9.1429999999999997E-2</v>
      </c>
      <c r="P178" s="124">
        <f t="shared" si="36"/>
        <v>2.2859999999999998E-2</v>
      </c>
      <c r="Q178" s="125">
        <v>6</v>
      </c>
      <c r="R178" s="126">
        <f t="shared" si="37"/>
        <v>3.4290000000000001E-2</v>
      </c>
      <c r="S178" s="124">
        <f t="shared" si="38"/>
        <v>1.4E-2</v>
      </c>
      <c r="T178" s="125">
        <v>8</v>
      </c>
      <c r="U178" s="126">
        <f t="shared" si="39"/>
        <v>4.5710000000000001E-2</v>
      </c>
      <c r="V178" s="124">
        <f t="shared" si="40"/>
        <v>1.6160000000000001E-2</v>
      </c>
    </row>
    <row r="179" spans="1:22" s="3" customFormat="1" x14ac:dyDescent="0.3">
      <c r="A179" s="38">
        <v>1845</v>
      </c>
      <c r="B179" s="122" t="str">
        <f t="shared" si="41"/>
        <v>1845-2020</v>
      </c>
      <c r="C179" s="123">
        <v>176</v>
      </c>
      <c r="D179" s="124">
        <f t="shared" si="42"/>
        <v>7.5380000000000003E-2</v>
      </c>
      <c r="E179" s="125">
        <v>61</v>
      </c>
      <c r="F179" s="126">
        <f t="shared" si="29"/>
        <v>0.34659000000000001</v>
      </c>
      <c r="G179" s="124">
        <f t="shared" si="30"/>
        <v>4.4380000000000003E-2</v>
      </c>
      <c r="H179" s="125">
        <v>67</v>
      </c>
      <c r="I179" s="126">
        <f t="shared" si="31"/>
        <v>0.38068000000000002</v>
      </c>
      <c r="J179" s="124">
        <f t="shared" si="32"/>
        <v>4.6510000000000003E-2</v>
      </c>
      <c r="K179" s="125">
        <v>45</v>
      </c>
      <c r="L179" s="126">
        <f t="shared" si="33"/>
        <v>0.25568000000000002</v>
      </c>
      <c r="M179" s="124">
        <f t="shared" si="34"/>
        <v>3.8120000000000001E-2</v>
      </c>
      <c r="N179" s="125">
        <v>16</v>
      </c>
      <c r="O179" s="126">
        <f t="shared" si="35"/>
        <v>9.0910000000000005E-2</v>
      </c>
      <c r="P179" s="124">
        <f t="shared" si="36"/>
        <v>2.273E-2</v>
      </c>
      <c r="Q179" s="125">
        <v>6</v>
      </c>
      <c r="R179" s="126">
        <f t="shared" si="37"/>
        <v>3.4090000000000002E-2</v>
      </c>
      <c r="S179" s="124">
        <f t="shared" si="38"/>
        <v>1.392E-2</v>
      </c>
      <c r="T179" s="125">
        <v>8</v>
      </c>
      <c r="U179" s="126">
        <f t="shared" si="39"/>
        <v>4.5449999999999997E-2</v>
      </c>
      <c r="V179" s="124">
        <f t="shared" si="40"/>
        <v>1.6070000000000001E-2</v>
      </c>
    </row>
    <row r="180" spans="1:22" s="3" customFormat="1" x14ac:dyDescent="0.3">
      <c r="A180" s="38">
        <v>1844</v>
      </c>
      <c r="B180" s="122" t="str">
        <f t="shared" si="41"/>
        <v>1844-2020</v>
      </c>
      <c r="C180" s="127">
        <v>177</v>
      </c>
      <c r="D180" s="128">
        <f t="shared" si="42"/>
        <v>7.5160000000000005E-2</v>
      </c>
      <c r="E180" s="125">
        <v>61</v>
      </c>
      <c r="F180" s="126">
        <f t="shared" si="29"/>
        <v>0.34462999999999999</v>
      </c>
      <c r="G180" s="124">
        <f t="shared" si="30"/>
        <v>4.4119999999999999E-2</v>
      </c>
      <c r="H180" s="125">
        <v>67</v>
      </c>
      <c r="I180" s="126">
        <f t="shared" si="31"/>
        <v>0.37852999999999998</v>
      </c>
      <c r="J180" s="124">
        <f t="shared" si="32"/>
        <v>4.6240000000000003E-2</v>
      </c>
      <c r="K180" s="125">
        <v>45</v>
      </c>
      <c r="L180" s="126">
        <f t="shared" si="33"/>
        <v>0.25424000000000002</v>
      </c>
      <c r="M180" s="124">
        <f t="shared" si="34"/>
        <v>3.7900000000000003E-2</v>
      </c>
      <c r="N180" s="125">
        <v>16</v>
      </c>
      <c r="O180" s="126">
        <f t="shared" si="35"/>
        <v>9.0399999999999994E-2</v>
      </c>
      <c r="P180" s="124">
        <f t="shared" si="36"/>
        <v>2.2599999999999999E-2</v>
      </c>
      <c r="Q180" s="125">
        <v>6</v>
      </c>
      <c r="R180" s="126">
        <f t="shared" si="37"/>
        <v>3.39E-2</v>
      </c>
      <c r="S180" s="124">
        <f t="shared" si="38"/>
        <v>1.384E-2</v>
      </c>
      <c r="T180" s="125">
        <v>8</v>
      </c>
      <c r="U180" s="126">
        <f t="shared" si="39"/>
        <v>4.5199999999999997E-2</v>
      </c>
      <c r="V180" s="124">
        <f t="shared" si="40"/>
        <v>1.5980000000000001E-2</v>
      </c>
    </row>
    <row r="181" spans="1:22" s="3" customFormat="1" x14ac:dyDescent="0.3">
      <c r="A181" s="38">
        <v>1843</v>
      </c>
      <c r="B181" s="122" t="str">
        <f t="shared" si="41"/>
        <v>1843-2020</v>
      </c>
      <c r="C181" s="123">
        <v>178</v>
      </c>
      <c r="D181" s="124">
        <f t="shared" si="42"/>
        <v>7.4950000000000003E-2</v>
      </c>
      <c r="E181" s="125">
        <v>61</v>
      </c>
      <c r="F181" s="126">
        <f t="shared" si="29"/>
        <v>0.3427</v>
      </c>
      <c r="G181" s="124">
        <f t="shared" si="30"/>
        <v>4.3880000000000002E-2</v>
      </c>
      <c r="H181" s="125">
        <v>68</v>
      </c>
      <c r="I181" s="126">
        <f t="shared" si="31"/>
        <v>0.38202000000000003</v>
      </c>
      <c r="J181" s="124">
        <f t="shared" si="32"/>
        <v>4.632E-2</v>
      </c>
      <c r="K181" s="125">
        <v>45</v>
      </c>
      <c r="L181" s="126">
        <f t="shared" si="33"/>
        <v>0.25280999999999998</v>
      </c>
      <c r="M181" s="124">
        <f t="shared" si="34"/>
        <v>3.7690000000000001E-2</v>
      </c>
      <c r="N181" s="125">
        <v>16</v>
      </c>
      <c r="O181" s="126">
        <f t="shared" si="35"/>
        <v>8.9889999999999998E-2</v>
      </c>
      <c r="P181" s="124">
        <f t="shared" si="36"/>
        <v>2.247E-2</v>
      </c>
      <c r="Q181" s="125">
        <v>6</v>
      </c>
      <c r="R181" s="126">
        <f t="shared" si="37"/>
        <v>3.3709999999999997E-2</v>
      </c>
      <c r="S181" s="124">
        <f t="shared" si="38"/>
        <v>1.376E-2</v>
      </c>
      <c r="T181" s="125">
        <v>8</v>
      </c>
      <c r="U181" s="126">
        <f t="shared" si="39"/>
        <v>4.4940000000000001E-2</v>
      </c>
      <c r="V181" s="124">
        <f t="shared" si="40"/>
        <v>1.5890000000000001E-2</v>
      </c>
    </row>
    <row r="182" spans="1:22" s="3" customFormat="1" x14ac:dyDescent="0.3">
      <c r="A182" s="38">
        <v>1842</v>
      </c>
      <c r="B182" s="122" t="str">
        <f t="shared" si="41"/>
        <v>1842-2020</v>
      </c>
      <c r="C182" s="127">
        <v>179</v>
      </c>
      <c r="D182" s="128">
        <f t="shared" si="42"/>
        <v>7.4740000000000001E-2</v>
      </c>
      <c r="E182" s="125">
        <v>61</v>
      </c>
      <c r="F182" s="126">
        <f t="shared" si="29"/>
        <v>0.34078000000000003</v>
      </c>
      <c r="G182" s="124">
        <f t="shared" si="30"/>
        <v>4.3630000000000002E-2</v>
      </c>
      <c r="H182" s="125">
        <v>69</v>
      </c>
      <c r="I182" s="126">
        <f t="shared" si="31"/>
        <v>0.38546999999999998</v>
      </c>
      <c r="J182" s="124">
        <f t="shared" si="32"/>
        <v>4.6399999999999997E-2</v>
      </c>
      <c r="K182" s="125">
        <v>45</v>
      </c>
      <c r="L182" s="126">
        <f t="shared" si="33"/>
        <v>0.25140000000000001</v>
      </c>
      <c r="M182" s="124">
        <f t="shared" si="34"/>
        <v>3.7470000000000003E-2</v>
      </c>
      <c r="N182" s="125">
        <v>16</v>
      </c>
      <c r="O182" s="126">
        <f t="shared" si="35"/>
        <v>8.9389999999999997E-2</v>
      </c>
      <c r="P182" s="124">
        <f t="shared" si="36"/>
        <v>2.2349999999999998E-2</v>
      </c>
      <c r="Q182" s="125">
        <v>7</v>
      </c>
      <c r="R182" s="126">
        <f t="shared" si="37"/>
        <v>3.9109999999999999E-2</v>
      </c>
      <c r="S182" s="124">
        <f t="shared" si="38"/>
        <v>1.478E-2</v>
      </c>
      <c r="T182" s="125">
        <v>8</v>
      </c>
      <c r="U182" s="126">
        <f t="shared" si="39"/>
        <v>4.4690000000000001E-2</v>
      </c>
      <c r="V182" s="124">
        <f t="shared" si="40"/>
        <v>1.5800000000000002E-2</v>
      </c>
    </row>
    <row r="183" spans="1:22" s="3" customFormat="1" x14ac:dyDescent="0.3">
      <c r="A183" s="38">
        <v>1841</v>
      </c>
      <c r="B183" s="122" t="str">
        <f t="shared" si="41"/>
        <v>1841-2020</v>
      </c>
      <c r="C183" s="123">
        <v>180</v>
      </c>
      <c r="D183" s="124">
        <f t="shared" si="42"/>
        <v>7.4539999999999995E-2</v>
      </c>
      <c r="E183" s="125">
        <v>61</v>
      </c>
      <c r="F183" s="126">
        <f t="shared" si="29"/>
        <v>0.33889000000000002</v>
      </c>
      <c r="G183" s="124">
        <f t="shared" si="30"/>
        <v>4.3389999999999998E-2</v>
      </c>
      <c r="H183" s="125">
        <v>69</v>
      </c>
      <c r="I183" s="126">
        <f t="shared" si="31"/>
        <v>0.38333</v>
      </c>
      <c r="J183" s="124">
        <f t="shared" si="32"/>
        <v>4.6149999999999997E-2</v>
      </c>
      <c r="K183" s="125">
        <v>45</v>
      </c>
      <c r="L183" s="126">
        <f t="shared" si="33"/>
        <v>0.25</v>
      </c>
      <c r="M183" s="124">
        <f t="shared" si="34"/>
        <v>3.7269999999999998E-2</v>
      </c>
      <c r="N183" s="125">
        <v>16</v>
      </c>
      <c r="O183" s="126">
        <f t="shared" si="35"/>
        <v>8.8889999999999997E-2</v>
      </c>
      <c r="P183" s="124">
        <f t="shared" si="36"/>
        <v>2.222E-2</v>
      </c>
      <c r="Q183" s="125">
        <v>7</v>
      </c>
      <c r="R183" s="126">
        <f t="shared" si="37"/>
        <v>3.8890000000000001E-2</v>
      </c>
      <c r="S183" s="124">
        <f t="shared" si="38"/>
        <v>1.47E-2</v>
      </c>
      <c r="T183" s="125">
        <v>8</v>
      </c>
      <c r="U183" s="126">
        <f t="shared" si="39"/>
        <v>4.444E-2</v>
      </c>
      <c r="V183" s="124">
        <f t="shared" si="40"/>
        <v>1.5709999999999998E-2</v>
      </c>
    </row>
    <row r="184" spans="1:22" s="3" customFormat="1" x14ac:dyDescent="0.3">
      <c r="A184" s="38">
        <v>1840</v>
      </c>
      <c r="B184" s="122" t="str">
        <f t="shared" si="41"/>
        <v>1840-2020</v>
      </c>
      <c r="C184" s="127">
        <v>181</v>
      </c>
      <c r="D184" s="128">
        <f t="shared" si="42"/>
        <v>7.4329999999999993E-2</v>
      </c>
      <c r="E184" s="125">
        <v>61</v>
      </c>
      <c r="F184" s="126">
        <f t="shared" si="29"/>
        <v>0.33701999999999999</v>
      </c>
      <c r="G184" s="124">
        <f t="shared" si="30"/>
        <v>4.3150000000000001E-2</v>
      </c>
      <c r="H184" s="125">
        <v>70</v>
      </c>
      <c r="I184" s="126">
        <f t="shared" si="31"/>
        <v>0.38673999999999997</v>
      </c>
      <c r="J184" s="124">
        <f t="shared" si="32"/>
        <v>4.6219999999999997E-2</v>
      </c>
      <c r="K184" s="125">
        <v>45</v>
      </c>
      <c r="L184" s="126">
        <f t="shared" si="33"/>
        <v>0.24862000000000001</v>
      </c>
      <c r="M184" s="124">
        <f t="shared" si="34"/>
        <v>3.7060000000000003E-2</v>
      </c>
      <c r="N184" s="125">
        <v>16</v>
      </c>
      <c r="O184" s="126">
        <f t="shared" si="35"/>
        <v>8.8400000000000006E-2</v>
      </c>
      <c r="P184" s="124">
        <f t="shared" si="36"/>
        <v>2.2100000000000002E-2</v>
      </c>
      <c r="Q184" s="125">
        <v>7</v>
      </c>
      <c r="R184" s="126">
        <f t="shared" si="37"/>
        <v>3.8670000000000003E-2</v>
      </c>
      <c r="S184" s="124">
        <f t="shared" si="38"/>
        <v>1.4619999999999999E-2</v>
      </c>
      <c r="T184" s="125">
        <v>8</v>
      </c>
      <c r="U184" s="126">
        <f t="shared" si="39"/>
        <v>4.4200000000000003E-2</v>
      </c>
      <c r="V184" s="124">
        <f t="shared" si="40"/>
        <v>1.5630000000000002E-2</v>
      </c>
    </row>
    <row r="185" spans="1:22" s="3" customFormat="1" x14ac:dyDescent="0.3">
      <c r="A185" s="38">
        <v>1839</v>
      </c>
      <c r="B185" s="122" t="str">
        <f t="shared" si="41"/>
        <v>1839-2020</v>
      </c>
      <c r="C185" s="123">
        <v>182</v>
      </c>
      <c r="D185" s="124">
        <f t="shared" si="42"/>
        <v>7.4120000000000005E-2</v>
      </c>
      <c r="E185" s="125">
        <v>61</v>
      </c>
      <c r="F185" s="126">
        <f t="shared" si="29"/>
        <v>0.33516000000000001</v>
      </c>
      <c r="G185" s="124">
        <f t="shared" si="30"/>
        <v>4.2909999999999997E-2</v>
      </c>
      <c r="H185" s="125">
        <v>70</v>
      </c>
      <c r="I185" s="126">
        <f t="shared" si="31"/>
        <v>0.38462000000000002</v>
      </c>
      <c r="J185" s="124">
        <f t="shared" si="32"/>
        <v>4.5969999999999997E-2</v>
      </c>
      <c r="K185" s="125">
        <v>45</v>
      </c>
      <c r="L185" s="126">
        <f t="shared" si="33"/>
        <v>0.24725</v>
      </c>
      <c r="M185" s="124">
        <f t="shared" si="34"/>
        <v>3.6859999999999997E-2</v>
      </c>
      <c r="N185" s="125">
        <v>16</v>
      </c>
      <c r="O185" s="126">
        <f t="shared" si="35"/>
        <v>8.7910000000000002E-2</v>
      </c>
      <c r="P185" s="124">
        <f t="shared" si="36"/>
        <v>2.198E-2</v>
      </c>
      <c r="Q185" s="125">
        <v>7</v>
      </c>
      <c r="R185" s="126">
        <f t="shared" si="37"/>
        <v>3.8460000000000001E-2</v>
      </c>
      <c r="S185" s="124">
        <f t="shared" si="38"/>
        <v>1.4540000000000001E-2</v>
      </c>
      <c r="T185" s="125">
        <v>8</v>
      </c>
      <c r="U185" s="126">
        <f t="shared" si="39"/>
        <v>4.3959999999999999E-2</v>
      </c>
      <c r="V185" s="124">
        <f t="shared" si="40"/>
        <v>1.554E-2</v>
      </c>
    </row>
    <row r="186" spans="1:22" s="3" customFormat="1" x14ac:dyDescent="0.3">
      <c r="A186" s="38">
        <v>1838</v>
      </c>
      <c r="B186" s="122" t="str">
        <f t="shared" si="41"/>
        <v>1838-2020</v>
      </c>
      <c r="C186" s="127">
        <v>183</v>
      </c>
      <c r="D186" s="128">
        <f t="shared" si="42"/>
        <v>7.392E-2</v>
      </c>
      <c r="E186" s="125">
        <v>61</v>
      </c>
      <c r="F186" s="126">
        <f t="shared" si="29"/>
        <v>0.33333000000000002</v>
      </c>
      <c r="G186" s="124">
        <f t="shared" si="30"/>
        <v>4.2680000000000003E-2</v>
      </c>
      <c r="H186" s="125">
        <v>70</v>
      </c>
      <c r="I186" s="126">
        <f t="shared" si="31"/>
        <v>0.38251000000000002</v>
      </c>
      <c r="J186" s="124">
        <f t="shared" si="32"/>
        <v>4.5719999999999997E-2</v>
      </c>
      <c r="K186" s="125">
        <v>45</v>
      </c>
      <c r="L186" s="126">
        <f t="shared" si="33"/>
        <v>0.24590000000000001</v>
      </c>
      <c r="M186" s="124">
        <f t="shared" si="34"/>
        <v>3.6659999999999998E-2</v>
      </c>
      <c r="N186" s="125">
        <v>16</v>
      </c>
      <c r="O186" s="126">
        <f t="shared" si="35"/>
        <v>8.7429999999999994E-2</v>
      </c>
      <c r="P186" s="124">
        <f t="shared" si="36"/>
        <v>2.1860000000000001E-2</v>
      </c>
      <c r="Q186" s="125">
        <v>7</v>
      </c>
      <c r="R186" s="126">
        <f t="shared" si="37"/>
        <v>3.8249999999999999E-2</v>
      </c>
      <c r="S186" s="124">
        <f t="shared" si="38"/>
        <v>1.4460000000000001E-2</v>
      </c>
      <c r="T186" s="125">
        <v>8</v>
      </c>
      <c r="U186" s="126">
        <f t="shared" si="39"/>
        <v>4.3720000000000002E-2</v>
      </c>
      <c r="V186" s="124">
        <f t="shared" si="40"/>
        <v>1.546E-2</v>
      </c>
    </row>
    <row r="187" spans="1:22" s="3" customFormat="1" x14ac:dyDescent="0.3">
      <c r="A187" s="38">
        <v>1837</v>
      </c>
      <c r="B187" s="122" t="str">
        <f t="shared" si="41"/>
        <v>1837-2020</v>
      </c>
      <c r="C187" s="123">
        <v>184</v>
      </c>
      <c r="D187" s="124">
        <f t="shared" si="42"/>
        <v>7.3719999999999994E-2</v>
      </c>
      <c r="E187" s="125">
        <v>61</v>
      </c>
      <c r="F187" s="126">
        <f t="shared" si="29"/>
        <v>0.33151999999999998</v>
      </c>
      <c r="G187" s="124">
        <f t="shared" si="30"/>
        <v>4.2450000000000002E-2</v>
      </c>
      <c r="H187" s="125">
        <v>70</v>
      </c>
      <c r="I187" s="126">
        <f t="shared" si="31"/>
        <v>0.38042999999999999</v>
      </c>
      <c r="J187" s="124">
        <f t="shared" si="32"/>
        <v>4.5469999999999997E-2</v>
      </c>
      <c r="K187" s="125">
        <v>45</v>
      </c>
      <c r="L187" s="126">
        <f t="shared" si="33"/>
        <v>0.24457000000000001</v>
      </c>
      <c r="M187" s="124">
        <f t="shared" si="34"/>
        <v>3.6459999999999999E-2</v>
      </c>
      <c r="N187" s="125">
        <v>16</v>
      </c>
      <c r="O187" s="126">
        <f t="shared" si="35"/>
        <v>8.6959999999999996E-2</v>
      </c>
      <c r="P187" s="124">
        <f t="shared" si="36"/>
        <v>2.1739999999999999E-2</v>
      </c>
      <c r="Q187" s="125">
        <v>7</v>
      </c>
      <c r="R187" s="126">
        <f t="shared" si="37"/>
        <v>3.8039999999999997E-2</v>
      </c>
      <c r="S187" s="124">
        <f t="shared" si="38"/>
        <v>1.438E-2</v>
      </c>
      <c r="T187" s="125">
        <v>8</v>
      </c>
      <c r="U187" s="126">
        <f t="shared" si="39"/>
        <v>4.3479999999999998E-2</v>
      </c>
      <c r="V187" s="124">
        <f t="shared" si="40"/>
        <v>1.537E-2</v>
      </c>
    </row>
    <row r="188" spans="1:22" s="3" customFormat="1" x14ac:dyDescent="0.3">
      <c r="A188" s="38">
        <v>1836</v>
      </c>
      <c r="B188" s="122" t="str">
        <f t="shared" si="41"/>
        <v>1836-2020</v>
      </c>
      <c r="C188" s="127">
        <v>185</v>
      </c>
      <c r="D188" s="128">
        <f t="shared" si="42"/>
        <v>7.3520000000000002E-2</v>
      </c>
      <c r="E188" s="125">
        <v>61</v>
      </c>
      <c r="F188" s="126">
        <f t="shared" si="29"/>
        <v>0.32973000000000002</v>
      </c>
      <c r="G188" s="124">
        <f t="shared" si="30"/>
        <v>4.2220000000000001E-2</v>
      </c>
      <c r="H188" s="125">
        <v>70</v>
      </c>
      <c r="I188" s="126">
        <f t="shared" si="31"/>
        <v>0.37837999999999999</v>
      </c>
      <c r="J188" s="124">
        <f t="shared" si="32"/>
        <v>4.5220000000000003E-2</v>
      </c>
      <c r="K188" s="125">
        <v>45</v>
      </c>
      <c r="L188" s="126">
        <f t="shared" si="33"/>
        <v>0.24324000000000001</v>
      </c>
      <c r="M188" s="124">
        <f t="shared" si="34"/>
        <v>3.6260000000000001E-2</v>
      </c>
      <c r="N188" s="125">
        <v>16</v>
      </c>
      <c r="O188" s="126">
        <f t="shared" si="35"/>
        <v>8.6489999999999997E-2</v>
      </c>
      <c r="P188" s="124">
        <f t="shared" si="36"/>
        <v>2.162E-2</v>
      </c>
      <c r="Q188" s="125">
        <v>7</v>
      </c>
      <c r="R188" s="126">
        <f t="shared" si="37"/>
        <v>3.7839999999999999E-2</v>
      </c>
      <c r="S188" s="124">
        <f t="shared" si="38"/>
        <v>1.43E-2</v>
      </c>
      <c r="T188" s="125">
        <v>8</v>
      </c>
      <c r="U188" s="126">
        <f t="shared" si="39"/>
        <v>4.3240000000000001E-2</v>
      </c>
      <c r="V188" s="124">
        <f t="shared" si="40"/>
        <v>1.529E-2</v>
      </c>
    </row>
    <row r="189" spans="1:22" s="3" customFormat="1" x14ac:dyDescent="0.3">
      <c r="A189" s="38">
        <v>1835</v>
      </c>
      <c r="B189" s="122" t="str">
        <f t="shared" si="41"/>
        <v>1835-2020</v>
      </c>
      <c r="C189" s="123">
        <v>186</v>
      </c>
      <c r="D189" s="124">
        <f t="shared" si="42"/>
        <v>7.3319999999999996E-2</v>
      </c>
      <c r="E189" s="125">
        <v>61</v>
      </c>
      <c r="F189" s="126">
        <f t="shared" si="29"/>
        <v>0.32795999999999997</v>
      </c>
      <c r="G189" s="124">
        <f t="shared" si="30"/>
        <v>4.199E-2</v>
      </c>
      <c r="H189" s="125">
        <v>70</v>
      </c>
      <c r="I189" s="126">
        <f t="shared" si="31"/>
        <v>0.37634000000000001</v>
      </c>
      <c r="J189" s="124">
        <f t="shared" si="32"/>
        <v>4.4979999999999999E-2</v>
      </c>
      <c r="K189" s="125">
        <v>45</v>
      </c>
      <c r="L189" s="126">
        <f t="shared" si="33"/>
        <v>0.24193999999999999</v>
      </c>
      <c r="M189" s="124">
        <f t="shared" si="34"/>
        <v>3.6060000000000002E-2</v>
      </c>
      <c r="N189" s="125">
        <v>16</v>
      </c>
      <c r="O189" s="126">
        <f t="shared" si="35"/>
        <v>8.6019999999999999E-2</v>
      </c>
      <c r="P189" s="124">
        <f t="shared" si="36"/>
        <v>2.1499999999999998E-2</v>
      </c>
      <c r="Q189" s="125">
        <v>7</v>
      </c>
      <c r="R189" s="126">
        <f t="shared" si="37"/>
        <v>3.7629999999999997E-2</v>
      </c>
      <c r="S189" s="124">
        <f t="shared" si="38"/>
        <v>1.422E-2</v>
      </c>
      <c r="T189" s="125">
        <v>8</v>
      </c>
      <c r="U189" s="126">
        <f t="shared" si="39"/>
        <v>4.301E-2</v>
      </c>
      <c r="V189" s="124">
        <f t="shared" si="40"/>
        <v>1.521E-2</v>
      </c>
    </row>
    <row r="190" spans="1:22" s="3" customFormat="1" x14ac:dyDescent="0.3">
      <c r="A190" s="38">
        <v>1834</v>
      </c>
      <c r="B190" s="122" t="str">
        <f t="shared" si="41"/>
        <v>1834-2020</v>
      </c>
      <c r="C190" s="127">
        <v>187</v>
      </c>
      <c r="D190" s="128">
        <f t="shared" si="42"/>
        <v>7.3130000000000001E-2</v>
      </c>
      <c r="E190" s="125">
        <v>61</v>
      </c>
      <c r="F190" s="126">
        <f t="shared" si="29"/>
        <v>0.32619999999999999</v>
      </c>
      <c r="G190" s="124">
        <f t="shared" si="30"/>
        <v>4.1770000000000002E-2</v>
      </c>
      <c r="H190" s="125">
        <v>70</v>
      </c>
      <c r="I190" s="126">
        <f t="shared" si="31"/>
        <v>0.37433</v>
      </c>
      <c r="J190" s="124">
        <f t="shared" si="32"/>
        <v>4.4740000000000002E-2</v>
      </c>
      <c r="K190" s="125">
        <v>45</v>
      </c>
      <c r="L190" s="126">
        <f t="shared" si="33"/>
        <v>0.24063999999999999</v>
      </c>
      <c r="M190" s="124">
        <f t="shared" si="34"/>
        <v>3.5869999999999999E-2</v>
      </c>
      <c r="N190" s="125">
        <v>16</v>
      </c>
      <c r="O190" s="126">
        <f t="shared" si="35"/>
        <v>8.5559999999999997E-2</v>
      </c>
      <c r="P190" s="124">
        <f t="shared" si="36"/>
        <v>2.1389999999999999E-2</v>
      </c>
      <c r="Q190" s="125">
        <v>7</v>
      </c>
      <c r="R190" s="126">
        <f t="shared" si="37"/>
        <v>3.7429999999999998E-2</v>
      </c>
      <c r="S190" s="124">
        <f t="shared" si="38"/>
        <v>1.4149999999999999E-2</v>
      </c>
      <c r="T190" s="125">
        <v>8</v>
      </c>
      <c r="U190" s="126">
        <f t="shared" si="39"/>
        <v>4.2779999999999999E-2</v>
      </c>
      <c r="V190" s="124">
        <f t="shared" si="40"/>
        <v>1.5129999999999999E-2</v>
      </c>
    </row>
    <row r="191" spans="1:22" s="3" customFormat="1" x14ac:dyDescent="0.3">
      <c r="A191" s="38">
        <v>1833</v>
      </c>
      <c r="B191" s="122" t="str">
        <f t="shared" si="41"/>
        <v>1833-2020</v>
      </c>
      <c r="C191" s="123">
        <v>188</v>
      </c>
      <c r="D191" s="124">
        <f t="shared" si="42"/>
        <v>7.2929999999999995E-2</v>
      </c>
      <c r="E191" s="125">
        <v>61</v>
      </c>
      <c r="F191" s="126">
        <f t="shared" si="29"/>
        <v>0.32446999999999998</v>
      </c>
      <c r="G191" s="124">
        <f t="shared" si="30"/>
        <v>4.1540000000000001E-2</v>
      </c>
      <c r="H191" s="125">
        <v>70</v>
      </c>
      <c r="I191" s="126">
        <f t="shared" si="31"/>
        <v>0.37234</v>
      </c>
      <c r="J191" s="124">
        <f t="shared" si="32"/>
        <v>4.4499999999999998E-2</v>
      </c>
      <c r="K191" s="125">
        <v>45</v>
      </c>
      <c r="L191" s="126">
        <f t="shared" si="33"/>
        <v>0.23935999999999999</v>
      </c>
      <c r="M191" s="124">
        <f t="shared" si="34"/>
        <v>3.5680000000000003E-2</v>
      </c>
      <c r="N191" s="125">
        <v>16</v>
      </c>
      <c r="O191" s="126">
        <f t="shared" si="35"/>
        <v>8.5110000000000005E-2</v>
      </c>
      <c r="P191" s="124">
        <f t="shared" si="36"/>
        <v>2.128E-2</v>
      </c>
      <c r="Q191" s="125">
        <v>7</v>
      </c>
      <c r="R191" s="126">
        <f t="shared" si="37"/>
        <v>3.7229999999999999E-2</v>
      </c>
      <c r="S191" s="124">
        <f t="shared" si="38"/>
        <v>1.4069999999999999E-2</v>
      </c>
      <c r="T191" s="125">
        <v>8</v>
      </c>
      <c r="U191" s="126">
        <f t="shared" si="39"/>
        <v>4.2549999999999998E-2</v>
      </c>
      <c r="V191" s="124">
        <f t="shared" si="40"/>
        <v>1.504E-2</v>
      </c>
    </row>
    <row r="192" spans="1:22" s="3" customFormat="1" x14ac:dyDescent="0.3">
      <c r="A192" s="38">
        <v>1832</v>
      </c>
      <c r="B192" s="122" t="str">
        <f t="shared" si="41"/>
        <v>1832-2020</v>
      </c>
      <c r="C192" s="127">
        <v>189</v>
      </c>
      <c r="D192" s="128">
        <f t="shared" si="42"/>
        <v>7.2739999999999999E-2</v>
      </c>
      <c r="E192" s="125">
        <v>61</v>
      </c>
      <c r="F192" s="126">
        <f t="shared" si="29"/>
        <v>0.32274999999999998</v>
      </c>
      <c r="G192" s="124">
        <f t="shared" si="30"/>
        <v>4.1320000000000003E-2</v>
      </c>
      <c r="H192" s="125">
        <v>70</v>
      </c>
      <c r="I192" s="126">
        <f t="shared" si="31"/>
        <v>0.37036999999999998</v>
      </c>
      <c r="J192" s="124">
        <f t="shared" si="32"/>
        <v>4.4269999999999997E-2</v>
      </c>
      <c r="K192" s="125">
        <v>45</v>
      </c>
      <c r="L192" s="126">
        <f t="shared" si="33"/>
        <v>0.23810000000000001</v>
      </c>
      <c r="M192" s="124">
        <f t="shared" si="34"/>
        <v>3.5490000000000001E-2</v>
      </c>
      <c r="N192" s="125">
        <v>16</v>
      </c>
      <c r="O192" s="126">
        <f t="shared" si="35"/>
        <v>8.4659999999999999E-2</v>
      </c>
      <c r="P192" s="124">
        <f t="shared" si="36"/>
        <v>2.1160000000000002E-2</v>
      </c>
      <c r="Q192" s="125">
        <v>7</v>
      </c>
      <c r="R192" s="126">
        <f t="shared" si="37"/>
        <v>3.7039999999999997E-2</v>
      </c>
      <c r="S192" s="124">
        <f t="shared" si="38"/>
        <v>1.4E-2</v>
      </c>
      <c r="T192" s="125">
        <v>8</v>
      </c>
      <c r="U192" s="126">
        <f t="shared" si="39"/>
        <v>4.233E-2</v>
      </c>
      <c r="V192" s="124">
        <f t="shared" si="40"/>
        <v>1.4970000000000001E-2</v>
      </c>
    </row>
    <row r="193" spans="1:22" s="3" customFormat="1" x14ac:dyDescent="0.3">
      <c r="A193" s="38">
        <v>1831</v>
      </c>
      <c r="B193" s="122" t="str">
        <f t="shared" si="41"/>
        <v>1831-2020</v>
      </c>
      <c r="C193" s="123">
        <v>190</v>
      </c>
      <c r="D193" s="124">
        <f t="shared" si="42"/>
        <v>7.2550000000000003E-2</v>
      </c>
      <c r="E193" s="125">
        <v>61</v>
      </c>
      <c r="F193" s="126">
        <f t="shared" si="29"/>
        <v>0.32105</v>
      </c>
      <c r="G193" s="124">
        <f t="shared" si="30"/>
        <v>4.1110000000000001E-2</v>
      </c>
      <c r="H193" s="125">
        <v>70</v>
      </c>
      <c r="I193" s="126">
        <f t="shared" si="31"/>
        <v>0.36842000000000003</v>
      </c>
      <c r="J193" s="124">
        <f t="shared" si="32"/>
        <v>4.4040000000000003E-2</v>
      </c>
      <c r="K193" s="125">
        <v>45</v>
      </c>
      <c r="L193" s="126">
        <f t="shared" si="33"/>
        <v>0.23683999999999999</v>
      </c>
      <c r="M193" s="124">
        <f t="shared" si="34"/>
        <v>3.5310000000000001E-2</v>
      </c>
      <c r="N193" s="125">
        <v>16</v>
      </c>
      <c r="O193" s="126">
        <f t="shared" si="35"/>
        <v>8.4209999999999993E-2</v>
      </c>
      <c r="P193" s="124">
        <f t="shared" si="36"/>
        <v>2.1049999999999999E-2</v>
      </c>
      <c r="Q193" s="125">
        <v>7</v>
      </c>
      <c r="R193" s="126">
        <f t="shared" si="37"/>
        <v>3.6839999999999998E-2</v>
      </c>
      <c r="S193" s="124">
        <f t="shared" si="38"/>
        <v>1.393E-2</v>
      </c>
      <c r="T193" s="125">
        <v>8</v>
      </c>
      <c r="U193" s="126">
        <f t="shared" si="39"/>
        <v>4.2110000000000002E-2</v>
      </c>
      <c r="V193" s="124">
        <f t="shared" si="40"/>
        <v>1.489E-2</v>
      </c>
    </row>
    <row r="194" spans="1:22" s="3" customFormat="1" x14ac:dyDescent="0.3">
      <c r="A194" s="38">
        <v>1830</v>
      </c>
      <c r="B194" s="122" t="str">
        <f t="shared" si="41"/>
        <v>1830-2020</v>
      </c>
      <c r="C194" s="127">
        <v>191</v>
      </c>
      <c r="D194" s="128">
        <f t="shared" si="42"/>
        <v>7.2359999999999994E-2</v>
      </c>
      <c r="E194" s="125">
        <v>61</v>
      </c>
      <c r="F194" s="126">
        <f t="shared" si="29"/>
        <v>0.31936999999999999</v>
      </c>
      <c r="G194" s="124">
        <f t="shared" si="30"/>
        <v>4.0890000000000003E-2</v>
      </c>
      <c r="H194" s="125">
        <v>70</v>
      </c>
      <c r="I194" s="126">
        <f t="shared" si="31"/>
        <v>0.36648999999999998</v>
      </c>
      <c r="J194" s="124">
        <f t="shared" si="32"/>
        <v>4.3810000000000002E-2</v>
      </c>
      <c r="K194" s="125">
        <v>45</v>
      </c>
      <c r="L194" s="126">
        <f t="shared" si="33"/>
        <v>0.2356</v>
      </c>
      <c r="M194" s="124">
        <f t="shared" si="34"/>
        <v>3.5119999999999998E-2</v>
      </c>
      <c r="N194" s="125">
        <v>16</v>
      </c>
      <c r="O194" s="126">
        <f t="shared" si="35"/>
        <v>8.3769999999999997E-2</v>
      </c>
      <c r="P194" s="124">
        <f t="shared" si="36"/>
        <v>2.094E-2</v>
      </c>
      <c r="Q194" s="125">
        <v>7</v>
      </c>
      <c r="R194" s="126">
        <f t="shared" si="37"/>
        <v>3.6650000000000002E-2</v>
      </c>
      <c r="S194" s="124">
        <f t="shared" si="38"/>
        <v>1.3849999999999999E-2</v>
      </c>
      <c r="T194" s="125">
        <v>8</v>
      </c>
      <c r="U194" s="126">
        <f t="shared" si="39"/>
        <v>4.1880000000000001E-2</v>
      </c>
      <c r="V194" s="124">
        <f t="shared" si="40"/>
        <v>1.481E-2</v>
      </c>
    </row>
    <row r="195" spans="1:22" s="3" customFormat="1" x14ac:dyDescent="0.3">
      <c r="A195" s="38">
        <v>1829</v>
      </c>
      <c r="B195" s="122" t="str">
        <f t="shared" si="41"/>
        <v>1829-2020</v>
      </c>
      <c r="C195" s="123">
        <v>192</v>
      </c>
      <c r="D195" s="124">
        <f t="shared" si="42"/>
        <v>7.2169999999999998E-2</v>
      </c>
      <c r="E195" s="125">
        <v>61</v>
      </c>
      <c r="F195" s="126">
        <f t="shared" si="29"/>
        <v>0.31770999999999999</v>
      </c>
      <c r="G195" s="124">
        <f t="shared" si="30"/>
        <v>4.0680000000000001E-2</v>
      </c>
      <c r="H195" s="125">
        <v>70</v>
      </c>
      <c r="I195" s="126">
        <f t="shared" si="31"/>
        <v>0.36458000000000002</v>
      </c>
      <c r="J195" s="124">
        <f t="shared" si="32"/>
        <v>4.3580000000000001E-2</v>
      </c>
      <c r="K195" s="125">
        <v>45</v>
      </c>
      <c r="L195" s="126">
        <f t="shared" si="33"/>
        <v>0.23438000000000001</v>
      </c>
      <c r="M195" s="124">
        <f t="shared" si="34"/>
        <v>3.4939999999999999E-2</v>
      </c>
      <c r="N195" s="125">
        <v>16</v>
      </c>
      <c r="O195" s="126">
        <f t="shared" si="35"/>
        <v>8.3330000000000001E-2</v>
      </c>
      <c r="P195" s="124">
        <f t="shared" si="36"/>
        <v>2.0830000000000001E-2</v>
      </c>
      <c r="Q195" s="125">
        <v>7</v>
      </c>
      <c r="R195" s="126">
        <f t="shared" si="37"/>
        <v>3.6459999999999999E-2</v>
      </c>
      <c r="S195" s="124">
        <f t="shared" si="38"/>
        <v>1.3780000000000001E-2</v>
      </c>
      <c r="T195" s="125">
        <v>8</v>
      </c>
      <c r="U195" s="126">
        <f t="shared" si="39"/>
        <v>4.1669999999999999E-2</v>
      </c>
      <c r="V195" s="124">
        <f t="shared" si="40"/>
        <v>1.473E-2</v>
      </c>
    </row>
    <row r="196" spans="1:22" s="3" customFormat="1" x14ac:dyDescent="0.3">
      <c r="A196" s="38">
        <v>1828</v>
      </c>
      <c r="B196" s="122" t="str">
        <f t="shared" si="41"/>
        <v>1828-2020</v>
      </c>
      <c r="C196" s="127">
        <v>193</v>
      </c>
      <c r="D196" s="128">
        <f t="shared" si="42"/>
        <v>7.1980000000000002E-2</v>
      </c>
      <c r="E196" s="125">
        <v>61</v>
      </c>
      <c r="F196" s="126">
        <f t="shared" si="29"/>
        <v>0.31606000000000001</v>
      </c>
      <c r="G196" s="124">
        <f t="shared" si="30"/>
        <v>4.0469999999999999E-2</v>
      </c>
      <c r="H196" s="125">
        <v>70</v>
      </c>
      <c r="I196" s="126">
        <f t="shared" si="31"/>
        <v>0.36269000000000001</v>
      </c>
      <c r="J196" s="124">
        <f t="shared" si="32"/>
        <v>4.335E-2</v>
      </c>
      <c r="K196" s="125">
        <v>45</v>
      </c>
      <c r="L196" s="126">
        <f t="shared" si="33"/>
        <v>0.23316000000000001</v>
      </c>
      <c r="M196" s="124">
        <f t="shared" si="34"/>
        <v>3.4759999999999999E-2</v>
      </c>
      <c r="N196" s="125">
        <v>16</v>
      </c>
      <c r="O196" s="126">
        <f t="shared" si="35"/>
        <v>8.2900000000000001E-2</v>
      </c>
      <c r="P196" s="124">
        <f t="shared" si="36"/>
        <v>2.0719999999999999E-2</v>
      </c>
      <c r="Q196" s="125">
        <v>7</v>
      </c>
      <c r="R196" s="126">
        <f t="shared" si="37"/>
        <v>3.6269999999999997E-2</v>
      </c>
      <c r="S196" s="124">
        <f t="shared" si="38"/>
        <v>1.371E-2</v>
      </c>
      <c r="T196" s="125">
        <v>8</v>
      </c>
      <c r="U196" s="126">
        <f t="shared" si="39"/>
        <v>4.1450000000000001E-2</v>
      </c>
      <c r="V196" s="124">
        <f t="shared" si="40"/>
        <v>1.465E-2</v>
      </c>
    </row>
    <row r="197" spans="1:22" s="3" customFormat="1" x14ac:dyDescent="0.3">
      <c r="A197" s="38">
        <v>1827</v>
      </c>
      <c r="B197" s="122" t="str">
        <f t="shared" si="41"/>
        <v>1827-2020</v>
      </c>
      <c r="C197" s="123">
        <v>194</v>
      </c>
      <c r="D197" s="124">
        <f t="shared" si="42"/>
        <v>7.1800000000000003E-2</v>
      </c>
      <c r="E197" s="125">
        <v>61</v>
      </c>
      <c r="F197" s="126">
        <f t="shared" ref="F197:F260" si="43">ROUND(E197/$C197,5)</f>
        <v>0.31442999999999999</v>
      </c>
      <c r="G197" s="124">
        <f t="shared" ref="G197:G260" si="44">ROUND(SQRT(F197)*$D197,5)</f>
        <v>4.0259999999999997E-2</v>
      </c>
      <c r="H197" s="125">
        <v>70</v>
      </c>
      <c r="I197" s="126">
        <f t="shared" ref="I197:I260" si="45">ROUND(H197/$C197,5)</f>
        <v>0.36081999999999997</v>
      </c>
      <c r="J197" s="124">
        <f t="shared" ref="J197:J260" si="46">ROUND(SQRT(I197)*$D197,5)</f>
        <v>4.3130000000000002E-2</v>
      </c>
      <c r="K197" s="125">
        <v>45</v>
      </c>
      <c r="L197" s="126">
        <f t="shared" ref="L197:L260" si="47">ROUND(K197/$C197,5)</f>
        <v>0.23196</v>
      </c>
      <c r="M197" s="124">
        <f t="shared" ref="M197:M260" si="48">ROUND(SQRT(L197)*$D197,5)</f>
        <v>3.458E-2</v>
      </c>
      <c r="N197" s="125">
        <v>16</v>
      </c>
      <c r="O197" s="126">
        <f t="shared" ref="O197:O260" si="49">ROUND(N197/$C197,5)</f>
        <v>8.2470000000000002E-2</v>
      </c>
      <c r="P197" s="124">
        <f t="shared" ref="P197:P260" si="50">ROUND(SQRT(O197)*$D197,5)</f>
        <v>2.0619999999999999E-2</v>
      </c>
      <c r="Q197" s="125">
        <v>7</v>
      </c>
      <c r="R197" s="126">
        <f t="shared" ref="R197:R260" si="51">ROUND(Q197/$C197,5)</f>
        <v>3.6080000000000001E-2</v>
      </c>
      <c r="S197" s="124">
        <f t="shared" ref="S197:S260" si="52">ROUND(SQRT(R197)*$D197,5)</f>
        <v>1.3639999999999999E-2</v>
      </c>
      <c r="T197" s="125">
        <v>8</v>
      </c>
      <c r="U197" s="126">
        <f t="shared" ref="U197:U260" si="53">ROUND(T197/$C197,5)</f>
        <v>4.1239999999999999E-2</v>
      </c>
      <c r="V197" s="124">
        <f t="shared" ref="V197:V260" si="54">ROUND(SQRT(U197)*$D197,5)</f>
        <v>1.4579999999999999E-2</v>
      </c>
    </row>
    <row r="198" spans="1:22" s="3" customFormat="1" x14ac:dyDescent="0.3">
      <c r="A198" s="38">
        <v>1826</v>
      </c>
      <c r="B198" s="122" t="str">
        <f t="shared" ref="B198:B261" si="55">A198&amp;"-2020"</f>
        <v>1826-2020</v>
      </c>
      <c r="C198" s="127">
        <v>195</v>
      </c>
      <c r="D198" s="128">
        <f t="shared" si="42"/>
        <v>7.1609999999999993E-2</v>
      </c>
      <c r="E198" s="125">
        <v>61</v>
      </c>
      <c r="F198" s="126">
        <f t="shared" si="43"/>
        <v>0.31281999999999999</v>
      </c>
      <c r="G198" s="124">
        <f t="shared" si="44"/>
        <v>4.0050000000000002E-2</v>
      </c>
      <c r="H198" s="125">
        <v>70</v>
      </c>
      <c r="I198" s="126">
        <f t="shared" si="45"/>
        <v>0.35897000000000001</v>
      </c>
      <c r="J198" s="124">
        <f t="shared" si="46"/>
        <v>4.2900000000000001E-2</v>
      </c>
      <c r="K198" s="125">
        <v>45</v>
      </c>
      <c r="L198" s="126">
        <f t="shared" si="47"/>
        <v>0.23077</v>
      </c>
      <c r="M198" s="124">
        <f t="shared" si="48"/>
        <v>3.44E-2</v>
      </c>
      <c r="N198" s="125">
        <v>16</v>
      </c>
      <c r="O198" s="126">
        <f t="shared" si="49"/>
        <v>8.2049999999999998E-2</v>
      </c>
      <c r="P198" s="124">
        <f t="shared" si="50"/>
        <v>2.051E-2</v>
      </c>
      <c r="Q198" s="125">
        <v>7</v>
      </c>
      <c r="R198" s="126">
        <f t="shared" si="51"/>
        <v>3.5900000000000001E-2</v>
      </c>
      <c r="S198" s="124">
        <f t="shared" si="52"/>
        <v>1.357E-2</v>
      </c>
      <c r="T198" s="125">
        <v>8</v>
      </c>
      <c r="U198" s="126">
        <f t="shared" si="53"/>
        <v>4.1029999999999997E-2</v>
      </c>
      <c r="V198" s="124">
        <f t="shared" si="54"/>
        <v>1.451E-2</v>
      </c>
    </row>
    <row r="199" spans="1:22" s="3" customFormat="1" x14ac:dyDescent="0.3">
      <c r="A199" s="38">
        <v>1825</v>
      </c>
      <c r="B199" s="122" t="str">
        <f t="shared" si="55"/>
        <v>1825-2020</v>
      </c>
      <c r="C199" s="123">
        <v>196</v>
      </c>
      <c r="D199" s="124">
        <f t="shared" ref="D199:D262" si="56">ROUND(1/SQRT(C199),5)</f>
        <v>7.1429999999999993E-2</v>
      </c>
      <c r="E199" s="125">
        <v>61</v>
      </c>
      <c r="F199" s="126">
        <f t="shared" si="43"/>
        <v>0.31122</v>
      </c>
      <c r="G199" s="124">
        <f t="shared" si="44"/>
        <v>3.9849999999999997E-2</v>
      </c>
      <c r="H199" s="125">
        <v>70</v>
      </c>
      <c r="I199" s="126">
        <f t="shared" si="45"/>
        <v>0.35714000000000001</v>
      </c>
      <c r="J199" s="124">
        <f t="shared" si="46"/>
        <v>4.2689999999999999E-2</v>
      </c>
      <c r="K199" s="125">
        <v>45</v>
      </c>
      <c r="L199" s="126">
        <f t="shared" si="47"/>
        <v>0.22958999999999999</v>
      </c>
      <c r="M199" s="124">
        <f t="shared" si="48"/>
        <v>3.4229999999999997E-2</v>
      </c>
      <c r="N199" s="125">
        <v>16</v>
      </c>
      <c r="O199" s="126">
        <f t="shared" si="49"/>
        <v>8.1629999999999994E-2</v>
      </c>
      <c r="P199" s="124">
        <f t="shared" si="50"/>
        <v>2.0410000000000001E-2</v>
      </c>
      <c r="Q199" s="125">
        <v>7</v>
      </c>
      <c r="R199" s="126">
        <f t="shared" si="51"/>
        <v>3.5709999999999999E-2</v>
      </c>
      <c r="S199" s="124">
        <f t="shared" si="52"/>
        <v>1.35E-2</v>
      </c>
      <c r="T199" s="125">
        <v>8</v>
      </c>
      <c r="U199" s="126">
        <f t="shared" si="53"/>
        <v>4.0820000000000002E-2</v>
      </c>
      <c r="V199" s="124">
        <f t="shared" si="54"/>
        <v>1.443E-2</v>
      </c>
    </row>
    <row r="200" spans="1:22" s="3" customFormat="1" x14ac:dyDescent="0.3">
      <c r="A200" s="38">
        <v>1824</v>
      </c>
      <c r="B200" s="122" t="str">
        <f t="shared" si="55"/>
        <v>1824-2020</v>
      </c>
      <c r="C200" s="127">
        <v>197</v>
      </c>
      <c r="D200" s="128">
        <f t="shared" si="56"/>
        <v>7.1249999999999994E-2</v>
      </c>
      <c r="E200" s="125">
        <v>61</v>
      </c>
      <c r="F200" s="126">
        <f t="shared" si="43"/>
        <v>0.30964000000000003</v>
      </c>
      <c r="G200" s="124">
        <f t="shared" si="44"/>
        <v>3.9649999999999998E-2</v>
      </c>
      <c r="H200" s="125">
        <v>70</v>
      </c>
      <c r="I200" s="126">
        <f t="shared" si="45"/>
        <v>0.35532999999999998</v>
      </c>
      <c r="J200" s="124">
        <f t="shared" si="46"/>
        <v>4.2470000000000001E-2</v>
      </c>
      <c r="K200" s="125">
        <v>45</v>
      </c>
      <c r="L200" s="126">
        <f t="shared" si="47"/>
        <v>0.22842999999999999</v>
      </c>
      <c r="M200" s="124">
        <f t="shared" si="48"/>
        <v>3.4049999999999997E-2</v>
      </c>
      <c r="N200" s="125">
        <v>16</v>
      </c>
      <c r="O200" s="126">
        <f t="shared" si="49"/>
        <v>8.1220000000000001E-2</v>
      </c>
      <c r="P200" s="124">
        <f t="shared" si="50"/>
        <v>2.0310000000000002E-2</v>
      </c>
      <c r="Q200" s="125">
        <v>7</v>
      </c>
      <c r="R200" s="126">
        <f t="shared" si="51"/>
        <v>3.5529999999999999E-2</v>
      </c>
      <c r="S200" s="124">
        <f t="shared" si="52"/>
        <v>1.3429999999999999E-2</v>
      </c>
      <c r="T200" s="125">
        <v>8</v>
      </c>
      <c r="U200" s="126">
        <f t="shared" si="53"/>
        <v>4.061E-2</v>
      </c>
      <c r="V200" s="124">
        <f t="shared" si="54"/>
        <v>1.436E-2</v>
      </c>
    </row>
    <row r="201" spans="1:22" s="3" customFormat="1" x14ac:dyDescent="0.3">
      <c r="A201" s="38">
        <v>1823</v>
      </c>
      <c r="B201" s="122" t="str">
        <f t="shared" si="55"/>
        <v>1823-2020</v>
      </c>
      <c r="C201" s="123">
        <v>198</v>
      </c>
      <c r="D201" s="124">
        <f t="shared" si="56"/>
        <v>7.1069999999999994E-2</v>
      </c>
      <c r="E201" s="125">
        <v>61</v>
      </c>
      <c r="F201" s="126">
        <f t="shared" si="43"/>
        <v>0.30808000000000002</v>
      </c>
      <c r="G201" s="124">
        <f t="shared" si="44"/>
        <v>3.9449999999999999E-2</v>
      </c>
      <c r="H201" s="125">
        <v>70</v>
      </c>
      <c r="I201" s="126">
        <f t="shared" si="45"/>
        <v>0.35354000000000002</v>
      </c>
      <c r="J201" s="124">
        <f t="shared" si="46"/>
        <v>4.2259999999999999E-2</v>
      </c>
      <c r="K201" s="125">
        <v>45</v>
      </c>
      <c r="L201" s="126">
        <f t="shared" si="47"/>
        <v>0.22727</v>
      </c>
      <c r="M201" s="124">
        <f t="shared" si="48"/>
        <v>3.388E-2</v>
      </c>
      <c r="N201" s="125">
        <v>16</v>
      </c>
      <c r="O201" s="126">
        <f t="shared" si="49"/>
        <v>8.0810000000000007E-2</v>
      </c>
      <c r="P201" s="124">
        <f t="shared" si="50"/>
        <v>2.0199999999999999E-2</v>
      </c>
      <c r="Q201" s="125">
        <v>7</v>
      </c>
      <c r="R201" s="126">
        <f t="shared" si="51"/>
        <v>3.5349999999999999E-2</v>
      </c>
      <c r="S201" s="124">
        <f t="shared" si="52"/>
        <v>1.336E-2</v>
      </c>
      <c r="T201" s="125">
        <v>8</v>
      </c>
      <c r="U201" s="126">
        <f t="shared" si="53"/>
        <v>4.0399999999999998E-2</v>
      </c>
      <c r="V201" s="124">
        <f t="shared" si="54"/>
        <v>1.4279999999999999E-2</v>
      </c>
    </row>
    <row r="202" spans="1:22" s="3" customFormat="1" x14ac:dyDescent="0.3">
      <c r="A202" s="38">
        <v>1822</v>
      </c>
      <c r="B202" s="122" t="str">
        <f t="shared" si="55"/>
        <v>1822-2020</v>
      </c>
      <c r="C202" s="127">
        <v>199</v>
      </c>
      <c r="D202" s="128">
        <f t="shared" si="56"/>
        <v>7.0889999999999995E-2</v>
      </c>
      <c r="E202" s="125">
        <v>61</v>
      </c>
      <c r="F202" s="126">
        <f t="shared" si="43"/>
        <v>0.30653000000000002</v>
      </c>
      <c r="G202" s="124">
        <f t="shared" si="44"/>
        <v>3.925E-2</v>
      </c>
      <c r="H202" s="125">
        <v>70</v>
      </c>
      <c r="I202" s="126">
        <f t="shared" si="45"/>
        <v>0.35176000000000002</v>
      </c>
      <c r="J202" s="124">
        <f t="shared" si="46"/>
        <v>4.2040000000000001E-2</v>
      </c>
      <c r="K202" s="125">
        <v>45</v>
      </c>
      <c r="L202" s="126">
        <f t="shared" si="47"/>
        <v>0.22613</v>
      </c>
      <c r="M202" s="124">
        <f t="shared" si="48"/>
        <v>3.3709999999999997E-2</v>
      </c>
      <c r="N202" s="125">
        <v>16</v>
      </c>
      <c r="O202" s="126">
        <f t="shared" si="49"/>
        <v>8.0399999999999999E-2</v>
      </c>
      <c r="P202" s="124">
        <f t="shared" si="50"/>
        <v>2.01E-2</v>
      </c>
      <c r="Q202" s="125">
        <v>7</v>
      </c>
      <c r="R202" s="126">
        <f t="shared" si="51"/>
        <v>3.5180000000000003E-2</v>
      </c>
      <c r="S202" s="124">
        <f t="shared" si="52"/>
        <v>1.3299999999999999E-2</v>
      </c>
      <c r="T202" s="125">
        <v>8</v>
      </c>
      <c r="U202" s="126">
        <f t="shared" si="53"/>
        <v>4.02E-2</v>
      </c>
      <c r="V202" s="124">
        <f t="shared" si="54"/>
        <v>1.421E-2</v>
      </c>
    </row>
    <row r="203" spans="1:22" s="3" customFormat="1" x14ac:dyDescent="0.3">
      <c r="A203" s="38">
        <v>1821</v>
      </c>
      <c r="B203" s="122" t="str">
        <f t="shared" si="55"/>
        <v>1821-2020</v>
      </c>
      <c r="C203" s="123">
        <v>200</v>
      </c>
      <c r="D203" s="124">
        <f t="shared" si="56"/>
        <v>7.0709999999999995E-2</v>
      </c>
      <c r="E203" s="125">
        <v>61</v>
      </c>
      <c r="F203" s="126">
        <f t="shared" si="43"/>
        <v>0.30499999999999999</v>
      </c>
      <c r="G203" s="124">
        <f t="shared" si="44"/>
        <v>3.9050000000000001E-2</v>
      </c>
      <c r="H203" s="125">
        <v>70</v>
      </c>
      <c r="I203" s="126">
        <f t="shared" si="45"/>
        <v>0.35</v>
      </c>
      <c r="J203" s="124">
        <f t="shared" si="46"/>
        <v>4.1829999999999999E-2</v>
      </c>
      <c r="K203" s="125">
        <v>45</v>
      </c>
      <c r="L203" s="126">
        <f t="shared" si="47"/>
        <v>0.22500000000000001</v>
      </c>
      <c r="M203" s="124">
        <f t="shared" si="48"/>
        <v>3.354E-2</v>
      </c>
      <c r="N203" s="125">
        <v>16</v>
      </c>
      <c r="O203" s="126">
        <f t="shared" si="49"/>
        <v>0.08</v>
      </c>
      <c r="P203" s="124">
        <f t="shared" si="50"/>
        <v>0.02</v>
      </c>
      <c r="Q203" s="125">
        <v>7</v>
      </c>
      <c r="R203" s="126">
        <f t="shared" si="51"/>
        <v>3.5000000000000003E-2</v>
      </c>
      <c r="S203" s="124">
        <f t="shared" si="52"/>
        <v>1.323E-2</v>
      </c>
      <c r="T203" s="125">
        <v>8</v>
      </c>
      <c r="U203" s="126">
        <f t="shared" si="53"/>
        <v>0.04</v>
      </c>
      <c r="V203" s="124">
        <f t="shared" si="54"/>
        <v>1.414E-2</v>
      </c>
    </row>
    <row r="204" spans="1:22" s="3" customFormat="1" x14ac:dyDescent="0.3">
      <c r="A204" s="38">
        <v>1820</v>
      </c>
      <c r="B204" s="122" t="str">
        <f t="shared" si="55"/>
        <v>1820-2020</v>
      </c>
      <c r="C204" s="127">
        <v>201</v>
      </c>
      <c r="D204" s="128">
        <f t="shared" si="56"/>
        <v>7.0529999999999995E-2</v>
      </c>
      <c r="E204" s="125">
        <v>61</v>
      </c>
      <c r="F204" s="126">
        <f t="shared" si="43"/>
        <v>0.30348000000000003</v>
      </c>
      <c r="G204" s="124">
        <f t="shared" si="44"/>
        <v>3.8850000000000003E-2</v>
      </c>
      <c r="H204" s="125">
        <v>70</v>
      </c>
      <c r="I204" s="126">
        <f t="shared" si="45"/>
        <v>0.34826000000000001</v>
      </c>
      <c r="J204" s="124">
        <f t="shared" si="46"/>
        <v>4.1619999999999997E-2</v>
      </c>
      <c r="K204" s="125">
        <v>45</v>
      </c>
      <c r="L204" s="126">
        <f t="shared" si="47"/>
        <v>0.22388</v>
      </c>
      <c r="M204" s="124">
        <f t="shared" si="48"/>
        <v>3.3369999999999997E-2</v>
      </c>
      <c r="N204" s="125">
        <v>16</v>
      </c>
      <c r="O204" s="126">
        <f t="shared" si="49"/>
        <v>7.9600000000000004E-2</v>
      </c>
      <c r="P204" s="124">
        <f t="shared" si="50"/>
        <v>1.9900000000000001E-2</v>
      </c>
      <c r="Q204" s="125">
        <v>7</v>
      </c>
      <c r="R204" s="126">
        <f t="shared" si="51"/>
        <v>3.483E-2</v>
      </c>
      <c r="S204" s="124">
        <f t="shared" si="52"/>
        <v>1.316E-2</v>
      </c>
      <c r="T204" s="125">
        <v>8</v>
      </c>
      <c r="U204" s="126">
        <f t="shared" si="53"/>
        <v>3.9800000000000002E-2</v>
      </c>
      <c r="V204" s="124">
        <f t="shared" si="54"/>
        <v>1.4069999999999999E-2</v>
      </c>
    </row>
    <row r="205" spans="1:22" s="3" customFormat="1" x14ac:dyDescent="0.3">
      <c r="A205" s="38">
        <v>1819</v>
      </c>
      <c r="B205" s="122" t="str">
        <f t="shared" si="55"/>
        <v>1819-2020</v>
      </c>
      <c r="C205" s="123">
        <v>202</v>
      </c>
      <c r="D205" s="124">
        <f t="shared" si="56"/>
        <v>7.0360000000000006E-2</v>
      </c>
      <c r="E205" s="125">
        <v>61</v>
      </c>
      <c r="F205" s="126">
        <f t="shared" si="43"/>
        <v>0.30198000000000003</v>
      </c>
      <c r="G205" s="124">
        <f t="shared" si="44"/>
        <v>3.866E-2</v>
      </c>
      <c r="H205" s="125">
        <v>70</v>
      </c>
      <c r="I205" s="126">
        <f t="shared" si="45"/>
        <v>0.34653</v>
      </c>
      <c r="J205" s="124">
        <f t="shared" si="46"/>
        <v>4.1419999999999998E-2</v>
      </c>
      <c r="K205" s="125">
        <v>45</v>
      </c>
      <c r="L205" s="126">
        <f t="shared" si="47"/>
        <v>0.22277</v>
      </c>
      <c r="M205" s="124">
        <f t="shared" si="48"/>
        <v>3.3210000000000003E-2</v>
      </c>
      <c r="N205" s="125">
        <v>16</v>
      </c>
      <c r="O205" s="126">
        <f t="shared" si="49"/>
        <v>7.9210000000000003E-2</v>
      </c>
      <c r="P205" s="124">
        <f t="shared" si="50"/>
        <v>1.9800000000000002E-2</v>
      </c>
      <c r="Q205" s="125">
        <v>7</v>
      </c>
      <c r="R205" s="126">
        <f t="shared" si="51"/>
        <v>3.465E-2</v>
      </c>
      <c r="S205" s="124">
        <f t="shared" si="52"/>
        <v>1.3100000000000001E-2</v>
      </c>
      <c r="T205" s="125">
        <v>8</v>
      </c>
      <c r="U205" s="126">
        <f t="shared" si="53"/>
        <v>3.9600000000000003E-2</v>
      </c>
      <c r="V205" s="124">
        <f t="shared" si="54"/>
        <v>1.4E-2</v>
      </c>
    </row>
    <row r="206" spans="1:22" s="3" customFormat="1" x14ac:dyDescent="0.3">
      <c r="A206" s="38">
        <v>1818</v>
      </c>
      <c r="B206" s="122" t="str">
        <f t="shared" si="55"/>
        <v>1818-2020</v>
      </c>
      <c r="C206" s="127">
        <v>203</v>
      </c>
      <c r="D206" s="128">
        <f t="shared" si="56"/>
        <v>7.0190000000000002E-2</v>
      </c>
      <c r="E206" s="125">
        <v>61</v>
      </c>
      <c r="F206" s="126">
        <f t="shared" si="43"/>
        <v>0.30048999999999998</v>
      </c>
      <c r="G206" s="124">
        <f t="shared" si="44"/>
        <v>3.848E-2</v>
      </c>
      <c r="H206" s="125">
        <v>70</v>
      </c>
      <c r="I206" s="126">
        <f t="shared" si="45"/>
        <v>0.34483000000000003</v>
      </c>
      <c r="J206" s="124">
        <f t="shared" si="46"/>
        <v>4.122E-2</v>
      </c>
      <c r="K206" s="125">
        <v>45</v>
      </c>
      <c r="L206" s="126">
        <f t="shared" si="47"/>
        <v>0.22167000000000001</v>
      </c>
      <c r="M206" s="124">
        <f t="shared" si="48"/>
        <v>3.3050000000000003E-2</v>
      </c>
      <c r="N206" s="125">
        <v>16</v>
      </c>
      <c r="O206" s="126">
        <f t="shared" si="49"/>
        <v>7.8820000000000001E-2</v>
      </c>
      <c r="P206" s="124">
        <f t="shared" si="50"/>
        <v>1.9709999999999998E-2</v>
      </c>
      <c r="Q206" s="125">
        <v>7</v>
      </c>
      <c r="R206" s="126">
        <f t="shared" si="51"/>
        <v>3.4479999999999997E-2</v>
      </c>
      <c r="S206" s="124">
        <f t="shared" si="52"/>
        <v>1.303E-2</v>
      </c>
      <c r="T206" s="125">
        <v>8</v>
      </c>
      <c r="U206" s="126">
        <f t="shared" si="53"/>
        <v>3.9410000000000001E-2</v>
      </c>
      <c r="V206" s="124">
        <f t="shared" si="54"/>
        <v>1.393E-2</v>
      </c>
    </row>
    <row r="207" spans="1:22" s="3" customFormat="1" x14ac:dyDescent="0.3">
      <c r="A207" s="38">
        <v>1817</v>
      </c>
      <c r="B207" s="122" t="str">
        <f t="shared" si="55"/>
        <v>1817-2020</v>
      </c>
      <c r="C207" s="123">
        <v>204</v>
      </c>
      <c r="D207" s="124">
        <f t="shared" si="56"/>
        <v>7.0010000000000003E-2</v>
      </c>
      <c r="E207" s="125">
        <v>61</v>
      </c>
      <c r="F207" s="126">
        <f t="shared" si="43"/>
        <v>0.29902000000000001</v>
      </c>
      <c r="G207" s="124">
        <f t="shared" si="44"/>
        <v>3.8280000000000002E-2</v>
      </c>
      <c r="H207" s="125">
        <v>70</v>
      </c>
      <c r="I207" s="126">
        <f t="shared" si="45"/>
        <v>0.34314</v>
      </c>
      <c r="J207" s="124">
        <f t="shared" si="46"/>
        <v>4.1009999999999998E-2</v>
      </c>
      <c r="K207" s="125">
        <v>45</v>
      </c>
      <c r="L207" s="126">
        <f t="shared" si="47"/>
        <v>0.22059000000000001</v>
      </c>
      <c r="M207" s="124">
        <f t="shared" si="48"/>
        <v>3.288E-2</v>
      </c>
      <c r="N207" s="125">
        <v>16</v>
      </c>
      <c r="O207" s="126">
        <f t="shared" si="49"/>
        <v>7.843E-2</v>
      </c>
      <c r="P207" s="124">
        <f t="shared" si="50"/>
        <v>1.9609999999999999E-2</v>
      </c>
      <c r="Q207" s="125">
        <v>7</v>
      </c>
      <c r="R207" s="126">
        <f t="shared" si="51"/>
        <v>3.431E-2</v>
      </c>
      <c r="S207" s="124">
        <f t="shared" si="52"/>
        <v>1.2970000000000001E-2</v>
      </c>
      <c r="T207" s="125">
        <v>8</v>
      </c>
      <c r="U207" s="126">
        <f t="shared" si="53"/>
        <v>3.9219999999999998E-2</v>
      </c>
      <c r="V207" s="124">
        <f t="shared" si="54"/>
        <v>1.3860000000000001E-2</v>
      </c>
    </row>
    <row r="208" spans="1:22" s="3" customFormat="1" x14ac:dyDescent="0.3">
      <c r="A208" s="38">
        <v>1816</v>
      </c>
      <c r="B208" s="122" t="str">
        <f t="shared" si="55"/>
        <v>1816-2020</v>
      </c>
      <c r="C208" s="127">
        <v>205</v>
      </c>
      <c r="D208" s="128">
        <f t="shared" si="56"/>
        <v>6.9839999999999999E-2</v>
      </c>
      <c r="E208" s="125">
        <v>61</v>
      </c>
      <c r="F208" s="126">
        <f t="shared" si="43"/>
        <v>0.29755999999999999</v>
      </c>
      <c r="G208" s="124">
        <f t="shared" si="44"/>
        <v>3.8100000000000002E-2</v>
      </c>
      <c r="H208" s="125">
        <v>70</v>
      </c>
      <c r="I208" s="126">
        <f t="shared" si="45"/>
        <v>0.34145999999999999</v>
      </c>
      <c r="J208" s="124">
        <f t="shared" si="46"/>
        <v>4.0809999999999999E-2</v>
      </c>
      <c r="K208" s="125">
        <v>45</v>
      </c>
      <c r="L208" s="126">
        <f t="shared" si="47"/>
        <v>0.21951000000000001</v>
      </c>
      <c r="M208" s="124">
        <f t="shared" si="48"/>
        <v>3.2719999999999999E-2</v>
      </c>
      <c r="N208" s="125">
        <v>16</v>
      </c>
      <c r="O208" s="126">
        <f t="shared" si="49"/>
        <v>7.8049999999999994E-2</v>
      </c>
      <c r="P208" s="124">
        <f t="shared" si="50"/>
        <v>1.951E-2</v>
      </c>
      <c r="Q208" s="125">
        <v>7</v>
      </c>
      <c r="R208" s="126">
        <f t="shared" si="51"/>
        <v>3.415E-2</v>
      </c>
      <c r="S208" s="124">
        <f t="shared" si="52"/>
        <v>1.291E-2</v>
      </c>
      <c r="T208" s="125">
        <v>8</v>
      </c>
      <c r="U208" s="126">
        <f t="shared" si="53"/>
        <v>3.9019999999999999E-2</v>
      </c>
      <c r="V208" s="124">
        <f t="shared" si="54"/>
        <v>1.38E-2</v>
      </c>
    </row>
    <row r="209" spans="1:22" s="3" customFormat="1" x14ac:dyDescent="0.3">
      <c r="A209" s="38">
        <v>1815</v>
      </c>
      <c r="B209" s="122" t="str">
        <f t="shared" si="55"/>
        <v>1815-2020</v>
      </c>
      <c r="C209" s="123">
        <v>206</v>
      </c>
      <c r="D209" s="124">
        <f t="shared" si="56"/>
        <v>6.9669999999999996E-2</v>
      </c>
      <c r="E209" s="125">
        <v>61</v>
      </c>
      <c r="F209" s="126">
        <f t="shared" si="43"/>
        <v>0.29611999999999999</v>
      </c>
      <c r="G209" s="124">
        <f t="shared" si="44"/>
        <v>3.7909999999999999E-2</v>
      </c>
      <c r="H209" s="125">
        <v>70</v>
      </c>
      <c r="I209" s="126">
        <f t="shared" si="45"/>
        <v>0.33981</v>
      </c>
      <c r="J209" s="124">
        <f t="shared" si="46"/>
        <v>4.061E-2</v>
      </c>
      <c r="K209" s="125">
        <v>45</v>
      </c>
      <c r="L209" s="126">
        <f t="shared" si="47"/>
        <v>0.21845000000000001</v>
      </c>
      <c r="M209" s="124">
        <f t="shared" si="48"/>
        <v>3.2559999999999999E-2</v>
      </c>
      <c r="N209" s="125">
        <v>16</v>
      </c>
      <c r="O209" s="126">
        <f t="shared" si="49"/>
        <v>7.7670000000000003E-2</v>
      </c>
      <c r="P209" s="124">
        <f t="shared" si="50"/>
        <v>1.942E-2</v>
      </c>
      <c r="Q209" s="125">
        <v>7</v>
      </c>
      <c r="R209" s="126">
        <f t="shared" si="51"/>
        <v>3.3980000000000003E-2</v>
      </c>
      <c r="S209" s="124">
        <f t="shared" si="52"/>
        <v>1.2840000000000001E-2</v>
      </c>
      <c r="T209" s="125">
        <v>8</v>
      </c>
      <c r="U209" s="126">
        <f t="shared" si="53"/>
        <v>3.8830000000000003E-2</v>
      </c>
      <c r="V209" s="124">
        <f t="shared" si="54"/>
        <v>1.3729999999999999E-2</v>
      </c>
    </row>
    <row r="210" spans="1:22" s="3" customFormat="1" x14ac:dyDescent="0.3">
      <c r="A210" s="38">
        <v>1814</v>
      </c>
      <c r="B210" s="122" t="str">
        <f t="shared" si="55"/>
        <v>1814-2020</v>
      </c>
      <c r="C210" s="127">
        <v>207</v>
      </c>
      <c r="D210" s="128">
        <f t="shared" si="56"/>
        <v>6.9500000000000006E-2</v>
      </c>
      <c r="E210" s="125">
        <v>61</v>
      </c>
      <c r="F210" s="126">
        <f t="shared" si="43"/>
        <v>0.29469000000000001</v>
      </c>
      <c r="G210" s="124">
        <f t="shared" si="44"/>
        <v>3.773E-2</v>
      </c>
      <c r="H210" s="125">
        <v>70</v>
      </c>
      <c r="I210" s="126">
        <f t="shared" si="45"/>
        <v>0.33816000000000002</v>
      </c>
      <c r="J210" s="124">
        <f t="shared" si="46"/>
        <v>4.0419999999999998E-2</v>
      </c>
      <c r="K210" s="125">
        <v>45</v>
      </c>
      <c r="L210" s="126">
        <f t="shared" si="47"/>
        <v>0.21739</v>
      </c>
      <c r="M210" s="124">
        <f t="shared" si="48"/>
        <v>3.2399999999999998E-2</v>
      </c>
      <c r="N210" s="125">
        <v>16</v>
      </c>
      <c r="O210" s="126">
        <f t="shared" si="49"/>
        <v>7.7289999999999998E-2</v>
      </c>
      <c r="P210" s="124">
        <f t="shared" si="50"/>
        <v>1.932E-2</v>
      </c>
      <c r="Q210" s="125">
        <v>7</v>
      </c>
      <c r="R210" s="126">
        <f t="shared" si="51"/>
        <v>3.3820000000000003E-2</v>
      </c>
      <c r="S210" s="124">
        <f t="shared" si="52"/>
        <v>1.278E-2</v>
      </c>
      <c r="T210" s="125">
        <v>8</v>
      </c>
      <c r="U210" s="126">
        <f t="shared" si="53"/>
        <v>3.8649999999999997E-2</v>
      </c>
      <c r="V210" s="124">
        <f t="shared" si="54"/>
        <v>1.366E-2</v>
      </c>
    </row>
    <row r="211" spans="1:22" s="3" customFormat="1" x14ac:dyDescent="0.3">
      <c r="A211" s="38">
        <v>1813</v>
      </c>
      <c r="B211" s="122" t="str">
        <f t="shared" si="55"/>
        <v>1813-2020</v>
      </c>
      <c r="C211" s="123">
        <v>208</v>
      </c>
      <c r="D211" s="124">
        <f t="shared" si="56"/>
        <v>6.9339999999999999E-2</v>
      </c>
      <c r="E211" s="125">
        <v>61</v>
      </c>
      <c r="F211" s="126">
        <f t="shared" si="43"/>
        <v>0.29326999999999998</v>
      </c>
      <c r="G211" s="124">
        <f t="shared" si="44"/>
        <v>3.755E-2</v>
      </c>
      <c r="H211" s="125">
        <v>70</v>
      </c>
      <c r="I211" s="126">
        <f t="shared" si="45"/>
        <v>0.33654000000000001</v>
      </c>
      <c r="J211" s="124">
        <f t="shared" si="46"/>
        <v>4.0230000000000002E-2</v>
      </c>
      <c r="K211" s="125">
        <v>45</v>
      </c>
      <c r="L211" s="126">
        <f t="shared" si="47"/>
        <v>0.21634999999999999</v>
      </c>
      <c r="M211" s="124">
        <f t="shared" si="48"/>
        <v>3.2250000000000001E-2</v>
      </c>
      <c r="N211" s="125">
        <v>16</v>
      </c>
      <c r="O211" s="126">
        <f t="shared" si="49"/>
        <v>7.6920000000000002E-2</v>
      </c>
      <c r="P211" s="124">
        <f t="shared" si="50"/>
        <v>1.9230000000000001E-2</v>
      </c>
      <c r="Q211" s="125">
        <v>7</v>
      </c>
      <c r="R211" s="126">
        <f t="shared" si="51"/>
        <v>3.3649999999999999E-2</v>
      </c>
      <c r="S211" s="124">
        <f t="shared" si="52"/>
        <v>1.272E-2</v>
      </c>
      <c r="T211" s="125">
        <v>8</v>
      </c>
      <c r="U211" s="126">
        <f t="shared" si="53"/>
        <v>3.8460000000000001E-2</v>
      </c>
      <c r="V211" s="124">
        <f t="shared" si="54"/>
        <v>1.3599999999999999E-2</v>
      </c>
    </row>
    <row r="212" spans="1:22" s="3" customFormat="1" x14ac:dyDescent="0.3">
      <c r="A212" s="38">
        <v>1812</v>
      </c>
      <c r="B212" s="122" t="str">
        <f t="shared" si="55"/>
        <v>1812-2020</v>
      </c>
      <c r="C212" s="127">
        <v>209</v>
      </c>
      <c r="D212" s="128">
        <f t="shared" si="56"/>
        <v>6.9169999999999995E-2</v>
      </c>
      <c r="E212" s="125">
        <v>61</v>
      </c>
      <c r="F212" s="126">
        <f t="shared" si="43"/>
        <v>0.29187000000000002</v>
      </c>
      <c r="G212" s="124">
        <f t="shared" si="44"/>
        <v>3.737E-2</v>
      </c>
      <c r="H212" s="125">
        <v>70</v>
      </c>
      <c r="I212" s="126">
        <f t="shared" si="45"/>
        <v>0.33493000000000001</v>
      </c>
      <c r="J212" s="124">
        <f t="shared" si="46"/>
        <v>4.0030000000000003E-2</v>
      </c>
      <c r="K212" s="125">
        <v>45</v>
      </c>
      <c r="L212" s="126">
        <f t="shared" si="47"/>
        <v>0.21531</v>
      </c>
      <c r="M212" s="124">
        <f t="shared" si="48"/>
        <v>3.2099999999999997E-2</v>
      </c>
      <c r="N212" s="125">
        <v>16</v>
      </c>
      <c r="O212" s="126">
        <f t="shared" si="49"/>
        <v>7.6560000000000003E-2</v>
      </c>
      <c r="P212" s="124">
        <f t="shared" si="50"/>
        <v>1.9140000000000001E-2</v>
      </c>
      <c r="Q212" s="125">
        <v>7</v>
      </c>
      <c r="R212" s="126">
        <f t="shared" si="51"/>
        <v>3.3489999999999999E-2</v>
      </c>
      <c r="S212" s="124">
        <f t="shared" si="52"/>
        <v>1.2659999999999999E-2</v>
      </c>
      <c r="T212" s="125">
        <v>8</v>
      </c>
      <c r="U212" s="126">
        <f t="shared" si="53"/>
        <v>3.8280000000000002E-2</v>
      </c>
      <c r="V212" s="124">
        <f t="shared" si="54"/>
        <v>1.353E-2</v>
      </c>
    </row>
    <row r="213" spans="1:22" s="3" customFormat="1" x14ac:dyDescent="0.3">
      <c r="A213" s="38">
        <v>1811</v>
      </c>
      <c r="B213" s="122" t="str">
        <f t="shared" si="55"/>
        <v>1811-2020</v>
      </c>
      <c r="C213" s="123">
        <v>210</v>
      </c>
      <c r="D213" s="124">
        <f t="shared" si="56"/>
        <v>6.9010000000000002E-2</v>
      </c>
      <c r="E213" s="125">
        <v>61</v>
      </c>
      <c r="F213" s="126">
        <f t="shared" si="43"/>
        <v>0.29048000000000002</v>
      </c>
      <c r="G213" s="124">
        <f t="shared" si="44"/>
        <v>3.7190000000000001E-2</v>
      </c>
      <c r="H213" s="125">
        <v>70</v>
      </c>
      <c r="I213" s="126">
        <f t="shared" si="45"/>
        <v>0.33333000000000002</v>
      </c>
      <c r="J213" s="124">
        <f t="shared" si="46"/>
        <v>3.984E-2</v>
      </c>
      <c r="K213" s="125">
        <v>45</v>
      </c>
      <c r="L213" s="126">
        <f t="shared" si="47"/>
        <v>0.21429000000000001</v>
      </c>
      <c r="M213" s="124">
        <f t="shared" si="48"/>
        <v>3.1949999999999999E-2</v>
      </c>
      <c r="N213" s="125">
        <v>16</v>
      </c>
      <c r="O213" s="126">
        <f t="shared" si="49"/>
        <v>7.6189999999999994E-2</v>
      </c>
      <c r="P213" s="124">
        <f t="shared" si="50"/>
        <v>1.9050000000000001E-2</v>
      </c>
      <c r="Q213" s="125">
        <v>7</v>
      </c>
      <c r="R213" s="126">
        <f t="shared" si="51"/>
        <v>3.3329999999999999E-2</v>
      </c>
      <c r="S213" s="124">
        <f t="shared" si="52"/>
        <v>1.26E-2</v>
      </c>
      <c r="T213" s="125">
        <v>8</v>
      </c>
      <c r="U213" s="126">
        <f t="shared" si="53"/>
        <v>3.8100000000000002E-2</v>
      </c>
      <c r="V213" s="124">
        <f t="shared" si="54"/>
        <v>1.3469999999999999E-2</v>
      </c>
    </row>
    <row r="214" spans="1:22" s="3" customFormat="1" x14ac:dyDescent="0.3">
      <c r="A214" s="38">
        <v>1810</v>
      </c>
      <c r="B214" s="122" t="str">
        <f t="shared" si="55"/>
        <v>1810-2020</v>
      </c>
      <c r="C214" s="127">
        <v>211</v>
      </c>
      <c r="D214" s="128">
        <f t="shared" si="56"/>
        <v>6.8839999999999998E-2</v>
      </c>
      <c r="E214" s="125">
        <v>61</v>
      </c>
      <c r="F214" s="126">
        <f t="shared" si="43"/>
        <v>0.28910000000000002</v>
      </c>
      <c r="G214" s="124">
        <f t="shared" si="44"/>
        <v>3.7010000000000001E-2</v>
      </c>
      <c r="H214" s="125">
        <v>70</v>
      </c>
      <c r="I214" s="126">
        <f t="shared" si="45"/>
        <v>0.33174999999999999</v>
      </c>
      <c r="J214" s="124">
        <f t="shared" si="46"/>
        <v>3.9649999999999998E-2</v>
      </c>
      <c r="K214" s="125">
        <v>45</v>
      </c>
      <c r="L214" s="126">
        <f t="shared" si="47"/>
        <v>0.21326999999999999</v>
      </c>
      <c r="M214" s="124">
        <f t="shared" si="48"/>
        <v>3.1789999999999999E-2</v>
      </c>
      <c r="N214" s="125">
        <v>16</v>
      </c>
      <c r="O214" s="126">
        <f t="shared" si="49"/>
        <v>7.5829999999999995E-2</v>
      </c>
      <c r="P214" s="124">
        <f t="shared" si="50"/>
        <v>1.8960000000000001E-2</v>
      </c>
      <c r="Q214" s="125">
        <v>7</v>
      </c>
      <c r="R214" s="126">
        <f t="shared" si="51"/>
        <v>3.3180000000000001E-2</v>
      </c>
      <c r="S214" s="124">
        <f t="shared" si="52"/>
        <v>1.2540000000000001E-2</v>
      </c>
      <c r="T214" s="125">
        <v>8</v>
      </c>
      <c r="U214" s="126">
        <f t="shared" si="53"/>
        <v>3.7909999999999999E-2</v>
      </c>
      <c r="V214" s="124">
        <f t="shared" si="54"/>
        <v>1.34E-2</v>
      </c>
    </row>
    <row r="215" spans="1:22" s="3" customFormat="1" x14ac:dyDescent="0.3">
      <c r="A215" s="38">
        <v>1809</v>
      </c>
      <c r="B215" s="122" t="str">
        <f t="shared" si="55"/>
        <v>1809-2020</v>
      </c>
      <c r="C215" s="123">
        <v>212</v>
      </c>
      <c r="D215" s="124">
        <f t="shared" si="56"/>
        <v>6.8680000000000005E-2</v>
      </c>
      <c r="E215" s="125">
        <v>61</v>
      </c>
      <c r="F215" s="126">
        <f t="shared" si="43"/>
        <v>0.28774</v>
      </c>
      <c r="G215" s="124">
        <f t="shared" si="44"/>
        <v>3.6839999999999998E-2</v>
      </c>
      <c r="H215" s="125">
        <v>70</v>
      </c>
      <c r="I215" s="126">
        <f t="shared" si="45"/>
        <v>0.33018999999999998</v>
      </c>
      <c r="J215" s="124">
        <f t="shared" si="46"/>
        <v>3.9469999999999998E-2</v>
      </c>
      <c r="K215" s="125">
        <v>45</v>
      </c>
      <c r="L215" s="126">
        <f t="shared" si="47"/>
        <v>0.21226</v>
      </c>
      <c r="M215" s="124">
        <f t="shared" si="48"/>
        <v>3.1640000000000001E-2</v>
      </c>
      <c r="N215" s="125">
        <v>16</v>
      </c>
      <c r="O215" s="126">
        <f t="shared" si="49"/>
        <v>7.5469999999999995E-2</v>
      </c>
      <c r="P215" s="124">
        <f t="shared" si="50"/>
        <v>1.8870000000000001E-2</v>
      </c>
      <c r="Q215" s="125">
        <v>7</v>
      </c>
      <c r="R215" s="126">
        <f t="shared" si="51"/>
        <v>3.3020000000000001E-2</v>
      </c>
      <c r="S215" s="124">
        <f t="shared" si="52"/>
        <v>1.248E-2</v>
      </c>
      <c r="T215" s="125">
        <v>8</v>
      </c>
      <c r="U215" s="126">
        <f t="shared" si="53"/>
        <v>3.7740000000000003E-2</v>
      </c>
      <c r="V215" s="124">
        <f t="shared" si="54"/>
        <v>1.3339999999999999E-2</v>
      </c>
    </row>
    <row r="216" spans="1:22" s="3" customFormat="1" x14ac:dyDescent="0.3">
      <c r="A216" s="38">
        <v>1808</v>
      </c>
      <c r="B216" s="122" t="str">
        <f t="shared" si="55"/>
        <v>1808-2020</v>
      </c>
      <c r="C216" s="127">
        <v>213</v>
      </c>
      <c r="D216" s="128">
        <f t="shared" si="56"/>
        <v>6.8519999999999998E-2</v>
      </c>
      <c r="E216" s="125">
        <v>61</v>
      </c>
      <c r="F216" s="126">
        <f t="shared" si="43"/>
        <v>0.28638000000000002</v>
      </c>
      <c r="G216" s="124">
        <f t="shared" si="44"/>
        <v>3.6670000000000001E-2</v>
      </c>
      <c r="H216" s="125">
        <v>71</v>
      </c>
      <c r="I216" s="126">
        <f t="shared" si="45"/>
        <v>0.33333000000000002</v>
      </c>
      <c r="J216" s="124">
        <f t="shared" si="46"/>
        <v>3.9559999999999998E-2</v>
      </c>
      <c r="K216" s="125">
        <v>45</v>
      </c>
      <c r="L216" s="126">
        <f t="shared" si="47"/>
        <v>0.21127000000000001</v>
      </c>
      <c r="M216" s="124">
        <f t="shared" si="48"/>
        <v>3.1489999999999997E-2</v>
      </c>
      <c r="N216" s="125">
        <v>16</v>
      </c>
      <c r="O216" s="126">
        <f t="shared" si="49"/>
        <v>7.5120000000000006E-2</v>
      </c>
      <c r="P216" s="124">
        <f t="shared" si="50"/>
        <v>1.8780000000000002E-2</v>
      </c>
      <c r="Q216" s="125">
        <v>7</v>
      </c>
      <c r="R216" s="126">
        <f t="shared" si="51"/>
        <v>3.286E-2</v>
      </c>
      <c r="S216" s="124">
        <f t="shared" si="52"/>
        <v>1.242E-2</v>
      </c>
      <c r="T216" s="125">
        <v>8</v>
      </c>
      <c r="U216" s="126">
        <f t="shared" si="53"/>
        <v>3.7560000000000003E-2</v>
      </c>
      <c r="V216" s="124">
        <f t="shared" si="54"/>
        <v>1.328E-2</v>
      </c>
    </row>
    <row r="217" spans="1:22" s="3" customFormat="1" x14ac:dyDescent="0.3">
      <c r="A217" s="38">
        <v>1807</v>
      </c>
      <c r="B217" s="122" t="str">
        <f t="shared" si="55"/>
        <v>1807-2020</v>
      </c>
      <c r="C217" s="123">
        <v>214</v>
      </c>
      <c r="D217" s="124">
        <f t="shared" si="56"/>
        <v>6.8360000000000004E-2</v>
      </c>
      <c r="E217" s="125">
        <v>61</v>
      </c>
      <c r="F217" s="126">
        <f t="shared" si="43"/>
        <v>0.28505000000000003</v>
      </c>
      <c r="G217" s="124">
        <f t="shared" si="44"/>
        <v>3.6499999999999998E-2</v>
      </c>
      <c r="H217" s="125">
        <v>71</v>
      </c>
      <c r="I217" s="126">
        <f t="shared" si="45"/>
        <v>0.33178000000000002</v>
      </c>
      <c r="J217" s="124">
        <f t="shared" si="46"/>
        <v>3.9379999999999998E-2</v>
      </c>
      <c r="K217" s="125">
        <v>45</v>
      </c>
      <c r="L217" s="126">
        <f t="shared" si="47"/>
        <v>0.21027999999999999</v>
      </c>
      <c r="M217" s="124">
        <f t="shared" si="48"/>
        <v>3.1350000000000003E-2</v>
      </c>
      <c r="N217" s="125">
        <v>16</v>
      </c>
      <c r="O217" s="126">
        <f t="shared" si="49"/>
        <v>7.4770000000000003E-2</v>
      </c>
      <c r="P217" s="124">
        <f t="shared" si="50"/>
        <v>1.8689999999999998E-2</v>
      </c>
      <c r="Q217" s="125">
        <v>7</v>
      </c>
      <c r="R217" s="126">
        <f t="shared" si="51"/>
        <v>3.2710000000000003E-2</v>
      </c>
      <c r="S217" s="124">
        <f t="shared" si="52"/>
        <v>1.2359999999999999E-2</v>
      </c>
      <c r="T217" s="125">
        <v>8</v>
      </c>
      <c r="U217" s="126">
        <f t="shared" si="53"/>
        <v>3.7379999999999997E-2</v>
      </c>
      <c r="V217" s="124">
        <f t="shared" si="54"/>
        <v>1.3220000000000001E-2</v>
      </c>
    </row>
    <row r="218" spans="1:22" s="3" customFormat="1" x14ac:dyDescent="0.3">
      <c r="A218" s="38">
        <v>1806</v>
      </c>
      <c r="B218" s="122" t="str">
        <f t="shared" si="55"/>
        <v>1806-2020</v>
      </c>
      <c r="C218" s="127">
        <v>215</v>
      </c>
      <c r="D218" s="128">
        <f t="shared" si="56"/>
        <v>6.8199999999999997E-2</v>
      </c>
      <c r="E218" s="125">
        <v>61</v>
      </c>
      <c r="F218" s="126">
        <f t="shared" si="43"/>
        <v>0.28372000000000003</v>
      </c>
      <c r="G218" s="124">
        <f t="shared" si="44"/>
        <v>3.6330000000000001E-2</v>
      </c>
      <c r="H218" s="125">
        <v>71</v>
      </c>
      <c r="I218" s="126">
        <f t="shared" si="45"/>
        <v>0.33023000000000002</v>
      </c>
      <c r="J218" s="124">
        <f t="shared" si="46"/>
        <v>3.9190000000000003E-2</v>
      </c>
      <c r="K218" s="125">
        <v>45</v>
      </c>
      <c r="L218" s="126">
        <f t="shared" si="47"/>
        <v>0.20930000000000001</v>
      </c>
      <c r="M218" s="124">
        <f t="shared" si="48"/>
        <v>3.1199999999999999E-2</v>
      </c>
      <c r="N218" s="125">
        <v>16</v>
      </c>
      <c r="O218" s="126">
        <f t="shared" si="49"/>
        <v>7.442E-2</v>
      </c>
      <c r="P218" s="124">
        <f t="shared" si="50"/>
        <v>1.8599999999999998E-2</v>
      </c>
      <c r="Q218" s="125">
        <v>7</v>
      </c>
      <c r="R218" s="126">
        <f t="shared" si="51"/>
        <v>3.2559999999999999E-2</v>
      </c>
      <c r="S218" s="124">
        <f t="shared" si="52"/>
        <v>1.231E-2</v>
      </c>
      <c r="T218" s="125">
        <v>8</v>
      </c>
      <c r="U218" s="126">
        <f t="shared" si="53"/>
        <v>3.721E-2</v>
      </c>
      <c r="V218" s="124">
        <f t="shared" si="54"/>
        <v>1.316E-2</v>
      </c>
    </row>
    <row r="219" spans="1:22" s="3" customFormat="1" x14ac:dyDescent="0.3">
      <c r="A219" s="38">
        <v>1805</v>
      </c>
      <c r="B219" s="122" t="str">
        <f t="shared" si="55"/>
        <v>1805-2020</v>
      </c>
      <c r="C219" s="123">
        <v>216</v>
      </c>
      <c r="D219" s="124">
        <f t="shared" si="56"/>
        <v>6.8040000000000003E-2</v>
      </c>
      <c r="E219" s="125">
        <v>61</v>
      </c>
      <c r="F219" s="126">
        <f t="shared" si="43"/>
        <v>0.28240999999999999</v>
      </c>
      <c r="G219" s="124">
        <f t="shared" si="44"/>
        <v>3.6159999999999998E-2</v>
      </c>
      <c r="H219" s="125">
        <v>71</v>
      </c>
      <c r="I219" s="126">
        <f t="shared" si="45"/>
        <v>0.32869999999999999</v>
      </c>
      <c r="J219" s="124">
        <f t="shared" si="46"/>
        <v>3.9010000000000003E-2</v>
      </c>
      <c r="K219" s="125">
        <v>45</v>
      </c>
      <c r="L219" s="126">
        <f t="shared" si="47"/>
        <v>0.20832999999999999</v>
      </c>
      <c r="M219" s="124">
        <f t="shared" si="48"/>
        <v>3.1060000000000001E-2</v>
      </c>
      <c r="N219" s="125">
        <v>16</v>
      </c>
      <c r="O219" s="126">
        <f t="shared" si="49"/>
        <v>7.4069999999999997E-2</v>
      </c>
      <c r="P219" s="124">
        <f t="shared" si="50"/>
        <v>1.8519999999999998E-2</v>
      </c>
      <c r="Q219" s="125">
        <v>7</v>
      </c>
      <c r="R219" s="126">
        <f t="shared" si="51"/>
        <v>3.2410000000000001E-2</v>
      </c>
      <c r="S219" s="124">
        <f t="shared" si="52"/>
        <v>1.225E-2</v>
      </c>
      <c r="T219" s="125">
        <v>8</v>
      </c>
      <c r="U219" s="126">
        <f t="shared" si="53"/>
        <v>3.7039999999999997E-2</v>
      </c>
      <c r="V219" s="124">
        <f t="shared" si="54"/>
        <v>1.3089999999999999E-2</v>
      </c>
    </row>
    <row r="220" spans="1:22" s="3" customFormat="1" x14ac:dyDescent="0.3">
      <c r="A220" s="38">
        <v>1804</v>
      </c>
      <c r="B220" s="122" t="str">
        <f t="shared" si="55"/>
        <v>1804-2020</v>
      </c>
      <c r="C220" s="127">
        <v>217</v>
      </c>
      <c r="D220" s="128">
        <f t="shared" si="56"/>
        <v>6.7879999999999996E-2</v>
      </c>
      <c r="E220" s="125">
        <v>61</v>
      </c>
      <c r="F220" s="126">
        <f t="shared" si="43"/>
        <v>0.28111000000000003</v>
      </c>
      <c r="G220" s="124">
        <f t="shared" si="44"/>
        <v>3.5990000000000001E-2</v>
      </c>
      <c r="H220" s="125">
        <v>71</v>
      </c>
      <c r="I220" s="126">
        <f t="shared" si="45"/>
        <v>0.32718999999999998</v>
      </c>
      <c r="J220" s="124">
        <f t="shared" si="46"/>
        <v>3.8830000000000003E-2</v>
      </c>
      <c r="K220" s="125">
        <v>45</v>
      </c>
      <c r="L220" s="126">
        <f t="shared" si="47"/>
        <v>0.20737</v>
      </c>
      <c r="M220" s="124">
        <f t="shared" si="48"/>
        <v>3.091E-2</v>
      </c>
      <c r="N220" s="125">
        <v>16</v>
      </c>
      <c r="O220" s="126">
        <f t="shared" si="49"/>
        <v>7.3730000000000004E-2</v>
      </c>
      <c r="P220" s="124">
        <f t="shared" si="50"/>
        <v>1.8429999999999998E-2</v>
      </c>
      <c r="Q220" s="125">
        <v>7</v>
      </c>
      <c r="R220" s="126">
        <f t="shared" si="51"/>
        <v>3.2259999999999997E-2</v>
      </c>
      <c r="S220" s="124">
        <f t="shared" si="52"/>
        <v>1.2189999999999999E-2</v>
      </c>
      <c r="T220" s="125">
        <v>8</v>
      </c>
      <c r="U220" s="126">
        <f t="shared" si="53"/>
        <v>3.687E-2</v>
      </c>
      <c r="V220" s="124">
        <f t="shared" si="54"/>
        <v>1.303E-2</v>
      </c>
    </row>
    <row r="221" spans="1:22" s="3" customFormat="1" x14ac:dyDescent="0.3">
      <c r="A221" s="38">
        <v>1803</v>
      </c>
      <c r="B221" s="122" t="str">
        <f t="shared" si="55"/>
        <v>1803-2020</v>
      </c>
      <c r="C221" s="123">
        <v>218</v>
      </c>
      <c r="D221" s="124">
        <f t="shared" si="56"/>
        <v>6.7729999999999999E-2</v>
      </c>
      <c r="E221" s="125">
        <v>61</v>
      </c>
      <c r="F221" s="126">
        <f t="shared" si="43"/>
        <v>0.27982000000000001</v>
      </c>
      <c r="G221" s="124">
        <f t="shared" si="44"/>
        <v>3.5830000000000001E-2</v>
      </c>
      <c r="H221" s="125">
        <v>71</v>
      </c>
      <c r="I221" s="126">
        <f t="shared" si="45"/>
        <v>0.32568999999999998</v>
      </c>
      <c r="J221" s="124">
        <f t="shared" si="46"/>
        <v>3.8649999999999997E-2</v>
      </c>
      <c r="K221" s="125">
        <v>45</v>
      </c>
      <c r="L221" s="126">
        <f t="shared" si="47"/>
        <v>0.20641999999999999</v>
      </c>
      <c r="M221" s="124">
        <f t="shared" si="48"/>
        <v>3.0769999999999999E-2</v>
      </c>
      <c r="N221" s="125">
        <v>16</v>
      </c>
      <c r="O221" s="126">
        <f t="shared" si="49"/>
        <v>7.3389999999999997E-2</v>
      </c>
      <c r="P221" s="124">
        <f t="shared" si="50"/>
        <v>1.8350000000000002E-2</v>
      </c>
      <c r="Q221" s="125">
        <v>7</v>
      </c>
      <c r="R221" s="126">
        <f t="shared" si="51"/>
        <v>3.211E-2</v>
      </c>
      <c r="S221" s="124">
        <f t="shared" si="52"/>
        <v>1.214E-2</v>
      </c>
      <c r="T221" s="125">
        <v>8</v>
      </c>
      <c r="U221" s="126">
        <f t="shared" si="53"/>
        <v>3.6700000000000003E-2</v>
      </c>
      <c r="V221" s="124">
        <f t="shared" si="54"/>
        <v>1.298E-2</v>
      </c>
    </row>
    <row r="222" spans="1:22" s="3" customFormat="1" x14ac:dyDescent="0.3">
      <c r="A222" s="38">
        <v>1802</v>
      </c>
      <c r="B222" s="122" t="str">
        <f t="shared" si="55"/>
        <v>1802-2020</v>
      </c>
      <c r="C222" s="127">
        <v>219</v>
      </c>
      <c r="D222" s="128">
        <f t="shared" si="56"/>
        <v>6.7570000000000005E-2</v>
      </c>
      <c r="E222" s="125">
        <v>61</v>
      </c>
      <c r="F222" s="126">
        <f t="shared" si="43"/>
        <v>0.27854000000000001</v>
      </c>
      <c r="G222" s="124">
        <f t="shared" si="44"/>
        <v>3.5659999999999997E-2</v>
      </c>
      <c r="H222" s="125">
        <v>71</v>
      </c>
      <c r="I222" s="126">
        <f t="shared" si="45"/>
        <v>0.32419999999999999</v>
      </c>
      <c r="J222" s="124">
        <f t="shared" si="46"/>
        <v>3.8469999999999997E-2</v>
      </c>
      <c r="K222" s="125">
        <v>45</v>
      </c>
      <c r="L222" s="126">
        <f t="shared" si="47"/>
        <v>0.20548</v>
      </c>
      <c r="M222" s="124">
        <f t="shared" si="48"/>
        <v>3.0630000000000001E-2</v>
      </c>
      <c r="N222" s="125">
        <v>16</v>
      </c>
      <c r="O222" s="126">
        <f t="shared" si="49"/>
        <v>7.306E-2</v>
      </c>
      <c r="P222" s="124">
        <f t="shared" si="50"/>
        <v>1.8259999999999998E-2</v>
      </c>
      <c r="Q222" s="125">
        <v>7</v>
      </c>
      <c r="R222" s="126">
        <f t="shared" si="51"/>
        <v>3.1960000000000002E-2</v>
      </c>
      <c r="S222" s="124">
        <f t="shared" si="52"/>
        <v>1.208E-2</v>
      </c>
      <c r="T222" s="125">
        <v>8</v>
      </c>
      <c r="U222" s="126">
        <f t="shared" si="53"/>
        <v>3.653E-2</v>
      </c>
      <c r="V222" s="124">
        <f t="shared" si="54"/>
        <v>1.291E-2</v>
      </c>
    </row>
    <row r="223" spans="1:22" s="3" customFormat="1" x14ac:dyDescent="0.3">
      <c r="A223" s="38">
        <v>1801</v>
      </c>
      <c r="B223" s="122" t="str">
        <f t="shared" si="55"/>
        <v>1801-2020</v>
      </c>
      <c r="C223" s="123">
        <v>220</v>
      </c>
      <c r="D223" s="124">
        <f t="shared" si="56"/>
        <v>6.7419999999999994E-2</v>
      </c>
      <c r="E223" s="125">
        <v>61</v>
      </c>
      <c r="F223" s="126">
        <f t="shared" si="43"/>
        <v>0.27727000000000002</v>
      </c>
      <c r="G223" s="124">
        <f t="shared" si="44"/>
        <v>3.5499999999999997E-2</v>
      </c>
      <c r="H223" s="125">
        <v>71</v>
      </c>
      <c r="I223" s="126">
        <f t="shared" si="45"/>
        <v>0.32273000000000002</v>
      </c>
      <c r="J223" s="124">
        <f t="shared" si="46"/>
        <v>3.8300000000000001E-2</v>
      </c>
      <c r="K223" s="125">
        <v>45</v>
      </c>
      <c r="L223" s="126">
        <f t="shared" si="47"/>
        <v>0.20455000000000001</v>
      </c>
      <c r="M223" s="124">
        <f t="shared" si="48"/>
        <v>3.049E-2</v>
      </c>
      <c r="N223" s="125">
        <v>16</v>
      </c>
      <c r="O223" s="126">
        <f t="shared" si="49"/>
        <v>7.2730000000000003E-2</v>
      </c>
      <c r="P223" s="124">
        <f t="shared" si="50"/>
        <v>1.8180000000000002E-2</v>
      </c>
      <c r="Q223" s="125">
        <v>7</v>
      </c>
      <c r="R223" s="126">
        <f t="shared" si="51"/>
        <v>3.1820000000000001E-2</v>
      </c>
      <c r="S223" s="124">
        <f t="shared" si="52"/>
        <v>1.2030000000000001E-2</v>
      </c>
      <c r="T223" s="125">
        <v>8</v>
      </c>
      <c r="U223" s="126">
        <f t="shared" si="53"/>
        <v>3.6360000000000003E-2</v>
      </c>
      <c r="V223" s="124">
        <f t="shared" si="54"/>
        <v>1.286E-2</v>
      </c>
    </row>
    <row r="224" spans="1:22" s="3" customFormat="1" x14ac:dyDescent="0.3">
      <c r="A224" s="38">
        <v>1800</v>
      </c>
      <c r="B224" s="122" t="str">
        <f t="shared" si="55"/>
        <v>1800-2020</v>
      </c>
      <c r="C224" s="127">
        <v>221</v>
      </c>
      <c r="D224" s="128">
        <f t="shared" si="56"/>
        <v>6.7269999999999996E-2</v>
      </c>
      <c r="E224" s="125">
        <v>61</v>
      </c>
      <c r="F224" s="126">
        <f t="shared" si="43"/>
        <v>0.27601999999999999</v>
      </c>
      <c r="G224" s="124">
        <f t="shared" si="44"/>
        <v>3.5340000000000003E-2</v>
      </c>
      <c r="H224" s="125">
        <v>71</v>
      </c>
      <c r="I224" s="126">
        <f t="shared" si="45"/>
        <v>0.32127</v>
      </c>
      <c r="J224" s="124">
        <f t="shared" si="46"/>
        <v>3.8129999999999997E-2</v>
      </c>
      <c r="K224" s="125">
        <v>45</v>
      </c>
      <c r="L224" s="126">
        <f t="shared" si="47"/>
        <v>0.20362</v>
      </c>
      <c r="M224" s="124">
        <f t="shared" si="48"/>
        <v>3.0360000000000002E-2</v>
      </c>
      <c r="N224" s="125">
        <v>16</v>
      </c>
      <c r="O224" s="126">
        <f t="shared" si="49"/>
        <v>7.2400000000000006E-2</v>
      </c>
      <c r="P224" s="124">
        <f t="shared" si="50"/>
        <v>1.8100000000000002E-2</v>
      </c>
      <c r="Q224" s="125">
        <v>7</v>
      </c>
      <c r="R224" s="126">
        <f t="shared" si="51"/>
        <v>3.1669999999999997E-2</v>
      </c>
      <c r="S224" s="124">
        <f t="shared" si="52"/>
        <v>1.197E-2</v>
      </c>
      <c r="T224" s="125">
        <v>8</v>
      </c>
      <c r="U224" s="126">
        <f t="shared" si="53"/>
        <v>3.6200000000000003E-2</v>
      </c>
      <c r="V224" s="124">
        <f t="shared" si="54"/>
        <v>1.2800000000000001E-2</v>
      </c>
    </row>
    <row r="225" spans="1:22" s="3" customFormat="1" x14ac:dyDescent="0.3">
      <c r="A225" s="38">
        <v>1799</v>
      </c>
      <c r="B225" s="122" t="str">
        <f t="shared" si="55"/>
        <v>1799-2020</v>
      </c>
      <c r="C225" s="123">
        <v>222</v>
      </c>
      <c r="D225" s="124">
        <f t="shared" si="56"/>
        <v>6.7119999999999999E-2</v>
      </c>
      <c r="E225" s="125">
        <v>61</v>
      </c>
      <c r="F225" s="126">
        <f t="shared" si="43"/>
        <v>0.27477000000000001</v>
      </c>
      <c r="G225" s="124">
        <f t="shared" si="44"/>
        <v>3.5180000000000003E-2</v>
      </c>
      <c r="H225" s="125">
        <v>71</v>
      </c>
      <c r="I225" s="126">
        <f t="shared" si="45"/>
        <v>0.31981999999999999</v>
      </c>
      <c r="J225" s="124">
        <f t="shared" si="46"/>
        <v>3.7960000000000001E-2</v>
      </c>
      <c r="K225" s="125">
        <v>45</v>
      </c>
      <c r="L225" s="126">
        <f t="shared" si="47"/>
        <v>0.20269999999999999</v>
      </c>
      <c r="M225" s="124">
        <f t="shared" si="48"/>
        <v>3.022E-2</v>
      </c>
      <c r="N225" s="125">
        <v>16</v>
      </c>
      <c r="O225" s="126">
        <f t="shared" si="49"/>
        <v>7.2069999999999995E-2</v>
      </c>
      <c r="P225" s="124">
        <f t="shared" si="50"/>
        <v>1.8020000000000001E-2</v>
      </c>
      <c r="Q225" s="125">
        <v>7</v>
      </c>
      <c r="R225" s="126">
        <f t="shared" si="51"/>
        <v>3.1530000000000002E-2</v>
      </c>
      <c r="S225" s="124">
        <f t="shared" si="52"/>
        <v>1.192E-2</v>
      </c>
      <c r="T225" s="125">
        <v>8</v>
      </c>
      <c r="U225" s="126">
        <f t="shared" si="53"/>
        <v>3.6040000000000003E-2</v>
      </c>
      <c r="V225" s="124">
        <f t="shared" si="54"/>
        <v>1.274E-2</v>
      </c>
    </row>
    <row r="226" spans="1:22" s="3" customFormat="1" x14ac:dyDescent="0.3">
      <c r="A226" s="38">
        <v>1798</v>
      </c>
      <c r="B226" s="122" t="str">
        <f t="shared" si="55"/>
        <v>1798-2020</v>
      </c>
      <c r="C226" s="127">
        <v>223</v>
      </c>
      <c r="D226" s="128">
        <f t="shared" si="56"/>
        <v>6.6960000000000006E-2</v>
      </c>
      <c r="E226" s="125">
        <v>61</v>
      </c>
      <c r="F226" s="126">
        <f t="shared" si="43"/>
        <v>0.27354000000000001</v>
      </c>
      <c r="G226" s="124">
        <f t="shared" si="44"/>
        <v>3.5020000000000003E-2</v>
      </c>
      <c r="H226" s="125">
        <v>71</v>
      </c>
      <c r="I226" s="126">
        <f t="shared" si="45"/>
        <v>0.31839000000000001</v>
      </c>
      <c r="J226" s="124">
        <f t="shared" si="46"/>
        <v>3.7780000000000001E-2</v>
      </c>
      <c r="K226" s="125">
        <v>45</v>
      </c>
      <c r="L226" s="126">
        <f t="shared" si="47"/>
        <v>0.20179</v>
      </c>
      <c r="M226" s="124">
        <f t="shared" si="48"/>
        <v>3.0079999999999999E-2</v>
      </c>
      <c r="N226" s="125">
        <v>16</v>
      </c>
      <c r="O226" s="126">
        <f t="shared" si="49"/>
        <v>7.1749999999999994E-2</v>
      </c>
      <c r="P226" s="124">
        <f t="shared" si="50"/>
        <v>1.7940000000000001E-2</v>
      </c>
      <c r="Q226" s="125">
        <v>7</v>
      </c>
      <c r="R226" s="126">
        <f t="shared" si="51"/>
        <v>3.1390000000000001E-2</v>
      </c>
      <c r="S226" s="124">
        <f t="shared" si="52"/>
        <v>1.1860000000000001E-2</v>
      </c>
      <c r="T226" s="125">
        <v>8</v>
      </c>
      <c r="U226" s="126">
        <f t="shared" si="53"/>
        <v>3.5869999999999999E-2</v>
      </c>
      <c r="V226" s="124">
        <f t="shared" si="54"/>
        <v>1.268E-2</v>
      </c>
    </row>
    <row r="227" spans="1:22" s="3" customFormat="1" x14ac:dyDescent="0.3">
      <c r="A227" s="38">
        <v>1797</v>
      </c>
      <c r="B227" s="122" t="str">
        <f t="shared" si="55"/>
        <v>1797-2020</v>
      </c>
      <c r="C227" s="123">
        <v>224</v>
      </c>
      <c r="D227" s="124">
        <f t="shared" si="56"/>
        <v>6.6820000000000004E-2</v>
      </c>
      <c r="E227" s="125">
        <v>61</v>
      </c>
      <c r="F227" s="126">
        <f t="shared" si="43"/>
        <v>0.27232000000000001</v>
      </c>
      <c r="G227" s="124">
        <f t="shared" si="44"/>
        <v>3.4869999999999998E-2</v>
      </c>
      <c r="H227" s="125">
        <v>71</v>
      </c>
      <c r="I227" s="126">
        <f t="shared" si="45"/>
        <v>0.31696000000000002</v>
      </c>
      <c r="J227" s="124">
        <f t="shared" si="46"/>
        <v>3.7620000000000001E-2</v>
      </c>
      <c r="K227" s="125">
        <v>45</v>
      </c>
      <c r="L227" s="126">
        <f t="shared" si="47"/>
        <v>0.20089000000000001</v>
      </c>
      <c r="M227" s="124">
        <f t="shared" si="48"/>
        <v>2.9950000000000001E-2</v>
      </c>
      <c r="N227" s="125">
        <v>16</v>
      </c>
      <c r="O227" s="126">
        <f t="shared" si="49"/>
        <v>7.1429999999999993E-2</v>
      </c>
      <c r="P227" s="124">
        <f t="shared" si="50"/>
        <v>1.7860000000000001E-2</v>
      </c>
      <c r="Q227" s="125">
        <v>7</v>
      </c>
      <c r="R227" s="126">
        <f t="shared" si="51"/>
        <v>3.125E-2</v>
      </c>
      <c r="S227" s="124">
        <f t="shared" si="52"/>
        <v>1.1809999999999999E-2</v>
      </c>
      <c r="T227" s="125">
        <v>8</v>
      </c>
      <c r="U227" s="126">
        <f t="shared" si="53"/>
        <v>3.5709999999999999E-2</v>
      </c>
      <c r="V227" s="124">
        <f t="shared" si="54"/>
        <v>1.2630000000000001E-2</v>
      </c>
    </row>
    <row r="228" spans="1:22" s="3" customFormat="1" x14ac:dyDescent="0.3">
      <c r="A228" s="38">
        <v>1796</v>
      </c>
      <c r="B228" s="122" t="str">
        <f t="shared" si="55"/>
        <v>1796-2020</v>
      </c>
      <c r="C228" s="127">
        <v>225</v>
      </c>
      <c r="D228" s="128">
        <f t="shared" si="56"/>
        <v>6.6669999999999993E-2</v>
      </c>
      <c r="E228" s="125">
        <v>61</v>
      </c>
      <c r="F228" s="126">
        <f t="shared" si="43"/>
        <v>0.27111000000000002</v>
      </c>
      <c r="G228" s="124">
        <f t="shared" si="44"/>
        <v>3.4709999999999998E-2</v>
      </c>
      <c r="H228" s="125">
        <v>71</v>
      </c>
      <c r="I228" s="126">
        <f t="shared" si="45"/>
        <v>0.31556000000000001</v>
      </c>
      <c r="J228" s="124">
        <f t="shared" si="46"/>
        <v>3.7449999999999997E-2</v>
      </c>
      <c r="K228" s="125">
        <v>45</v>
      </c>
      <c r="L228" s="126">
        <f t="shared" si="47"/>
        <v>0.2</v>
      </c>
      <c r="M228" s="124">
        <f t="shared" si="48"/>
        <v>2.9819999999999999E-2</v>
      </c>
      <c r="N228" s="125">
        <v>16</v>
      </c>
      <c r="O228" s="126">
        <f t="shared" si="49"/>
        <v>7.1110000000000007E-2</v>
      </c>
      <c r="P228" s="124">
        <f t="shared" si="50"/>
        <v>1.7780000000000001E-2</v>
      </c>
      <c r="Q228" s="125">
        <v>7</v>
      </c>
      <c r="R228" s="126">
        <f t="shared" si="51"/>
        <v>3.1109999999999999E-2</v>
      </c>
      <c r="S228" s="124">
        <f t="shared" si="52"/>
        <v>1.176E-2</v>
      </c>
      <c r="T228" s="125">
        <v>8</v>
      </c>
      <c r="U228" s="126">
        <f t="shared" si="53"/>
        <v>3.5560000000000001E-2</v>
      </c>
      <c r="V228" s="124">
        <f t="shared" si="54"/>
        <v>1.257E-2</v>
      </c>
    </row>
    <row r="229" spans="1:22" s="3" customFormat="1" x14ac:dyDescent="0.3">
      <c r="A229" s="38">
        <v>1795</v>
      </c>
      <c r="B229" s="122" t="str">
        <f t="shared" si="55"/>
        <v>1795-2020</v>
      </c>
      <c r="C229" s="123">
        <v>226</v>
      </c>
      <c r="D229" s="124">
        <f t="shared" si="56"/>
        <v>6.6519999999999996E-2</v>
      </c>
      <c r="E229" s="125">
        <v>61</v>
      </c>
      <c r="F229" s="126">
        <f t="shared" si="43"/>
        <v>0.26990999999999998</v>
      </c>
      <c r="G229" s="124">
        <f t="shared" si="44"/>
        <v>3.456E-2</v>
      </c>
      <c r="H229" s="125">
        <v>71</v>
      </c>
      <c r="I229" s="126">
        <f t="shared" si="45"/>
        <v>0.31415999999999999</v>
      </c>
      <c r="J229" s="124">
        <f t="shared" si="46"/>
        <v>3.7280000000000001E-2</v>
      </c>
      <c r="K229" s="125">
        <v>45</v>
      </c>
      <c r="L229" s="126">
        <f t="shared" si="47"/>
        <v>0.19911999999999999</v>
      </c>
      <c r="M229" s="124">
        <f t="shared" si="48"/>
        <v>2.9680000000000002E-2</v>
      </c>
      <c r="N229" s="125">
        <v>16</v>
      </c>
      <c r="O229" s="126">
        <f t="shared" si="49"/>
        <v>7.0800000000000002E-2</v>
      </c>
      <c r="P229" s="124">
        <f t="shared" si="50"/>
        <v>1.77E-2</v>
      </c>
      <c r="Q229" s="125">
        <v>7</v>
      </c>
      <c r="R229" s="126">
        <f t="shared" si="51"/>
        <v>3.0970000000000001E-2</v>
      </c>
      <c r="S229" s="124">
        <f t="shared" si="52"/>
        <v>1.171E-2</v>
      </c>
      <c r="T229" s="125">
        <v>8</v>
      </c>
      <c r="U229" s="126">
        <f t="shared" si="53"/>
        <v>3.5400000000000001E-2</v>
      </c>
      <c r="V229" s="124">
        <f t="shared" si="54"/>
        <v>1.252E-2</v>
      </c>
    </row>
    <row r="230" spans="1:22" s="3" customFormat="1" x14ac:dyDescent="0.3">
      <c r="A230" s="38">
        <v>1794</v>
      </c>
      <c r="B230" s="122" t="str">
        <f t="shared" si="55"/>
        <v>1794-2020</v>
      </c>
      <c r="C230" s="127">
        <v>227</v>
      </c>
      <c r="D230" s="128">
        <f t="shared" si="56"/>
        <v>6.6369999999999998E-2</v>
      </c>
      <c r="E230" s="125">
        <v>61</v>
      </c>
      <c r="F230" s="126">
        <f t="shared" si="43"/>
        <v>0.26872000000000001</v>
      </c>
      <c r="G230" s="124">
        <f t="shared" si="44"/>
        <v>3.4410000000000003E-2</v>
      </c>
      <c r="H230" s="125">
        <v>71</v>
      </c>
      <c r="I230" s="126">
        <f t="shared" si="45"/>
        <v>0.31278</v>
      </c>
      <c r="J230" s="124">
        <f t="shared" si="46"/>
        <v>3.712E-2</v>
      </c>
      <c r="K230" s="125">
        <v>45</v>
      </c>
      <c r="L230" s="126">
        <f t="shared" si="47"/>
        <v>0.19824</v>
      </c>
      <c r="M230" s="124">
        <f t="shared" si="48"/>
        <v>2.955E-2</v>
      </c>
      <c r="N230" s="125">
        <v>16</v>
      </c>
      <c r="O230" s="126">
        <f t="shared" si="49"/>
        <v>7.0480000000000001E-2</v>
      </c>
      <c r="P230" s="124">
        <f t="shared" si="50"/>
        <v>1.762E-2</v>
      </c>
      <c r="Q230" s="125">
        <v>7</v>
      </c>
      <c r="R230" s="126">
        <f t="shared" si="51"/>
        <v>3.0839999999999999E-2</v>
      </c>
      <c r="S230" s="124">
        <f t="shared" si="52"/>
        <v>1.166E-2</v>
      </c>
      <c r="T230" s="125">
        <v>8</v>
      </c>
      <c r="U230" s="126">
        <f t="shared" si="53"/>
        <v>3.524E-2</v>
      </c>
      <c r="V230" s="124">
        <f t="shared" si="54"/>
        <v>1.2460000000000001E-2</v>
      </c>
    </row>
    <row r="231" spans="1:22" s="3" customFormat="1" x14ac:dyDescent="0.3">
      <c r="A231" s="38">
        <v>1793</v>
      </c>
      <c r="B231" s="122" t="str">
        <f t="shared" si="55"/>
        <v>1793-2020</v>
      </c>
      <c r="C231" s="123">
        <v>228</v>
      </c>
      <c r="D231" s="124">
        <f t="shared" si="56"/>
        <v>6.6229999999999997E-2</v>
      </c>
      <c r="E231" s="125">
        <v>61</v>
      </c>
      <c r="F231" s="126">
        <f t="shared" si="43"/>
        <v>0.26754</v>
      </c>
      <c r="G231" s="124">
        <f t="shared" si="44"/>
        <v>3.4259999999999999E-2</v>
      </c>
      <c r="H231" s="125">
        <v>71</v>
      </c>
      <c r="I231" s="126">
        <f t="shared" si="45"/>
        <v>0.31140000000000001</v>
      </c>
      <c r="J231" s="124">
        <f t="shared" si="46"/>
        <v>3.696E-2</v>
      </c>
      <c r="K231" s="125">
        <v>45</v>
      </c>
      <c r="L231" s="126">
        <f t="shared" si="47"/>
        <v>0.19736999999999999</v>
      </c>
      <c r="M231" s="124">
        <f t="shared" si="48"/>
        <v>2.9420000000000002E-2</v>
      </c>
      <c r="N231" s="125">
        <v>16</v>
      </c>
      <c r="O231" s="126">
        <f t="shared" si="49"/>
        <v>7.0180000000000006E-2</v>
      </c>
      <c r="P231" s="124">
        <f t="shared" si="50"/>
        <v>1.755E-2</v>
      </c>
      <c r="Q231" s="125">
        <v>7</v>
      </c>
      <c r="R231" s="126">
        <f t="shared" si="51"/>
        <v>3.0700000000000002E-2</v>
      </c>
      <c r="S231" s="124">
        <f t="shared" si="52"/>
        <v>1.1599999999999999E-2</v>
      </c>
      <c r="T231" s="125">
        <v>8</v>
      </c>
      <c r="U231" s="126">
        <f t="shared" si="53"/>
        <v>3.5090000000000003E-2</v>
      </c>
      <c r="V231" s="124">
        <f t="shared" si="54"/>
        <v>1.2409999999999999E-2</v>
      </c>
    </row>
    <row r="232" spans="1:22" s="3" customFormat="1" x14ac:dyDescent="0.3">
      <c r="A232" s="38">
        <v>1792</v>
      </c>
      <c r="B232" s="122" t="str">
        <f t="shared" si="55"/>
        <v>1792-2020</v>
      </c>
      <c r="C232" s="127">
        <v>229</v>
      </c>
      <c r="D232" s="128">
        <f t="shared" si="56"/>
        <v>6.608E-2</v>
      </c>
      <c r="E232" s="125">
        <v>61</v>
      </c>
      <c r="F232" s="126">
        <f t="shared" si="43"/>
        <v>0.26638000000000001</v>
      </c>
      <c r="G232" s="124">
        <f t="shared" si="44"/>
        <v>3.4110000000000001E-2</v>
      </c>
      <c r="H232" s="125">
        <v>72</v>
      </c>
      <c r="I232" s="126">
        <f t="shared" si="45"/>
        <v>0.31441000000000002</v>
      </c>
      <c r="J232" s="124">
        <f t="shared" si="46"/>
        <v>3.705E-2</v>
      </c>
      <c r="K232" s="125">
        <v>45</v>
      </c>
      <c r="L232" s="126">
        <f t="shared" si="47"/>
        <v>0.19650999999999999</v>
      </c>
      <c r="M232" s="124">
        <f t="shared" si="48"/>
        <v>2.929E-2</v>
      </c>
      <c r="N232" s="125">
        <v>16</v>
      </c>
      <c r="O232" s="126">
        <f t="shared" si="49"/>
        <v>6.9870000000000002E-2</v>
      </c>
      <c r="P232" s="124">
        <f t="shared" si="50"/>
        <v>1.7469999999999999E-2</v>
      </c>
      <c r="Q232" s="125">
        <v>7</v>
      </c>
      <c r="R232" s="126">
        <f t="shared" si="51"/>
        <v>3.057E-2</v>
      </c>
      <c r="S232" s="124">
        <f t="shared" si="52"/>
        <v>1.155E-2</v>
      </c>
      <c r="T232" s="125">
        <v>8</v>
      </c>
      <c r="U232" s="126">
        <f t="shared" si="53"/>
        <v>3.4930000000000003E-2</v>
      </c>
      <c r="V232" s="124">
        <f t="shared" si="54"/>
        <v>1.235E-2</v>
      </c>
    </row>
    <row r="233" spans="1:22" s="3" customFormat="1" x14ac:dyDescent="0.3">
      <c r="A233" s="38">
        <v>1791</v>
      </c>
      <c r="B233" s="122" t="str">
        <f t="shared" si="55"/>
        <v>1791-2020</v>
      </c>
      <c r="C233" s="123">
        <v>230</v>
      </c>
      <c r="D233" s="124">
        <f t="shared" si="56"/>
        <v>6.5939999999999999E-2</v>
      </c>
      <c r="E233" s="125">
        <v>61</v>
      </c>
      <c r="F233" s="126">
        <f t="shared" si="43"/>
        <v>0.26522000000000001</v>
      </c>
      <c r="G233" s="124">
        <f t="shared" si="44"/>
        <v>3.3959999999999997E-2</v>
      </c>
      <c r="H233" s="125">
        <v>72</v>
      </c>
      <c r="I233" s="126">
        <f t="shared" si="45"/>
        <v>0.31303999999999998</v>
      </c>
      <c r="J233" s="124">
        <f t="shared" si="46"/>
        <v>3.6889999999999999E-2</v>
      </c>
      <c r="K233" s="125">
        <v>45</v>
      </c>
      <c r="L233" s="126">
        <f t="shared" si="47"/>
        <v>0.19564999999999999</v>
      </c>
      <c r="M233" s="124">
        <f t="shared" si="48"/>
        <v>2.9170000000000001E-2</v>
      </c>
      <c r="N233" s="125">
        <v>16</v>
      </c>
      <c r="O233" s="126">
        <f t="shared" si="49"/>
        <v>6.9570000000000007E-2</v>
      </c>
      <c r="P233" s="124">
        <f t="shared" si="50"/>
        <v>1.7389999999999999E-2</v>
      </c>
      <c r="Q233" s="125">
        <v>7</v>
      </c>
      <c r="R233" s="126">
        <f t="shared" si="51"/>
        <v>3.0429999999999999E-2</v>
      </c>
      <c r="S233" s="124">
        <f t="shared" si="52"/>
        <v>1.15E-2</v>
      </c>
      <c r="T233" s="125">
        <v>8</v>
      </c>
      <c r="U233" s="126">
        <f t="shared" si="53"/>
        <v>3.4779999999999998E-2</v>
      </c>
      <c r="V233" s="124">
        <f t="shared" si="54"/>
        <v>1.23E-2</v>
      </c>
    </row>
    <row r="234" spans="1:22" s="3" customFormat="1" x14ac:dyDescent="0.3">
      <c r="A234" s="38">
        <v>1790</v>
      </c>
      <c r="B234" s="122" t="str">
        <f t="shared" si="55"/>
        <v>1790-2020</v>
      </c>
      <c r="C234" s="127">
        <v>231</v>
      </c>
      <c r="D234" s="128">
        <f t="shared" si="56"/>
        <v>6.5799999999999997E-2</v>
      </c>
      <c r="E234" s="125">
        <v>61</v>
      </c>
      <c r="F234" s="126">
        <f t="shared" si="43"/>
        <v>0.26407000000000003</v>
      </c>
      <c r="G234" s="124">
        <f t="shared" si="44"/>
        <v>3.381E-2</v>
      </c>
      <c r="H234" s="125">
        <v>72</v>
      </c>
      <c r="I234" s="126">
        <f t="shared" si="45"/>
        <v>0.31169000000000002</v>
      </c>
      <c r="J234" s="124">
        <f t="shared" si="46"/>
        <v>3.6740000000000002E-2</v>
      </c>
      <c r="K234" s="125">
        <v>45</v>
      </c>
      <c r="L234" s="126">
        <f t="shared" si="47"/>
        <v>0.19481000000000001</v>
      </c>
      <c r="M234" s="124">
        <f t="shared" si="48"/>
        <v>2.904E-2</v>
      </c>
      <c r="N234" s="125">
        <v>16</v>
      </c>
      <c r="O234" s="126">
        <f t="shared" si="49"/>
        <v>6.9260000000000002E-2</v>
      </c>
      <c r="P234" s="124">
        <f t="shared" si="50"/>
        <v>1.7319999999999999E-2</v>
      </c>
      <c r="Q234" s="125">
        <v>7</v>
      </c>
      <c r="R234" s="126">
        <f t="shared" si="51"/>
        <v>3.0300000000000001E-2</v>
      </c>
      <c r="S234" s="124">
        <f t="shared" si="52"/>
        <v>1.145E-2</v>
      </c>
      <c r="T234" s="125">
        <v>8</v>
      </c>
      <c r="U234" s="126">
        <f t="shared" si="53"/>
        <v>3.4630000000000001E-2</v>
      </c>
      <c r="V234" s="124">
        <f t="shared" si="54"/>
        <v>1.2239999999999999E-2</v>
      </c>
    </row>
    <row r="235" spans="1:22" s="3" customFormat="1" x14ac:dyDescent="0.3">
      <c r="A235" s="38">
        <v>1789</v>
      </c>
      <c r="B235" s="122" t="str">
        <f t="shared" si="55"/>
        <v>1789-2020</v>
      </c>
      <c r="C235" s="123">
        <v>232</v>
      </c>
      <c r="D235" s="124">
        <f t="shared" si="56"/>
        <v>6.565E-2</v>
      </c>
      <c r="E235" s="125">
        <v>61</v>
      </c>
      <c r="F235" s="126">
        <f t="shared" si="43"/>
        <v>0.26293</v>
      </c>
      <c r="G235" s="124">
        <f t="shared" si="44"/>
        <v>3.3660000000000002E-2</v>
      </c>
      <c r="H235" s="125">
        <v>72</v>
      </c>
      <c r="I235" s="126">
        <f t="shared" si="45"/>
        <v>0.31034</v>
      </c>
      <c r="J235" s="124">
        <f t="shared" si="46"/>
        <v>3.6569999999999998E-2</v>
      </c>
      <c r="K235" s="125">
        <v>45</v>
      </c>
      <c r="L235" s="126">
        <f t="shared" si="47"/>
        <v>0.19397</v>
      </c>
      <c r="M235" s="124">
        <f t="shared" si="48"/>
        <v>2.8910000000000002E-2</v>
      </c>
      <c r="N235" s="125">
        <v>16</v>
      </c>
      <c r="O235" s="126">
        <f t="shared" si="49"/>
        <v>6.8970000000000004E-2</v>
      </c>
      <c r="P235" s="124">
        <f t="shared" si="50"/>
        <v>1.7239999999999998E-2</v>
      </c>
      <c r="Q235" s="125">
        <v>7</v>
      </c>
      <c r="R235" s="126">
        <f t="shared" si="51"/>
        <v>3.0169999999999999E-2</v>
      </c>
      <c r="S235" s="124">
        <f t="shared" si="52"/>
        <v>1.14E-2</v>
      </c>
      <c r="T235" s="125">
        <v>8</v>
      </c>
      <c r="U235" s="126">
        <f t="shared" si="53"/>
        <v>3.4479999999999997E-2</v>
      </c>
      <c r="V235" s="124">
        <f t="shared" si="54"/>
        <v>1.2189999999999999E-2</v>
      </c>
    </row>
    <row r="236" spans="1:22" s="3" customFormat="1" x14ac:dyDescent="0.3">
      <c r="A236" s="38">
        <v>1788</v>
      </c>
      <c r="B236" s="122" t="str">
        <f t="shared" si="55"/>
        <v>1788-2020</v>
      </c>
      <c r="C236" s="127">
        <v>233</v>
      </c>
      <c r="D236" s="128">
        <f t="shared" si="56"/>
        <v>6.5509999999999999E-2</v>
      </c>
      <c r="E236" s="125">
        <v>61</v>
      </c>
      <c r="F236" s="126">
        <f t="shared" si="43"/>
        <v>0.26179999999999998</v>
      </c>
      <c r="G236" s="124">
        <f t="shared" si="44"/>
        <v>3.3520000000000001E-2</v>
      </c>
      <c r="H236" s="125">
        <v>72</v>
      </c>
      <c r="I236" s="126">
        <f t="shared" si="45"/>
        <v>0.30901000000000001</v>
      </c>
      <c r="J236" s="124">
        <f t="shared" si="46"/>
        <v>3.6420000000000001E-2</v>
      </c>
      <c r="K236" s="125">
        <v>45</v>
      </c>
      <c r="L236" s="126">
        <f t="shared" si="47"/>
        <v>0.19313</v>
      </c>
      <c r="M236" s="124">
        <f t="shared" si="48"/>
        <v>2.879E-2</v>
      </c>
      <c r="N236" s="125">
        <v>16</v>
      </c>
      <c r="O236" s="126">
        <f t="shared" si="49"/>
        <v>6.8669999999999995E-2</v>
      </c>
      <c r="P236" s="124">
        <f t="shared" si="50"/>
        <v>1.7170000000000001E-2</v>
      </c>
      <c r="Q236" s="125">
        <v>7</v>
      </c>
      <c r="R236" s="126">
        <f t="shared" si="51"/>
        <v>3.0040000000000001E-2</v>
      </c>
      <c r="S236" s="124">
        <f t="shared" si="52"/>
        <v>1.1350000000000001E-2</v>
      </c>
      <c r="T236" s="125">
        <v>8</v>
      </c>
      <c r="U236" s="126">
        <f t="shared" si="53"/>
        <v>3.4329999999999999E-2</v>
      </c>
      <c r="V236" s="124">
        <f t="shared" si="54"/>
        <v>1.214E-2</v>
      </c>
    </row>
    <row r="237" spans="1:22" s="3" customFormat="1" x14ac:dyDescent="0.3">
      <c r="A237" s="38">
        <v>1787</v>
      </c>
      <c r="B237" s="122" t="str">
        <f t="shared" si="55"/>
        <v>1787-2020</v>
      </c>
      <c r="C237" s="123">
        <v>234</v>
      </c>
      <c r="D237" s="124">
        <f t="shared" si="56"/>
        <v>6.5369999999999998E-2</v>
      </c>
      <c r="E237" s="125">
        <v>61</v>
      </c>
      <c r="F237" s="126">
        <f t="shared" si="43"/>
        <v>0.26068000000000002</v>
      </c>
      <c r="G237" s="124">
        <f t="shared" si="44"/>
        <v>3.338E-2</v>
      </c>
      <c r="H237" s="125">
        <v>72</v>
      </c>
      <c r="I237" s="126">
        <f t="shared" si="45"/>
        <v>0.30769000000000002</v>
      </c>
      <c r="J237" s="124">
        <f t="shared" si="46"/>
        <v>3.6260000000000001E-2</v>
      </c>
      <c r="K237" s="125">
        <v>45</v>
      </c>
      <c r="L237" s="126">
        <f t="shared" si="47"/>
        <v>0.19231000000000001</v>
      </c>
      <c r="M237" s="124">
        <f t="shared" si="48"/>
        <v>2.8670000000000001E-2</v>
      </c>
      <c r="N237" s="125">
        <v>16</v>
      </c>
      <c r="O237" s="126">
        <f t="shared" si="49"/>
        <v>6.8379999999999996E-2</v>
      </c>
      <c r="P237" s="124">
        <f t="shared" si="50"/>
        <v>1.7090000000000001E-2</v>
      </c>
      <c r="Q237" s="125">
        <v>7</v>
      </c>
      <c r="R237" s="126">
        <f t="shared" si="51"/>
        <v>2.9909999999999999E-2</v>
      </c>
      <c r="S237" s="124">
        <f t="shared" si="52"/>
        <v>1.1310000000000001E-2</v>
      </c>
      <c r="T237" s="125">
        <v>8</v>
      </c>
      <c r="U237" s="126">
        <f t="shared" si="53"/>
        <v>3.4189999999999998E-2</v>
      </c>
      <c r="V237" s="124">
        <f t="shared" si="54"/>
        <v>1.209E-2</v>
      </c>
    </row>
    <row r="238" spans="1:22" s="3" customFormat="1" x14ac:dyDescent="0.3">
      <c r="A238" s="38">
        <v>1786</v>
      </c>
      <c r="B238" s="122" t="str">
        <f t="shared" si="55"/>
        <v>1786-2020</v>
      </c>
      <c r="C238" s="127">
        <v>235</v>
      </c>
      <c r="D238" s="128">
        <f t="shared" si="56"/>
        <v>6.5229999999999996E-2</v>
      </c>
      <c r="E238" s="125">
        <v>61</v>
      </c>
      <c r="F238" s="126">
        <f t="shared" si="43"/>
        <v>0.25957000000000002</v>
      </c>
      <c r="G238" s="124">
        <f t="shared" si="44"/>
        <v>3.3230000000000003E-2</v>
      </c>
      <c r="H238" s="125">
        <v>72</v>
      </c>
      <c r="I238" s="126">
        <f t="shared" si="45"/>
        <v>0.30637999999999999</v>
      </c>
      <c r="J238" s="124">
        <f t="shared" si="46"/>
        <v>3.6110000000000003E-2</v>
      </c>
      <c r="K238" s="125">
        <v>45</v>
      </c>
      <c r="L238" s="126">
        <f t="shared" si="47"/>
        <v>0.19148999999999999</v>
      </c>
      <c r="M238" s="124">
        <f t="shared" si="48"/>
        <v>2.8539999999999999E-2</v>
      </c>
      <c r="N238" s="125">
        <v>16</v>
      </c>
      <c r="O238" s="126">
        <f t="shared" si="49"/>
        <v>6.8089999999999998E-2</v>
      </c>
      <c r="P238" s="124">
        <f t="shared" si="50"/>
        <v>1.702E-2</v>
      </c>
      <c r="Q238" s="125">
        <v>7</v>
      </c>
      <c r="R238" s="126">
        <f t="shared" si="51"/>
        <v>2.9790000000000001E-2</v>
      </c>
      <c r="S238" s="124">
        <f t="shared" si="52"/>
        <v>1.1259999999999999E-2</v>
      </c>
      <c r="T238" s="125">
        <v>8</v>
      </c>
      <c r="U238" s="126">
        <f t="shared" si="53"/>
        <v>3.4040000000000001E-2</v>
      </c>
      <c r="V238" s="124">
        <f t="shared" si="54"/>
        <v>1.2030000000000001E-2</v>
      </c>
    </row>
    <row r="239" spans="1:22" s="3" customFormat="1" x14ac:dyDescent="0.3">
      <c r="A239" s="38">
        <v>1785</v>
      </c>
      <c r="B239" s="122" t="str">
        <f t="shared" si="55"/>
        <v>1785-2020</v>
      </c>
      <c r="C239" s="123">
        <v>236</v>
      </c>
      <c r="D239" s="124">
        <f t="shared" si="56"/>
        <v>6.5089999999999995E-2</v>
      </c>
      <c r="E239" s="125">
        <v>61</v>
      </c>
      <c r="F239" s="126">
        <f t="shared" si="43"/>
        <v>0.25846999999999998</v>
      </c>
      <c r="G239" s="124">
        <f t="shared" si="44"/>
        <v>3.3090000000000001E-2</v>
      </c>
      <c r="H239" s="125">
        <v>72</v>
      </c>
      <c r="I239" s="126">
        <f t="shared" si="45"/>
        <v>0.30508000000000002</v>
      </c>
      <c r="J239" s="124">
        <f t="shared" si="46"/>
        <v>3.5950000000000003E-2</v>
      </c>
      <c r="K239" s="125">
        <v>45</v>
      </c>
      <c r="L239" s="126">
        <f t="shared" si="47"/>
        <v>0.19067999999999999</v>
      </c>
      <c r="M239" s="124">
        <f t="shared" si="48"/>
        <v>2.8420000000000001E-2</v>
      </c>
      <c r="N239" s="125">
        <v>16</v>
      </c>
      <c r="O239" s="126">
        <f t="shared" si="49"/>
        <v>6.7799999999999999E-2</v>
      </c>
      <c r="P239" s="124">
        <f t="shared" si="50"/>
        <v>1.695E-2</v>
      </c>
      <c r="Q239" s="125">
        <v>7</v>
      </c>
      <c r="R239" s="126">
        <f t="shared" si="51"/>
        <v>2.9659999999999999E-2</v>
      </c>
      <c r="S239" s="124">
        <f t="shared" si="52"/>
        <v>1.1209999999999999E-2</v>
      </c>
      <c r="T239" s="125">
        <v>8</v>
      </c>
      <c r="U239" s="126">
        <f t="shared" si="53"/>
        <v>3.39E-2</v>
      </c>
      <c r="V239" s="124">
        <f t="shared" si="54"/>
        <v>1.1979999999999999E-2</v>
      </c>
    </row>
    <row r="240" spans="1:22" s="3" customFormat="1" x14ac:dyDescent="0.3">
      <c r="A240" s="38">
        <v>1784</v>
      </c>
      <c r="B240" s="122" t="str">
        <f t="shared" si="55"/>
        <v>1784-2020</v>
      </c>
      <c r="C240" s="127">
        <v>237</v>
      </c>
      <c r="D240" s="128">
        <f t="shared" si="56"/>
        <v>6.4960000000000004E-2</v>
      </c>
      <c r="E240" s="125">
        <v>61</v>
      </c>
      <c r="F240" s="126">
        <f t="shared" si="43"/>
        <v>0.25738</v>
      </c>
      <c r="G240" s="124">
        <f t="shared" si="44"/>
        <v>3.2960000000000003E-2</v>
      </c>
      <c r="H240" s="125">
        <v>72</v>
      </c>
      <c r="I240" s="126">
        <f t="shared" si="45"/>
        <v>0.30380000000000001</v>
      </c>
      <c r="J240" s="124">
        <f t="shared" si="46"/>
        <v>3.5799999999999998E-2</v>
      </c>
      <c r="K240" s="125">
        <v>45</v>
      </c>
      <c r="L240" s="126">
        <f t="shared" si="47"/>
        <v>0.18987000000000001</v>
      </c>
      <c r="M240" s="124">
        <f t="shared" si="48"/>
        <v>2.8309999999999998E-2</v>
      </c>
      <c r="N240" s="125">
        <v>16</v>
      </c>
      <c r="O240" s="126">
        <f t="shared" si="49"/>
        <v>6.7510000000000001E-2</v>
      </c>
      <c r="P240" s="124">
        <f t="shared" si="50"/>
        <v>1.6879999999999999E-2</v>
      </c>
      <c r="Q240" s="125">
        <v>7</v>
      </c>
      <c r="R240" s="126">
        <f t="shared" si="51"/>
        <v>2.954E-2</v>
      </c>
      <c r="S240" s="124">
        <f t="shared" si="52"/>
        <v>1.116E-2</v>
      </c>
      <c r="T240" s="125">
        <v>8</v>
      </c>
      <c r="U240" s="126">
        <f t="shared" si="53"/>
        <v>3.3759999999999998E-2</v>
      </c>
      <c r="V240" s="124">
        <f t="shared" si="54"/>
        <v>1.1939999999999999E-2</v>
      </c>
    </row>
    <row r="241" spans="1:22" s="3" customFormat="1" x14ac:dyDescent="0.3">
      <c r="A241" s="38">
        <v>1783</v>
      </c>
      <c r="B241" s="122" t="str">
        <f t="shared" si="55"/>
        <v>1783-2020</v>
      </c>
      <c r="C241" s="123">
        <v>238</v>
      </c>
      <c r="D241" s="124">
        <f t="shared" si="56"/>
        <v>6.4820000000000003E-2</v>
      </c>
      <c r="E241" s="125">
        <v>61</v>
      </c>
      <c r="F241" s="126">
        <f t="shared" si="43"/>
        <v>0.25629999999999997</v>
      </c>
      <c r="G241" s="124">
        <f t="shared" si="44"/>
        <v>3.2820000000000002E-2</v>
      </c>
      <c r="H241" s="125">
        <v>72</v>
      </c>
      <c r="I241" s="126">
        <f t="shared" si="45"/>
        <v>0.30252000000000001</v>
      </c>
      <c r="J241" s="124">
        <f t="shared" si="46"/>
        <v>3.5650000000000001E-2</v>
      </c>
      <c r="K241" s="125">
        <v>45</v>
      </c>
      <c r="L241" s="126">
        <f t="shared" si="47"/>
        <v>0.18908</v>
      </c>
      <c r="M241" s="124">
        <f t="shared" si="48"/>
        <v>2.819E-2</v>
      </c>
      <c r="N241" s="125">
        <v>16</v>
      </c>
      <c r="O241" s="126">
        <f t="shared" si="49"/>
        <v>6.7229999999999998E-2</v>
      </c>
      <c r="P241" s="124">
        <f t="shared" si="50"/>
        <v>1.6809999999999999E-2</v>
      </c>
      <c r="Q241" s="125">
        <v>7</v>
      </c>
      <c r="R241" s="126">
        <f t="shared" si="51"/>
        <v>2.9409999999999999E-2</v>
      </c>
      <c r="S241" s="124">
        <f t="shared" si="52"/>
        <v>1.112E-2</v>
      </c>
      <c r="T241" s="125">
        <v>8</v>
      </c>
      <c r="U241" s="126">
        <f t="shared" si="53"/>
        <v>3.3610000000000001E-2</v>
      </c>
      <c r="V241" s="124">
        <f t="shared" si="54"/>
        <v>1.188E-2</v>
      </c>
    </row>
    <row r="242" spans="1:22" s="3" customFormat="1" x14ac:dyDescent="0.3">
      <c r="A242" s="38">
        <v>1782</v>
      </c>
      <c r="B242" s="122" t="str">
        <f t="shared" si="55"/>
        <v>1782-2020</v>
      </c>
      <c r="C242" s="127">
        <v>239</v>
      </c>
      <c r="D242" s="128">
        <f t="shared" si="56"/>
        <v>6.4680000000000001E-2</v>
      </c>
      <c r="E242" s="125">
        <v>61</v>
      </c>
      <c r="F242" s="126">
        <f t="shared" si="43"/>
        <v>0.25523000000000001</v>
      </c>
      <c r="G242" s="124">
        <f t="shared" si="44"/>
        <v>3.2680000000000001E-2</v>
      </c>
      <c r="H242" s="125">
        <v>72</v>
      </c>
      <c r="I242" s="126">
        <f t="shared" si="45"/>
        <v>0.30125999999999997</v>
      </c>
      <c r="J242" s="124">
        <f t="shared" si="46"/>
        <v>3.5499999999999997E-2</v>
      </c>
      <c r="K242" s="125">
        <v>45</v>
      </c>
      <c r="L242" s="126">
        <f t="shared" si="47"/>
        <v>0.18828</v>
      </c>
      <c r="M242" s="124">
        <f t="shared" si="48"/>
        <v>2.8070000000000001E-2</v>
      </c>
      <c r="N242" s="125">
        <v>16</v>
      </c>
      <c r="O242" s="126">
        <f t="shared" si="49"/>
        <v>6.6949999999999996E-2</v>
      </c>
      <c r="P242" s="124">
        <f t="shared" si="50"/>
        <v>1.6740000000000001E-2</v>
      </c>
      <c r="Q242" s="125">
        <v>7</v>
      </c>
      <c r="R242" s="126">
        <f t="shared" si="51"/>
        <v>2.929E-2</v>
      </c>
      <c r="S242" s="124">
        <f t="shared" si="52"/>
        <v>1.107E-2</v>
      </c>
      <c r="T242" s="125">
        <v>8</v>
      </c>
      <c r="U242" s="126">
        <f t="shared" si="53"/>
        <v>3.347E-2</v>
      </c>
      <c r="V242" s="124">
        <f t="shared" si="54"/>
        <v>1.183E-2</v>
      </c>
    </row>
    <row r="243" spans="1:22" s="3" customFormat="1" x14ac:dyDescent="0.3">
      <c r="A243" s="38">
        <v>1781</v>
      </c>
      <c r="B243" s="122" t="str">
        <f t="shared" si="55"/>
        <v>1781-2020</v>
      </c>
      <c r="C243" s="123">
        <v>240</v>
      </c>
      <c r="D243" s="124">
        <f t="shared" si="56"/>
        <v>6.4549999999999996E-2</v>
      </c>
      <c r="E243" s="125">
        <v>61</v>
      </c>
      <c r="F243" s="126">
        <f t="shared" si="43"/>
        <v>0.25417000000000001</v>
      </c>
      <c r="G243" s="124">
        <f t="shared" si="44"/>
        <v>3.2539999999999999E-2</v>
      </c>
      <c r="H243" s="125">
        <v>72</v>
      </c>
      <c r="I243" s="126">
        <f t="shared" si="45"/>
        <v>0.3</v>
      </c>
      <c r="J243" s="124">
        <f t="shared" si="46"/>
        <v>3.5360000000000003E-2</v>
      </c>
      <c r="K243" s="125">
        <v>45</v>
      </c>
      <c r="L243" s="126">
        <f t="shared" si="47"/>
        <v>0.1875</v>
      </c>
      <c r="M243" s="124">
        <f t="shared" si="48"/>
        <v>2.7949999999999999E-2</v>
      </c>
      <c r="N243" s="125">
        <v>16</v>
      </c>
      <c r="O243" s="126">
        <f t="shared" si="49"/>
        <v>6.6669999999999993E-2</v>
      </c>
      <c r="P243" s="124">
        <f t="shared" si="50"/>
        <v>1.6670000000000001E-2</v>
      </c>
      <c r="Q243" s="125">
        <v>7</v>
      </c>
      <c r="R243" s="126">
        <f t="shared" si="51"/>
        <v>2.9170000000000001E-2</v>
      </c>
      <c r="S243" s="124">
        <f t="shared" si="52"/>
        <v>1.102E-2</v>
      </c>
      <c r="T243" s="125">
        <v>8</v>
      </c>
      <c r="U243" s="126">
        <f t="shared" si="53"/>
        <v>3.3329999999999999E-2</v>
      </c>
      <c r="V243" s="124">
        <f t="shared" si="54"/>
        <v>1.1780000000000001E-2</v>
      </c>
    </row>
    <row r="244" spans="1:22" s="3" customFormat="1" x14ac:dyDescent="0.3">
      <c r="A244" s="38">
        <v>1780</v>
      </c>
      <c r="B244" s="122" t="str">
        <f t="shared" si="55"/>
        <v>1780-2020</v>
      </c>
      <c r="C244" s="127">
        <v>241</v>
      </c>
      <c r="D244" s="128">
        <f t="shared" si="56"/>
        <v>6.4420000000000005E-2</v>
      </c>
      <c r="E244" s="125">
        <v>61</v>
      </c>
      <c r="F244" s="126">
        <f t="shared" si="43"/>
        <v>0.25311</v>
      </c>
      <c r="G244" s="124">
        <f t="shared" si="44"/>
        <v>3.2410000000000001E-2</v>
      </c>
      <c r="H244" s="125">
        <v>72</v>
      </c>
      <c r="I244" s="126">
        <f t="shared" si="45"/>
        <v>0.29876000000000003</v>
      </c>
      <c r="J244" s="124">
        <f t="shared" si="46"/>
        <v>3.5209999999999998E-2</v>
      </c>
      <c r="K244" s="125">
        <v>45</v>
      </c>
      <c r="L244" s="126">
        <f t="shared" si="47"/>
        <v>0.18672</v>
      </c>
      <c r="M244" s="124">
        <f t="shared" si="48"/>
        <v>2.784E-2</v>
      </c>
      <c r="N244" s="125">
        <v>16</v>
      </c>
      <c r="O244" s="126">
        <f t="shared" si="49"/>
        <v>6.6390000000000005E-2</v>
      </c>
      <c r="P244" s="124">
        <f t="shared" si="50"/>
        <v>1.66E-2</v>
      </c>
      <c r="Q244" s="125">
        <v>7</v>
      </c>
      <c r="R244" s="126">
        <f t="shared" si="51"/>
        <v>2.9049999999999999E-2</v>
      </c>
      <c r="S244" s="124">
        <f t="shared" si="52"/>
        <v>1.098E-2</v>
      </c>
      <c r="T244" s="125">
        <v>8</v>
      </c>
      <c r="U244" s="126">
        <f t="shared" si="53"/>
        <v>3.32E-2</v>
      </c>
      <c r="V244" s="124">
        <f t="shared" si="54"/>
        <v>1.174E-2</v>
      </c>
    </row>
    <row r="245" spans="1:22" s="3" customFormat="1" x14ac:dyDescent="0.3">
      <c r="A245" s="38">
        <v>1779</v>
      </c>
      <c r="B245" s="122" t="str">
        <f t="shared" si="55"/>
        <v>1779-2020</v>
      </c>
      <c r="C245" s="123">
        <v>242</v>
      </c>
      <c r="D245" s="124">
        <f t="shared" si="56"/>
        <v>6.4280000000000004E-2</v>
      </c>
      <c r="E245" s="125">
        <v>61</v>
      </c>
      <c r="F245" s="126">
        <f t="shared" si="43"/>
        <v>0.25207000000000002</v>
      </c>
      <c r="G245" s="124">
        <f t="shared" si="44"/>
        <v>3.227E-2</v>
      </c>
      <c r="H245" s="125">
        <v>72</v>
      </c>
      <c r="I245" s="126">
        <f t="shared" si="45"/>
        <v>0.29752000000000001</v>
      </c>
      <c r="J245" s="124">
        <f t="shared" si="46"/>
        <v>3.5060000000000001E-2</v>
      </c>
      <c r="K245" s="125">
        <v>45</v>
      </c>
      <c r="L245" s="126">
        <f t="shared" si="47"/>
        <v>0.18595</v>
      </c>
      <c r="M245" s="124">
        <f t="shared" si="48"/>
        <v>2.7720000000000002E-2</v>
      </c>
      <c r="N245" s="125">
        <v>16</v>
      </c>
      <c r="O245" s="126">
        <f t="shared" si="49"/>
        <v>6.6119999999999998E-2</v>
      </c>
      <c r="P245" s="124">
        <f t="shared" si="50"/>
        <v>1.653E-2</v>
      </c>
      <c r="Q245" s="125">
        <v>7</v>
      </c>
      <c r="R245" s="126">
        <f t="shared" si="51"/>
        <v>2.8930000000000001E-2</v>
      </c>
      <c r="S245" s="124">
        <f t="shared" si="52"/>
        <v>1.093E-2</v>
      </c>
      <c r="T245" s="125">
        <v>8</v>
      </c>
      <c r="U245" s="126">
        <f t="shared" si="53"/>
        <v>3.3059999999999999E-2</v>
      </c>
      <c r="V245" s="124">
        <f t="shared" si="54"/>
        <v>1.1690000000000001E-2</v>
      </c>
    </row>
    <row r="246" spans="1:22" s="3" customFormat="1" x14ac:dyDescent="0.3">
      <c r="A246" s="38">
        <v>1778</v>
      </c>
      <c r="B246" s="122" t="str">
        <f t="shared" si="55"/>
        <v>1778-2020</v>
      </c>
      <c r="C246" s="127">
        <v>243</v>
      </c>
      <c r="D246" s="128">
        <f t="shared" si="56"/>
        <v>6.4149999999999999E-2</v>
      </c>
      <c r="E246" s="125">
        <v>61</v>
      </c>
      <c r="F246" s="126">
        <f t="shared" si="43"/>
        <v>0.25102999999999998</v>
      </c>
      <c r="G246" s="124">
        <f t="shared" si="44"/>
        <v>3.2140000000000002E-2</v>
      </c>
      <c r="H246" s="125">
        <v>72</v>
      </c>
      <c r="I246" s="126">
        <f t="shared" si="45"/>
        <v>0.29630000000000001</v>
      </c>
      <c r="J246" s="124">
        <f t="shared" si="46"/>
        <v>3.492E-2</v>
      </c>
      <c r="K246" s="125">
        <v>45</v>
      </c>
      <c r="L246" s="126">
        <f t="shared" si="47"/>
        <v>0.18518999999999999</v>
      </c>
      <c r="M246" s="124">
        <f t="shared" si="48"/>
        <v>2.7609999999999999E-2</v>
      </c>
      <c r="N246" s="125">
        <v>16</v>
      </c>
      <c r="O246" s="126">
        <f t="shared" si="49"/>
        <v>6.5839999999999996E-2</v>
      </c>
      <c r="P246" s="124">
        <f t="shared" si="50"/>
        <v>1.6459999999999999E-2</v>
      </c>
      <c r="Q246" s="125">
        <v>7</v>
      </c>
      <c r="R246" s="126">
        <f t="shared" si="51"/>
        <v>2.8809999999999999E-2</v>
      </c>
      <c r="S246" s="124">
        <f t="shared" si="52"/>
        <v>1.089E-2</v>
      </c>
      <c r="T246" s="125">
        <v>8</v>
      </c>
      <c r="U246" s="126">
        <f t="shared" si="53"/>
        <v>3.2919999999999998E-2</v>
      </c>
      <c r="V246" s="124">
        <f t="shared" si="54"/>
        <v>1.1639999999999999E-2</v>
      </c>
    </row>
    <row r="247" spans="1:22" s="3" customFormat="1" x14ac:dyDescent="0.3">
      <c r="A247" s="38">
        <v>1777</v>
      </c>
      <c r="B247" s="122" t="str">
        <f t="shared" si="55"/>
        <v>1777-2020</v>
      </c>
      <c r="C247" s="123">
        <v>244</v>
      </c>
      <c r="D247" s="124">
        <f t="shared" si="56"/>
        <v>6.4019999999999994E-2</v>
      </c>
      <c r="E247" s="125">
        <v>61</v>
      </c>
      <c r="F247" s="126">
        <f t="shared" si="43"/>
        <v>0.25</v>
      </c>
      <c r="G247" s="124">
        <f t="shared" si="44"/>
        <v>3.2009999999999997E-2</v>
      </c>
      <c r="H247" s="125">
        <v>72</v>
      </c>
      <c r="I247" s="126">
        <f t="shared" si="45"/>
        <v>0.29508000000000001</v>
      </c>
      <c r="J247" s="124">
        <f t="shared" si="46"/>
        <v>3.4779999999999998E-2</v>
      </c>
      <c r="K247" s="125">
        <v>45</v>
      </c>
      <c r="L247" s="126">
        <f t="shared" si="47"/>
        <v>0.18443000000000001</v>
      </c>
      <c r="M247" s="124">
        <f t="shared" si="48"/>
        <v>2.7490000000000001E-2</v>
      </c>
      <c r="N247" s="125">
        <v>16</v>
      </c>
      <c r="O247" s="126">
        <f t="shared" si="49"/>
        <v>6.5570000000000003E-2</v>
      </c>
      <c r="P247" s="124">
        <f t="shared" si="50"/>
        <v>1.6389999999999998E-2</v>
      </c>
      <c r="Q247" s="125">
        <v>7</v>
      </c>
      <c r="R247" s="126">
        <f t="shared" si="51"/>
        <v>2.869E-2</v>
      </c>
      <c r="S247" s="124">
        <f t="shared" si="52"/>
        <v>1.0840000000000001E-2</v>
      </c>
      <c r="T247" s="125">
        <v>8</v>
      </c>
      <c r="U247" s="126">
        <f t="shared" si="53"/>
        <v>3.279E-2</v>
      </c>
      <c r="V247" s="124">
        <f t="shared" si="54"/>
        <v>1.159E-2</v>
      </c>
    </row>
    <row r="248" spans="1:22" s="3" customFormat="1" x14ac:dyDescent="0.3">
      <c r="A248" s="38">
        <v>1776</v>
      </c>
      <c r="B248" s="122" t="str">
        <f t="shared" si="55"/>
        <v>1776-2020</v>
      </c>
      <c r="C248" s="127">
        <v>245</v>
      </c>
      <c r="D248" s="128">
        <f t="shared" si="56"/>
        <v>6.3890000000000002E-2</v>
      </c>
      <c r="E248" s="125">
        <v>61</v>
      </c>
      <c r="F248" s="126">
        <f t="shared" si="43"/>
        <v>0.24898000000000001</v>
      </c>
      <c r="G248" s="124">
        <f t="shared" si="44"/>
        <v>3.1879999999999999E-2</v>
      </c>
      <c r="H248" s="125">
        <v>72</v>
      </c>
      <c r="I248" s="126">
        <f t="shared" si="45"/>
        <v>0.29387999999999997</v>
      </c>
      <c r="J248" s="124">
        <f t="shared" si="46"/>
        <v>3.4639999999999997E-2</v>
      </c>
      <c r="K248" s="125">
        <v>45</v>
      </c>
      <c r="L248" s="126">
        <f t="shared" si="47"/>
        <v>0.18367</v>
      </c>
      <c r="M248" s="124">
        <f t="shared" si="48"/>
        <v>2.7380000000000002E-2</v>
      </c>
      <c r="N248" s="125">
        <v>16</v>
      </c>
      <c r="O248" s="126">
        <f t="shared" si="49"/>
        <v>6.5310000000000007E-2</v>
      </c>
      <c r="P248" s="124">
        <f t="shared" si="50"/>
        <v>1.6330000000000001E-2</v>
      </c>
      <c r="Q248" s="125">
        <v>7</v>
      </c>
      <c r="R248" s="126">
        <f t="shared" si="51"/>
        <v>2.8570000000000002E-2</v>
      </c>
      <c r="S248" s="124">
        <f t="shared" si="52"/>
        <v>1.0800000000000001E-2</v>
      </c>
      <c r="T248" s="125">
        <v>8</v>
      </c>
      <c r="U248" s="126">
        <f t="shared" si="53"/>
        <v>3.2649999999999998E-2</v>
      </c>
      <c r="V248" s="124">
        <f t="shared" si="54"/>
        <v>1.154E-2</v>
      </c>
    </row>
    <row r="249" spans="1:22" s="3" customFormat="1" x14ac:dyDescent="0.3">
      <c r="A249" s="38">
        <v>1775</v>
      </c>
      <c r="B249" s="122" t="str">
        <f t="shared" si="55"/>
        <v>1775-2020</v>
      </c>
      <c r="C249" s="123">
        <v>246</v>
      </c>
      <c r="D249" s="124">
        <f t="shared" si="56"/>
        <v>6.3759999999999997E-2</v>
      </c>
      <c r="E249" s="125">
        <v>61</v>
      </c>
      <c r="F249" s="126">
        <f t="shared" si="43"/>
        <v>0.24797</v>
      </c>
      <c r="G249" s="124">
        <f t="shared" si="44"/>
        <v>3.175E-2</v>
      </c>
      <c r="H249" s="125">
        <v>72</v>
      </c>
      <c r="I249" s="126">
        <f t="shared" si="45"/>
        <v>0.29268</v>
      </c>
      <c r="J249" s="124">
        <f t="shared" si="46"/>
        <v>3.449E-2</v>
      </c>
      <c r="K249" s="125">
        <v>45</v>
      </c>
      <c r="L249" s="126">
        <f t="shared" si="47"/>
        <v>0.18293000000000001</v>
      </c>
      <c r="M249" s="124">
        <f t="shared" si="48"/>
        <v>2.7269999999999999E-2</v>
      </c>
      <c r="N249" s="125">
        <v>16</v>
      </c>
      <c r="O249" s="126">
        <f t="shared" si="49"/>
        <v>6.5040000000000001E-2</v>
      </c>
      <c r="P249" s="124">
        <f t="shared" si="50"/>
        <v>1.626E-2</v>
      </c>
      <c r="Q249" s="125">
        <v>7</v>
      </c>
      <c r="R249" s="126">
        <f t="shared" si="51"/>
        <v>2.8459999999999999E-2</v>
      </c>
      <c r="S249" s="124">
        <f t="shared" si="52"/>
        <v>1.076E-2</v>
      </c>
      <c r="T249" s="125">
        <v>8</v>
      </c>
      <c r="U249" s="126">
        <f t="shared" si="53"/>
        <v>3.252E-2</v>
      </c>
      <c r="V249" s="124">
        <f t="shared" si="54"/>
        <v>1.15E-2</v>
      </c>
    </row>
    <row r="250" spans="1:22" s="3" customFormat="1" x14ac:dyDescent="0.3">
      <c r="A250" s="38">
        <v>1774</v>
      </c>
      <c r="B250" s="122" t="str">
        <f t="shared" si="55"/>
        <v>1774-2020</v>
      </c>
      <c r="C250" s="127">
        <v>247</v>
      </c>
      <c r="D250" s="128">
        <f t="shared" si="56"/>
        <v>6.3630000000000006E-2</v>
      </c>
      <c r="E250" s="125">
        <v>61</v>
      </c>
      <c r="F250" s="126">
        <f t="shared" si="43"/>
        <v>0.24696000000000001</v>
      </c>
      <c r="G250" s="124">
        <f t="shared" si="44"/>
        <v>3.1620000000000002E-2</v>
      </c>
      <c r="H250" s="125">
        <v>72</v>
      </c>
      <c r="I250" s="126">
        <f t="shared" si="45"/>
        <v>0.29149999999999998</v>
      </c>
      <c r="J250" s="124">
        <f t="shared" si="46"/>
        <v>3.4349999999999999E-2</v>
      </c>
      <c r="K250" s="125">
        <v>45</v>
      </c>
      <c r="L250" s="126">
        <f t="shared" si="47"/>
        <v>0.18218999999999999</v>
      </c>
      <c r="M250" s="124">
        <f t="shared" si="48"/>
        <v>2.716E-2</v>
      </c>
      <c r="N250" s="125">
        <v>16</v>
      </c>
      <c r="O250" s="126">
        <f t="shared" si="49"/>
        <v>6.4780000000000004E-2</v>
      </c>
      <c r="P250" s="124">
        <f t="shared" si="50"/>
        <v>1.6199999999999999E-2</v>
      </c>
      <c r="Q250" s="125">
        <v>7</v>
      </c>
      <c r="R250" s="126">
        <f t="shared" si="51"/>
        <v>2.8340000000000001E-2</v>
      </c>
      <c r="S250" s="124">
        <f t="shared" si="52"/>
        <v>1.0710000000000001E-2</v>
      </c>
      <c r="T250" s="125">
        <v>8</v>
      </c>
      <c r="U250" s="126">
        <f t="shared" si="53"/>
        <v>3.2390000000000002E-2</v>
      </c>
      <c r="V250" s="124">
        <f t="shared" si="54"/>
        <v>1.145E-2</v>
      </c>
    </row>
    <row r="251" spans="1:22" s="3" customFormat="1" x14ac:dyDescent="0.3">
      <c r="A251" s="38">
        <v>1773</v>
      </c>
      <c r="B251" s="122" t="str">
        <f t="shared" si="55"/>
        <v>1773-2020</v>
      </c>
      <c r="C251" s="123">
        <v>248</v>
      </c>
      <c r="D251" s="124">
        <f t="shared" si="56"/>
        <v>6.3500000000000001E-2</v>
      </c>
      <c r="E251" s="125">
        <v>61</v>
      </c>
      <c r="F251" s="126">
        <f t="shared" si="43"/>
        <v>0.24596999999999999</v>
      </c>
      <c r="G251" s="124">
        <f t="shared" si="44"/>
        <v>3.1489999999999997E-2</v>
      </c>
      <c r="H251" s="125">
        <v>72</v>
      </c>
      <c r="I251" s="126">
        <f t="shared" si="45"/>
        <v>0.29032000000000002</v>
      </c>
      <c r="J251" s="124">
        <f t="shared" si="46"/>
        <v>3.4209999999999997E-2</v>
      </c>
      <c r="K251" s="125">
        <v>45</v>
      </c>
      <c r="L251" s="126">
        <f t="shared" si="47"/>
        <v>0.18145</v>
      </c>
      <c r="M251" s="124">
        <f t="shared" si="48"/>
        <v>2.7050000000000001E-2</v>
      </c>
      <c r="N251" s="125">
        <v>16</v>
      </c>
      <c r="O251" s="126">
        <f t="shared" si="49"/>
        <v>6.4519999999999994E-2</v>
      </c>
      <c r="P251" s="124">
        <f t="shared" si="50"/>
        <v>1.6129999999999999E-2</v>
      </c>
      <c r="Q251" s="125">
        <v>7</v>
      </c>
      <c r="R251" s="126">
        <f t="shared" si="51"/>
        <v>2.8230000000000002E-2</v>
      </c>
      <c r="S251" s="124">
        <f t="shared" si="52"/>
        <v>1.0670000000000001E-2</v>
      </c>
      <c r="T251" s="125">
        <v>8</v>
      </c>
      <c r="U251" s="126">
        <f t="shared" si="53"/>
        <v>3.2259999999999997E-2</v>
      </c>
      <c r="V251" s="124">
        <f t="shared" si="54"/>
        <v>1.141E-2</v>
      </c>
    </row>
    <row r="252" spans="1:22" s="3" customFormat="1" x14ac:dyDescent="0.3">
      <c r="A252" s="38">
        <v>1772</v>
      </c>
      <c r="B252" s="122" t="str">
        <f t="shared" si="55"/>
        <v>1772-2020</v>
      </c>
      <c r="C252" s="127">
        <v>249</v>
      </c>
      <c r="D252" s="128">
        <f t="shared" si="56"/>
        <v>6.3369999999999996E-2</v>
      </c>
      <c r="E252" s="125">
        <v>61</v>
      </c>
      <c r="F252" s="126">
        <f t="shared" si="43"/>
        <v>0.24498</v>
      </c>
      <c r="G252" s="124">
        <f t="shared" si="44"/>
        <v>3.1370000000000002E-2</v>
      </c>
      <c r="H252" s="125">
        <v>72</v>
      </c>
      <c r="I252" s="126">
        <f t="shared" si="45"/>
        <v>0.28915999999999997</v>
      </c>
      <c r="J252" s="124">
        <f t="shared" si="46"/>
        <v>3.4079999999999999E-2</v>
      </c>
      <c r="K252" s="125">
        <v>45</v>
      </c>
      <c r="L252" s="126">
        <f t="shared" si="47"/>
        <v>0.18071999999999999</v>
      </c>
      <c r="M252" s="124">
        <f t="shared" si="48"/>
        <v>2.6939999999999999E-2</v>
      </c>
      <c r="N252" s="125">
        <v>16</v>
      </c>
      <c r="O252" s="126">
        <f t="shared" si="49"/>
        <v>6.4259999999999998E-2</v>
      </c>
      <c r="P252" s="124">
        <f t="shared" si="50"/>
        <v>1.6060000000000001E-2</v>
      </c>
      <c r="Q252" s="125">
        <v>7</v>
      </c>
      <c r="R252" s="126">
        <f t="shared" si="51"/>
        <v>2.811E-2</v>
      </c>
      <c r="S252" s="124">
        <f t="shared" si="52"/>
        <v>1.0619999999999999E-2</v>
      </c>
      <c r="T252" s="125">
        <v>8</v>
      </c>
      <c r="U252" s="126">
        <f t="shared" si="53"/>
        <v>3.2129999999999999E-2</v>
      </c>
      <c r="V252" s="124">
        <f t="shared" si="54"/>
        <v>1.136E-2</v>
      </c>
    </row>
    <row r="253" spans="1:22" s="3" customFormat="1" x14ac:dyDescent="0.3">
      <c r="A253" s="38">
        <v>1771</v>
      </c>
      <c r="B253" s="122" t="str">
        <f t="shared" si="55"/>
        <v>1771-2020</v>
      </c>
      <c r="C253" s="123">
        <v>250</v>
      </c>
      <c r="D253" s="124">
        <f t="shared" si="56"/>
        <v>6.3250000000000001E-2</v>
      </c>
      <c r="E253" s="125">
        <v>61</v>
      </c>
      <c r="F253" s="126">
        <f t="shared" si="43"/>
        <v>0.24399999999999999</v>
      </c>
      <c r="G253" s="124">
        <f t="shared" si="44"/>
        <v>3.124E-2</v>
      </c>
      <c r="H253" s="125">
        <v>72</v>
      </c>
      <c r="I253" s="126">
        <f t="shared" si="45"/>
        <v>0.28799999999999998</v>
      </c>
      <c r="J253" s="124">
        <f t="shared" si="46"/>
        <v>3.3939999999999998E-2</v>
      </c>
      <c r="K253" s="125">
        <v>45</v>
      </c>
      <c r="L253" s="126">
        <f t="shared" si="47"/>
        <v>0.18</v>
      </c>
      <c r="M253" s="124">
        <f t="shared" si="48"/>
        <v>2.683E-2</v>
      </c>
      <c r="N253" s="125">
        <v>16</v>
      </c>
      <c r="O253" s="126">
        <f t="shared" si="49"/>
        <v>6.4000000000000001E-2</v>
      </c>
      <c r="P253" s="124">
        <f t="shared" si="50"/>
        <v>1.6E-2</v>
      </c>
      <c r="Q253" s="125">
        <v>7</v>
      </c>
      <c r="R253" s="126">
        <f t="shared" si="51"/>
        <v>2.8000000000000001E-2</v>
      </c>
      <c r="S253" s="124">
        <f t="shared" si="52"/>
        <v>1.0580000000000001E-2</v>
      </c>
      <c r="T253" s="125">
        <v>8</v>
      </c>
      <c r="U253" s="126">
        <f t="shared" si="53"/>
        <v>3.2000000000000001E-2</v>
      </c>
      <c r="V253" s="124">
        <f t="shared" si="54"/>
        <v>1.1310000000000001E-2</v>
      </c>
    </row>
    <row r="254" spans="1:22" s="3" customFormat="1" x14ac:dyDescent="0.3">
      <c r="A254" s="38">
        <v>1770</v>
      </c>
      <c r="B254" s="122" t="str">
        <f t="shared" si="55"/>
        <v>1770-2020</v>
      </c>
      <c r="C254" s="127">
        <v>251</v>
      </c>
      <c r="D254" s="128">
        <f t="shared" si="56"/>
        <v>6.3119999999999996E-2</v>
      </c>
      <c r="E254" s="125">
        <v>61</v>
      </c>
      <c r="F254" s="126">
        <f t="shared" si="43"/>
        <v>0.24303</v>
      </c>
      <c r="G254" s="124">
        <f t="shared" si="44"/>
        <v>3.1119999999999998E-2</v>
      </c>
      <c r="H254" s="125">
        <v>72</v>
      </c>
      <c r="I254" s="126">
        <f t="shared" si="45"/>
        <v>0.28684999999999999</v>
      </c>
      <c r="J254" s="124">
        <f t="shared" si="46"/>
        <v>3.381E-2</v>
      </c>
      <c r="K254" s="125">
        <v>45</v>
      </c>
      <c r="L254" s="126">
        <f t="shared" si="47"/>
        <v>0.17927999999999999</v>
      </c>
      <c r="M254" s="124">
        <f t="shared" si="48"/>
        <v>2.673E-2</v>
      </c>
      <c r="N254" s="125">
        <v>16</v>
      </c>
      <c r="O254" s="126">
        <f t="shared" si="49"/>
        <v>6.3750000000000001E-2</v>
      </c>
      <c r="P254" s="124">
        <f t="shared" si="50"/>
        <v>1.5939999999999999E-2</v>
      </c>
      <c r="Q254" s="125">
        <v>7</v>
      </c>
      <c r="R254" s="126">
        <f t="shared" si="51"/>
        <v>2.7890000000000002E-2</v>
      </c>
      <c r="S254" s="124">
        <f t="shared" si="52"/>
        <v>1.0540000000000001E-2</v>
      </c>
      <c r="T254" s="125">
        <v>8</v>
      </c>
      <c r="U254" s="126">
        <f t="shared" si="53"/>
        <v>3.1870000000000002E-2</v>
      </c>
      <c r="V254" s="124">
        <f t="shared" si="54"/>
        <v>1.1270000000000001E-2</v>
      </c>
    </row>
    <row r="255" spans="1:22" s="3" customFormat="1" x14ac:dyDescent="0.3">
      <c r="A255" s="38">
        <v>1769</v>
      </c>
      <c r="B255" s="122" t="str">
        <f t="shared" si="55"/>
        <v>1769-2020</v>
      </c>
      <c r="C255" s="123">
        <v>252</v>
      </c>
      <c r="D255" s="124">
        <f t="shared" si="56"/>
        <v>6.2990000000000004E-2</v>
      </c>
      <c r="E255" s="125">
        <v>61</v>
      </c>
      <c r="F255" s="126">
        <f t="shared" si="43"/>
        <v>0.24206</v>
      </c>
      <c r="G255" s="124">
        <f t="shared" si="44"/>
        <v>3.099E-2</v>
      </c>
      <c r="H255" s="125">
        <v>72</v>
      </c>
      <c r="I255" s="126">
        <f t="shared" si="45"/>
        <v>0.28571000000000002</v>
      </c>
      <c r="J255" s="124">
        <f t="shared" si="46"/>
        <v>3.3669999999999999E-2</v>
      </c>
      <c r="K255" s="125">
        <v>45</v>
      </c>
      <c r="L255" s="126">
        <f t="shared" si="47"/>
        <v>0.17857000000000001</v>
      </c>
      <c r="M255" s="124">
        <f t="shared" si="48"/>
        <v>2.6620000000000001E-2</v>
      </c>
      <c r="N255" s="125">
        <v>16</v>
      </c>
      <c r="O255" s="126">
        <f t="shared" si="49"/>
        <v>6.3490000000000005E-2</v>
      </c>
      <c r="P255" s="124">
        <f t="shared" si="50"/>
        <v>1.5869999999999999E-2</v>
      </c>
      <c r="Q255" s="125">
        <v>7</v>
      </c>
      <c r="R255" s="126">
        <f t="shared" si="51"/>
        <v>2.7779999999999999E-2</v>
      </c>
      <c r="S255" s="124">
        <f t="shared" si="52"/>
        <v>1.0500000000000001E-2</v>
      </c>
      <c r="T255" s="125">
        <v>8</v>
      </c>
      <c r="U255" s="126">
        <f t="shared" si="53"/>
        <v>3.175E-2</v>
      </c>
      <c r="V255" s="124">
        <f t="shared" si="54"/>
        <v>1.1220000000000001E-2</v>
      </c>
    </row>
    <row r="256" spans="1:22" s="3" customFormat="1" x14ac:dyDescent="0.3">
      <c r="A256" s="38">
        <v>1768</v>
      </c>
      <c r="B256" s="122" t="str">
        <f t="shared" si="55"/>
        <v>1768-2020</v>
      </c>
      <c r="C256" s="127">
        <v>253</v>
      </c>
      <c r="D256" s="128">
        <f t="shared" si="56"/>
        <v>6.2869999999999995E-2</v>
      </c>
      <c r="E256" s="125">
        <v>61</v>
      </c>
      <c r="F256" s="126">
        <f t="shared" si="43"/>
        <v>0.24110999999999999</v>
      </c>
      <c r="G256" s="124">
        <f t="shared" si="44"/>
        <v>3.0870000000000002E-2</v>
      </c>
      <c r="H256" s="125">
        <v>72</v>
      </c>
      <c r="I256" s="126">
        <f t="shared" si="45"/>
        <v>0.28458</v>
      </c>
      <c r="J256" s="124">
        <f t="shared" si="46"/>
        <v>3.354E-2</v>
      </c>
      <c r="K256" s="125">
        <v>45</v>
      </c>
      <c r="L256" s="126">
        <f t="shared" si="47"/>
        <v>0.17787</v>
      </c>
      <c r="M256" s="124">
        <f t="shared" si="48"/>
        <v>2.6519999999999998E-2</v>
      </c>
      <c r="N256" s="125">
        <v>16</v>
      </c>
      <c r="O256" s="126">
        <f t="shared" si="49"/>
        <v>6.3240000000000005E-2</v>
      </c>
      <c r="P256" s="124">
        <f t="shared" si="50"/>
        <v>1.5810000000000001E-2</v>
      </c>
      <c r="Q256" s="125">
        <v>7</v>
      </c>
      <c r="R256" s="126">
        <f t="shared" si="51"/>
        <v>2.767E-2</v>
      </c>
      <c r="S256" s="124">
        <f t="shared" si="52"/>
        <v>1.0460000000000001E-2</v>
      </c>
      <c r="T256" s="125">
        <v>8</v>
      </c>
      <c r="U256" s="126">
        <f t="shared" si="53"/>
        <v>3.1620000000000002E-2</v>
      </c>
      <c r="V256" s="124">
        <f t="shared" si="54"/>
        <v>1.1180000000000001E-2</v>
      </c>
    </row>
    <row r="257" spans="1:22" s="3" customFormat="1" x14ac:dyDescent="0.3">
      <c r="A257" s="38">
        <v>1767</v>
      </c>
      <c r="B257" s="122" t="str">
        <f t="shared" si="55"/>
        <v>1767-2020</v>
      </c>
      <c r="C257" s="123">
        <v>254</v>
      </c>
      <c r="D257" s="124">
        <f t="shared" si="56"/>
        <v>6.275E-2</v>
      </c>
      <c r="E257" s="125">
        <v>61</v>
      </c>
      <c r="F257" s="126">
        <f t="shared" si="43"/>
        <v>0.24016000000000001</v>
      </c>
      <c r="G257" s="124">
        <f t="shared" si="44"/>
        <v>3.075E-2</v>
      </c>
      <c r="H257" s="125">
        <v>72</v>
      </c>
      <c r="I257" s="126">
        <f t="shared" si="45"/>
        <v>0.28345999999999999</v>
      </c>
      <c r="J257" s="124">
        <f t="shared" si="46"/>
        <v>3.3410000000000002E-2</v>
      </c>
      <c r="K257" s="125">
        <v>45</v>
      </c>
      <c r="L257" s="126">
        <f t="shared" si="47"/>
        <v>0.17716999999999999</v>
      </c>
      <c r="M257" s="124">
        <f t="shared" si="48"/>
        <v>2.6409999999999999E-2</v>
      </c>
      <c r="N257" s="125">
        <v>16</v>
      </c>
      <c r="O257" s="126">
        <f t="shared" si="49"/>
        <v>6.2990000000000004E-2</v>
      </c>
      <c r="P257" s="124">
        <f t="shared" si="50"/>
        <v>1.575E-2</v>
      </c>
      <c r="Q257" s="125">
        <v>7</v>
      </c>
      <c r="R257" s="126">
        <f t="shared" si="51"/>
        <v>2.7560000000000001E-2</v>
      </c>
      <c r="S257" s="124">
        <f t="shared" si="52"/>
        <v>1.042E-2</v>
      </c>
      <c r="T257" s="125">
        <v>8</v>
      </c>
      <c r="U257" s="126">
        <f t="shared" si="53"/>
        <v>3.15E-2</v>
      </c>
      <c r="V257" s="124">
        <f t="shared" si="54"/>
        <v>1.1140000000000001E-2</v>
      </c>
    </row>
    <row r="258" spans="1:22" s="3" customFormat="1" x14ac:dyDescent="0.3">
      <c r="A258" s="38">
        <v>1766</v>
      </c>
      <c r="B258" s="122" t="str">
        <f t="shared" si="55"/>
        <v>1766-2020</v>
      </c>
      <c r="C258" s="127">
        <v>255</v>
      </c>
      <c r="D258" s="128">
        <f t="shared" si="56"/>
        <v>6.2619999999999995E-2</v>
      </c>
      <c r="E258" s="125">
        <v>61</v>
      </c>
      <c r="F258" s="126">
        <f t="shared" si="43"/>
        <v>0.23921999999999999</v>
      </c>
      <c r="G258" s="124">
        <f t="shared" si="44"/>
        <v>3.0630000000000001E-2</v>
      </c>
      <c r="H258" s="125">
        <v>72</v>
      </c>
      <c r="I258" s="126">
        <f t="shared" si="45"/>
        <v>0.28234999999999999</v>
      </c>
      <c r="J258" s="124">
        <f t="shared" si="46"/>
        <v>3.3270000000000001E-2</v>
      </c>
      <c r="K258" s="125">
        <v>45</v>
      </c>
      <c r="L258" s="126">
        <f t="shared" si="47"/>
        <v>0.17646999999999999</v>
      </c>
      <c r="M258" s="124">
        <f t="shared" si="48"/>
        <v>2.631E-2</v>
      </c>
      <c r="N258" s="125">
        <v>16</v>
      </c>
      <c r="O258" s="126">
        <f t="shared" si="49"/>
        <v>6.275E-2</v>
      </c>
      <c r="P258" s="124">
        <f t="shared" si="50"/>
        <v>1.5689999999999999E-2</v>
      </c>
      <c r="Q258" s="125">
        <v>7</v>
      </c>
      <c r="R258" s="126">
        <f t="shared" si="51"/>
        <v>2.7449999999999999E-2</v>
      </c>
      <c r="S258" s="124">
        <f t="shared" si="52"/>
        <v>1.0370000000000001E-2</v>
      </c>
      <c r="T258" s="125">
        <v>8</v>
      </c>
      <c r="U258" s="126">
        <f t="shared" si="53"/>
        <v>3.1370000000000002E-2</v>
      </c>
      <c r="V258" s="124">
        <f t="shared" si="54"/>
        <v>1.1089999999999999E-2</v>
      </c>
    </row>
    <row r="259" spans="1:22" s="3" customFormat="1" x14ac:dyDescent="0.3">
      <c r="A259" s="38">
        <v>1765</v>
      </c>
      <c r="B259" s="122" t="str">
        <f t="shared" si="55"/>
        <v>1765-2020</v>
      </c>
      <c r="C259" s="123">
        <v>256</v>
      </c>
      <c r="D259" s="124">
        <f t="shared" si="56"/>
        <v>6.25E-2</v>
      </c>
      <c r="E259" s="125">
        <v>61</v>
      </c>
      <c r="F259" s="126">
        <f t="shared" si="43"/>
        <v>0.23827999999999999</v>
      </c>
      <c r="G259" s="124">
        <f t="shared" si="44"/>
        <v>3.0509999999999999E-2</v>
      </c>
      <c r="H259" s="125">
        <v>72</v>
      </c>
      <c r="I259" s="126">
        <f t="shared" si="45"/>
        <v>0.28125</v>
      </c>
      <c r="J259" s="124">
        <f t="shared" si="46"/>
        <v>3.3149999999999999E-2</v>
      </c>
      <c r="K259" s="125">
        <v>45</v>
      </c>
      <c r="L259" s="126">
        <f t="shared" si="47"/>
        <v>0.17577999999999999</v>
      </c>
      <c r="M259" s="124">
        <f t="shared" si="48"/>
        <v>2.6200000000000001E-2</v>
      </c>
      <c r="N259" s="125">
        <v>16</v>
      </c>
      <c r="O259" s="126">
        <f t="shared" si="49"/>
        <v>6.25E-2</v>
      </c>
      <c r="P259" s="124">
        <f t="shared" si="50"/>
        <v>1.5630000000000002E-2</v>
      </c>
      <c r="Q259" s="125">
        <v>7</v>
      </c>
      <c r="R259" s="126">
        <f t="shared" si="51"/>
        <v>2.734E-2</v>
      </c>
      <c r="S259" s="124">
        <f t="shared" si="52"/>
        <v>1.0330000000000001E-2</v>
      </c>
      <c r="T259" s="125">
        <v>8</v>
      </c>
      <c r="U259" s="126">
        <f t="shared" si="53"/>
        <v>3.125E-2</v>
      </c>
      <c r="V259" s="124">
        <f t="shared" si="54"/>
        <v>1.1050000000000001E-2</v>
      </c>
    </row>
    <row r="260" spans="1:22" s="3" customFormat="1" x14ac:dyDescent="0.3">
      <c r="A260" s="38">
        <v>1764</v>
      </c>
      <c r="B260" s="122" t="str">
        <f t="shared" si="55"/>
        <v>1764-2020</v>
      </c>
      <c r="C260" s="127">
        <v>257</v>
      </c>
      <c r="D260" s="128">
        <f t="shared" si="56"/>
        <v>6.2379999999999998E-2</v>
      </c>
      <c r="E260" s="125">
        <v>61</v>
      </c>
      <c r="F260" s="126">
        <f t="shared" si="43"/>
        <v>0.23735000000000001</v>
      </c>
      <c r="G260" s="124">
        <f t="shared" si="44"/>
        <v>3.039E-2</v>
      </c>
      <c r="H260" s="125">
        <v>72</v>
      </c>
      <c r="I260" s="126">
        <f t="shared" si="45"/>
        <v>0.28016000000000002</v>
      </c>
      <c r="J260" s="124">
        <f t="shared" si="46"/>
        <v>3.3020000000000001E-2</v>
      </c>
      <c r="K260" s="125">
        <v>45</v>
      </c>
      <c r="L260" s="126">
        <f t="shared" si="47"/>
        <v>0.17510000000000001</v>
      </c>
      <c r="M260" s="124">
        <f t="shared" si="48"/>
        <v>2.6100000000000002E-2</v>
      </c>
      <c r="N260" s="125">
        <v>16</v>
      </c>
      <c r="O260" s="126">
        <f t="shared" si="49"/>
        <v>6.2260000000000003E-2</v>
      </c>
      <c r="P260" s="124">
        <f t="shared" si="50"/>
        <v>1.5570000000000001E-2</v>
      </c>
      <c r="Q260" s="125">
        <v>7</v>
      </c>
      <c r="R260" s="126">
        <f t="shared" si="51"/>
        <v>2.724E-2</v>
      </c>
      <c r="S260" s="124">
        <f t="shared" si="52"/>
        <v>1.03E-2</v>
      </c>
      <c r="T260" s="125">
        <v>8</v>
      </c>
      <c r="U260" s="126">
        <f t="shared" si="53"/>
        <v>3.1130000000000001E-2</v>
      </c>
      <c r="V260" s="124">
        <f t="shared" si="54"/>
        <v>1.1010000000000001E-2</v>
      </c>
    </row>
    <row r="261" spans="1:22" s="3" customFormat="1" x14ac:dyDescent="0.3">
      <c r="A261" s="38">
        <v>1763</v>
      </c>
      <c r="B261" s="122" t="str">
        <f t="shared" si="55"/>
        <v>1763-2020</v>
      </c>
      <c r="C261" s="123">
        <v>258</v>
      </c>
      <c r="D261" s="124">
        <f t="shared" si="56"/>
        <v>6.2260000000000003E-2</v>
      </c>
      <c r="E261" s="125">
        <v>61</v>
      </c>
      <c r="F261" s="126">
        <f t="shared" ref="F261:F324" si="57">ROUND(E261/$C261,5)</f>
        <v>0.23643</v>
      </c>
      <c r="G261" s="124">
        <f t="shared" ref="G261:G324" si="58">ROUND(SQRT(F261)*$D261,5)</f>
        <v>3.0269999999999998E-2</v>
      </c>
      <c r="H261" s="125">
        <v>72</v>
      </c>
      <c r="I261" s="126">
        <f t="shared" ref="I261:I324" si="59">ROUND(H261/$C261,5)</f>
        <v>0.27906999999999998</v>
      </c>
      <c r="J261" s="124">
        <f t="shared" ref="J261:J324" si="60">ROUND(SQRT(I261)*$D261,5)</f>
        <v>3.2890000000000003E-2</v>
      </c>
      <c r="K261" s="125">
        <v>45</v>
      </c>
      <c r="L261" s="126">
        <f t="shared" ref="L261:L324" si="61">ROUND(K261/$C261,5)</f>
        <v>0.17441999999999999</v>
      </c>
      <c r="M261" s="124">
        <f t="shared" ref="M261:M324" si="62">ROUND(SQRT(L261)*$D261,5)</f>
        <v>2.5999999999999999E-2</v>
      </c>
      <c r="N261" s="125">
        <v>16</v>
      </c>
      <c r="O261" s="126">
        <f t="shared" ref="O261:O324" si="63">ROUND(N261/$C261,5)</f>
        <v>6.2019999999999999E-2</v>
      </c>
      <c r="P261" s="124">
        <f t="shared" ref="P261:P324" si="64">ROUND(SQRT(O261)*$D261,5)</f>
        <v>1.5509999999999999E-2</v>
      </c>
      <c r="Q261" s="125">
        <v>7</v>
      </c>
      <c r="R261" s="126">
        <f t="shared" ref="R261:R324" si="65">ROUND(Q261/$C261,5)</f>
        <v>2.7130000000000001E-2</v>
      </c>
      <c r="S261" s="124">
        <f t="shared" ref="S261:S324" si="66">ROUND(SQRT(R261)*$D261,5)</f>
        <v>1.025E-2</v>
      </c>
      <c r="T261" s="125">
        <v>8</v>
      </c>
      <c r="U261" s="126">
        <f t="shared" ref="U261:U324" si="67">ROUND(T261/$C261,5)</f>
        <v>3.1009999999999999E-2</v>
      </c>
      <c r="V261" s="124">
        <f t="shared" ref="V261:V324" si="68">ROUND(SQRT(U261)*$D261,5)</f>
        <v>1.0959999999999999E-2</v>
      </c>
    </row>
    <row r="262" spans="1:22" s="3" customFormat="1" x14ac:dyDescent="0.3">
      <c r="A262" s="38">
        <v>1762</v>
      </c>
      <c r="B262" s="122" t="str">
        <f t="shared" ref="B262:B325" si="69">A262&amp;"-2020"</f>
        <v>1762-2020</v>
      </c>
      <c r="C262" s="127">
        <v>259</v>
      </c>
      <c r="D262" s="128">
        <f t="shared" si="56"/>
        <v>6.2140000000000001E-2</v>
      </c>
      <c r="E262" s="125">
        <v>61</v>
      </c>
      <c r="F262" s="126">
        <f t="shared" si="57"/>
        <v>0.23552000000000001</v>
      </c>
      <c r="G262" s="124">
        <f t="shared" si="58"/>
        <v>3.0159999999999999E-2</v>
      </c>
      <c r="H262" s="125">
        <v>72</v>
      </c>
      <c r="I262" s="126">
        <f t="shared" si="59"/>
        <v>0.27799000000000001</v>
      </c>
      <c r="J262" s="124">
        <f t="shared" si="60"/>
        <v>3.2759999999999997E-2</v>
      </c>
      <c r="K262" s="125">
        <v>45</v>
      </c>
      <c r="L262" s="126">
        <f t="shared" si="61"/>
        <v>0.17374999999999999</v>
      </c>
      <c r="M262" s="124">
        <f t="shared" si="62"/>
        <v>2.5899999999999999E-2</v>
      </c>
      <c r="N262" s="125">
        <v>16</v>
      </c>
      <c r="O262" s="126">
        <f t="shared" si="63"/>
        <v>6.1780000000000002E-2</v>
      </c>
      <c r="P262" s="124">
        <f t="shared" si="64"/>
        <v>1.545E-2</v>
      </c>
      <c r="Q262" s="125">
        <v>7</v>
      </c>
      <c r="R262" s="126">
        <f t="shared" si="65"/>
        <v>2.7029999999999998E-2</v>
      </c>
      <c r="S262" s="124">
        <f t="shared" si="66"/>
        <v>1.022E-2</v>
      </c>
      <c r="T262" s="125">
        <v>8</v>
      </c>
      <c r="U262" s="126">
        <f t="shared" si="67"/>
        <v>3.0890000000000001E-2</v>
      </c>
      <c r="V262" s="124">
        <f t="shared" si="68"/>
        <v>1.0919999999999999E-2</v>
      </c>
    </row>
    <row r="263" spans="1:22" s="3" customFormat="1" x14ac:dyDescent="0.3">
      <c r="A263" s="38">
        <v>1761</v>
      </c>
      <c r="B263" s="122" t="str">
        <f t="shared" si="69"/>
        <v>1761-2020</v>
      </c>
      <c r="C263" s="123">
        <v>260</v>
      </c>
      <c r="D263" s="124">
        <f t="shared" ref="D263:D326" si="70">ROUND(1/SQRT(C263),5)</f>
        <v>6.2019999999999999E-2</v>
      </c>
      <c r="E263" s="125">
        <v>61</v>
      </c>
      <c r="F263" s="126">
        <f t="shared" si="57"/>
        <v>0.23462</v>
      </c>
      <c r="G263" s="124">
        <f t="shared" si="58"/>
        <v>3.0040000000000001E-2</v>
      </c>
      <c r="H263" s="125">
        <v>72</v>
      </c>
      <c r="I263" s="126">
        <f t="shared" si="59"/>
        <v>0.27692</v>
      </c>
      <c r="J263" s="124">
        <f t="shared" si="60"/>
        <v>3.2640000000000002E-2</v>
      </c>
      <c r="K263" s="125">
        <v>45</v>
      </c>
      <c r="L263" s="126">
        <f t="shared" si="61"/>
        <v>0.17308000000000001</v>
      </c>
      <c r="M263" s="124">
        <f t="shared" si="62"/>
        <v>2.58E-2</v>
      </c>
      <c r="N263" s="125">
        <v>16</v>
      </c>
      <c r="O263" s="126">
        <f t="shared" si="63"/>
        <v>6.1539999999999997E-2</v>
      </c>
      <c r="P263" s="124">
        <f t="shared" si="64"/>
        <v>1.5389999999999999E-2</v>
      </c>
      <c r="Q263" s="125">
        <v>7</v>
      </c>
      <c r="R263" s="126">
        <f t="shared" si="65"/>
        <v>2.6919999999999999E-2</v>
      </c>
      <c r="S263" s="124">
        <f t="shared" si="66"/>
        <v>1.018E-2</v>
      </c>
      <c r="T263" s="125">
        <v>8</v>
      </c>
      <c r="U263" s="126">
        <f t="shared" si="67"/>
        <v>3.0769999999999999E-2</v>
      </c>
      <c r="V263" s="124">
        <f t="shared" si="68"/>
        <v>1.0880000000000001E-2</v>
      </c>
    </row>
    <row r="264" spans="1:22" s="3" customFormat="1" x14ac:dyDescent="0.3">
      <c r="A264" s="38">
        <v>1760</v>
      </c>
      <c r="B264" s="122" t="str">
        <f t="shared" si="69"/>
        <v>1760-2020</v>
      </c>
      <c r="C264" s="127">
        <v>261</v>
      </c>
      <c r="D264" s="128">
        <f t="shared" si="70"/>
        <v>6.1899999999999997E-2</v>
      </c>
      <c r="E264" s="125">
        <v>61</v>
      </c>
      <c r="F264" s="126">
        <f t="shared" si="57"/>
        <v>0.23372000000000001</v>
      </c>
      <c r="G264" s="124">
        <f t="shared" si="58"/>
        <v>2.9929999999999998E-2</v>
      </c>
      <c r="H264" s="125">
        <v>72</v>
      </c>
      <c r="I264" s="126">
        <f t="shared" si="59"/>
        <v>0.27585999999999999</v>
      </c>
      <c r="J264" s="124">
        <f t="shared" si="60"/>
        <v>3.2509999999999997E-2</v>
      </c>
      <c r="K264" s="125">
        <v>45</v>
      </c>
      <c r="L264" s="126">
        <f t="shared" si="61"/>
        <v>0.17241000000000001</v>
      </c>
      <c r="M264" s="124">
        <f t="shared" si="62"/>
        <v>2.5700000000000001E-2</v>
      </c>
      <c r="N264" s="125">
        <v>16</v>
      </c>
      <c r="O264" s="126">
        <f t="shared" si="63"/>
        <v>6.13E-2</v>
      </c>
      <c r="P264" s="124">
        <f t="shared" si="64"/>
        <v>1.533E-2</v>
      </c>
      <c r="Q264" s="125">
        <v>7</v>
      </c>
      <c r="R264" s="126">
        <f t="shared" si="65"/>
        <v>2.682E-2</v>
      </c>
      <c r="S264" s="124">
        <f t="shared" si="66"/>
        <v>1.014E-2</v>
      </c>
      <c r="T264" s="125">
        <v>8</v>
      </c>
      <c r="U264" s="126">
        <f t="shared" si="67"/>
        <v>3.065E-2</v>
      </c>
      <c r="V264" s="124">
        <f t="shared" si="68"/>
        <v>1.0840000000000001E-2</v>
      </c>
    </row>
    <row r="265" spans="1:22" s="3" customFormat="1" x14ac:dyDescent="0.3">
      <c r="A265" s="38">
        <v>1759</v>
      </c>
      <c r="B265" s="122" t="str">
        <f t="shared" si="69"/>
        <v>1759-2020</v>
      </c>
      <c r="C265" s="123">
        <v>262</v>
      </c>
      <c r="D265" s="124">
        <f t="shared" si="70"/>
        <v>6.1780000000000002E-2</v>
      </c>
      <c r="E265" s="125">
        <v>61</v>
      </c>
      <c r="F265" s="126">
        <f t="shared" si="57"/>
        <v>0.23282</v>
      </c>
      <c r="G265" s="124">
        <f t="shared" si="58"/>
        <v>2.981E-2</v>
      </c>
      <c r="H265" s="125">
        <v>72</v>
      </c>
      <c r="I265" s="126">
        <f t="shared" si="59"/>
        <v>0.27481</v>
      </c>
      <c r="J265" s="124">
        <f t="shared" si="60"/>
        <v>3.2390000000000002E-2</v>
      </c>
      <c r="K265" s="125">
        <v>45</v>
      </c>
      <c r="L265" s="126">
        <f t="shared" si="61"/>
        <v>0.17176</v>
      </c>
      <c r="M265" s="124">
        <f t="shared" si="62"/>
        <v>2.5600000000000001E-2</v>
      </c>
      <c r="N265" s="125">
        <v>16</v>
      </c>
      <c r="O265" s="126">
        <f t="shared" si="63"/>
        <v>6.1069999999999999E-2</v>
      </c>
      <c r="P265" s="124">
        <f t="shared" si="64"/>
        <v>1.5270000000000001E-2</v>
      </c>
      <c r="Q265" s="125">
        <v>7</v>
      </c>
      <c r="R265" s="126">
        <f t="shared" si="65"/>
        <v>2.6720000000000001E-2</v>
      </c>
      <c r="S265" s="124">
        <f t="shared" si="66"/>
        <v>1.01E-2</v>
      </c>
      <c r="T265" s="125">
        <v>8</v>
      </c>
      <c r="U265" s="126">
        <f t="shared" si="67"/>
        <v>3.0530000000000002E-2</v>
      </c>
      <c r="V265" s="124">
        <f t="shared" si="68"/>
        <v>1.0789999999999999E-2</v>
      </c>
    </row>
    <row r="266" spans="1:22" s="3" customFormat="1" x14ac:dyDescent="0.3">
      <c r="A266" s="38">
        <v>1758</v>
      </c>
      <c r="B266" s="122" t="str">
        <f t="shared" si="69"/>
        <v>1758-2020</v>
      </c>
      <c r="C266" s="127">
        <v>263</v>
      </c>
      <c r="D266" s="128">
        <f t="shared" si="70"/>
        <v>6.166E-2</v>
      </c>
      <c r="E266" s="125">
        <v>61</v>
      </c>
      <c r="F266" s="126">
        <f t="shared" si="57"/>
        <v>0.23194000000000001</v>
      </c>
      <c r="G266" s="124">
        <f t="shared" si="58"/>
        <v>2.9700000000000001E-2</v>
      </c>
      <c r="H266" s="125">
        <v>72</v>
      </c>
      <c r="I266" s="126">
        <f t="shared" si="59"/>
        <v>0.27376</v>
      </c>
      <c r="J266" s="124">
        <f t="shared" si="60"/>
        <v>3.2259999999999997E-2</v>
      </c>
      <c r="K266" s="125">
        <v>45</v>
      </c>
      <c r="L266" s="126">
        <f t="shared" si="61"/>
        <v>0.1711</v>
      </c>
      <c r="M266" s="124">
        <f t="shared" si="62"/>
        <v>2.5510000000000001E-2</v>
      </c>
      <c r="N266" s="125">
        <v>16</v>
      </c>
      <c r="O266" s="126">
        <f t="shared" si="63"/>
        <v>6.0839999999999998E-2</v>
      </c>
      <c r="P266" s="124">
        <f t="shared" si="64"/>
        <v>1.521E-2</v>
      </c>
      <c r="Q266" s="125">
        <v>7</v>
      </c>
      <c r="R266" s="126">
        <f t="shared" si="65"/>
        <v>2.6620000000000001E-2</v>
      </c>
      <c r="S266" s="124">
        <f t="shared" si="66"/>
        <v>1.0059999999999999E-2</v>
      </c>
      <c r="T266" s="125">
        <v>8</v>
      </c>
      <c r="U266" s="126">
        <f t="shared" si="67"/>
        <v>3.0419999999999999E-2</v>
      </c>
      <c r="V266" s="124">
        <f t="shared" si="68"/>
        <v>1.0749999999999999E-2</v>
      </c>
    </row>
    <row r="267" spans="1:22" s="3" customFormat="1" x14ac:dyDescent="0.3">
      <c r="A267" s="38">
        <v>1757</v>
      </c>
      <c r="B267" s="122" t="str">
        <f t="shared" si="69"/>
        <v>1757-2020</v>
      </c>
      <c r="C267" s="123">
        <v>264</v>
      </c>
      <c r="D267" s="124">
        <f t="shared" si="70"/>
        <v>6.1550000000000001E-2</v>
      </c>
      <c r="E267" s="125">
        <v>61</v>
      </c>
      <c r="F267" s="126">
        <f t="shared" si="57"/>
        <v>0.23105999999999999</v>
      </c>
      <c r="G267" s="124">
        <f t="shared" si="58"/>
        <v>2.9590000000000002E-2</v>
      </c>
      <c r="H267" s="125">
        <v>72</v>
      </c>
      <c r="I267" s="126">
        <f t="shared" si="59"/>
        <v>0.27272999999999997</v>
      </c>
      <c r="J267" s="124">
        <f t="shared" si="60"/>
        <v>3.2140000000000002E-2</v>
      </c>
      <c r="K267" s="125">
        <v>45</v>
      </c>
      <c r="L267" s="126">
        <f t="shared" si="61"/>
        <v>0.17044999999999999</v>
      </c>
      <c r="M267" s="124">
        <f t="shared" si="62"/>
        <v>2.5409999999999999E-2</v>
      </c>
      <c r="N267" s="125">
        <v>16</v>
      </c>
      <c r="O267" s="126">
        <f t="shared" si="63"/>
        <v>6.0609999999999997E-2</v>
      </c>
      <c r="P267" s="124">
        <f t="shared" si="64"/>
        <v>1.515E-2</v>
      </c>
      <c r="Q267" s="125">
        <v>7</v>
      </c>
      <c r="R267" s="126">
        <f t="shared" si="65"/>
        <v>2.6519999999999998E-2</v>
      </c>
      <c r="S267" s="124">
        <f t="shared" si="66"/>
        <v>1.0019999999999999E-2</v>
      </c>
      <c r="T267" s="125">
        <v>8</v>
      </c>
      <c r="U267" s="126">
        <f t="shared" si="67"/>
        <v>3.0300000000000001E-2</v>
      </c>
      <c r="V267" s="124">
        <f t="shared" si="68"/>
        <v>1.0710000000000001E-2</v>
      </c>
    </row>
    <row r="268" spans="1:22" s="3" customFormat="1" x14ac:dyDescent="0.3">
      <c r="A268" s="38">
        <v>1756</v>
      </c>
      <c r="B268" s="122" t="str">
        <f t="shared" si="69"/>
        <v>1756-2020</v>
      </c>
      <c r="C268" s="127">
        <v>265</v>
      </c>
      <c r="D268" s="128">
        <f t="shared" si="70"/>
        <v>6.1429999999999998E-2</v>
      </c>
      <c r="E268" s="125">
        <v>61</v>
      </c>
      <c r="F268" s="126">
        <f t="shared" si="57"/>
        <v>0.23019000000000001</v>
      </c>
      <c r="G268" s="124">
        <f t="shared" si="58"/>
        <v>2.947E-2</v>
      </c>
      <c r="H268" s="125">
        <v>72</v>
      </c>
      <c r="I268" s="126">
        <f t="shared" si="59"/>
        <v>0.2717</v>
      </c>
      <c r="J268" s="124">
        <f t="shared" si="60"/>
        <v>3.202E-2</v>
      </c>
      <c r="K268" s="125">
        <v>45</v>
      </c>
      <c r="L268" s="126">
        <f t="shared" si="61"/>
        <v>0.16980999999999999</v>
      </c>
      <c r="M268" s="124">
        <f t="shared" si="62"/>
        <v>2.5309999999999999E-2</v>
      </c>
      <c r="N268" s="125">
        <v>16</v>
      </c>
      <c r="O268" s="126">
        <f t="shared" si="63"/>
        <v>6.0380000000000003E-2</v>
      </c>
      <c r="P268" s="124">
        <f t="shared" si="64"/>
        <v>1.5089999999999999E-2</v>
      </c>
      <c r="Q268" s="125">
        <v>7</v>
      </c>
      <c r="R268" s="126">
        <f t="shared" si="65"/>
        <v>2.6419999999999999E-2</v>
      </c>
      <c r="S268" s="124">
        <f t="shared" si="66"/>
        <v>9.9799999999999993E-3</v>
      </c>
      <c r="T268" s="125">
        <v>8</v>
      </c>
      <c r="U268" s="126">
        <f t="shared" si="67"/>
        <v>3.0190000000000002E-2</v>
      </c>
      <c r="V268" s="124">
        <f t="shared" si="68"/>
        <v>1.0670000000000001E-2</v>
      </c>
    </row>
    <row r="269" spans="1:22" s="3" customFormat="1" x14ac:dyDescent="0.3">
      <c r="A269" s="38">
        <v>1755</v>
      </c>
      <c r="B269" s="122" t="str">
        <f t="shared" si="69"/>
        <v>1755-2020</v>
      </c>
      <c r="C269" s="123">
        <v>266</v>
      </c>
      <c r="D269" s="124">
        <f t="shared" si="70"/>
        <v>6.1310000000000003E-2</v>
      </c>
      <c r="E269" s="125">
        <v>61</v>
      </c>
      <c r="F269" s="126">
        <f t="shared" si="57"/>
        <v>0.22932</v>
      </c>
      <c r="G269" s="124">
        <f t="shared" si="58"/>
        <v>2.9360000000000001E-2</v>
      </c>
      <c r="H269" s="125">
        <v>72</v>
      </c>
      <c r="I269" s="126">
        <f t="shared" si="59"/>
        <v>0.27067999999999998</v>
      </c>
      <c r="J269" s="124">
        <f t="shared" si="60"/>
        <v>3.1899999999999998E-2</v>
      </c>
      <c r="K269" s="125">
        <v>45</v>
      </c>
      <c r="L269" s="126">
        <f t="shared" si="61"/>
        <v>0.16916999999999999</v>
      </c>
      <c r="M269" s="124">
        <f t="shared" si="62"/>
        <v>2.5219999999999999E-2</v>
      </c>
      <c r="N269" s="125">
        <v>16</v>
      </c>
      <c r="O269" s="126">
        <f t="shared" si="63"/>
        <v>6.0150000000000002E-2</v>
      </c>
      <c r="P269" s="124">
        <f t="shared" si="64"/>
        <v>1.504E-2</v>
      </c>
      <c r="Q269" s="125">
        <v>7</v>
      </c>
      <c r="R269" s="126">
        <f t="shared" si="65"/>
        <v>2.632E-2</v>
      </c>
      <c r="S269" s="124">
        <f t="shared" si="66"/>
        <v>9.9500000000000005E-3</v>
      </c>
      <c r="T269" s="125">
        <v>8</v>
      </c>
      <c r="U269" s="126">
        <f t="shared" si="67"/>
        <v>3.0079999999999999E-2</v>
      </c>
      <c r="V269" s="124">
        <f t="shared" si="68"/>
        <v>1.0630000000000001E-2</v>
      </c>
    </row>
    <row r="270" spans="1:22" s="3" customFormat="1" x14ac:dyDescent="0.3">
      <c r="A270" s="38">
        <v>1754</v>
      </c>
      <c r="B270" s="122" t="str">
        <f t="shared" si="69"/>
        <v>1754-2020</v>
      </c>
      <c r="C270" s="127">
        <v>267</v>
      </c>
      <c r="D270" s="128">
        <f t="shared" si="70"/>
        <v>6.1199999999999997E-2</v>
      </c>
      <c r="E270" s="125">
        <v>61</v>
      </c>
      <c r="F270" s="126">
        <f t="shared" si="57"/>
        <v>0.22846</v>
      </c>
      <c r="G270" s="124">
        <f t="shared" si="58"/>
        <v>2.9250000000000002E-2</v>
      </c>
      <c r="H270" s="125">
        <v>72</v>
      </c>
      <c r="I270" s="126">
        <f t="shared" si="59"/>
        <v>0.26966000000000001</v>
      </c>
      <c r="J270" s="124">
        <f t="shared" si="60"/>
        <v>3.1780000000000003E-2</v>
      </c>
      <c r="K270" s="125">
        <v>45</v>
      </c>
      <c r="L270" s="126">
        <f t="shared" si="61"/>
        <v>0.16854</v>
      </c>
      <c r="M270" s="124">
        <f t="shared" si="62"/>
        <v>2.512E-2</v>
      </c>
      <c r="N270" s="125">
        <v>16</v>
      </c>
      <c r="O270" s="126">
        <f t="shared" si="63"/>
        <v>5.9929999999999997E-2</v>
      </c>
      <c r="P270" s="124">
        <f t="shared" si="64"/>
        <v>1.498E-2</v>
      </c>
      <c r="Q270" s="125">
        <v>7</v>
      </c>
      <c r="R270" s="126">
        <f t="shared" si="65"/>
        <v>2.622E-2</v>
      </c>
      <c r="S270" s="124">
        <f t="shared" si="66"/>
        <v>9.9100000000000004E-3</v>
      </c>
      <c r="T270" s="125">
        <v>8</v>
      </c>
      <c r="U270" s="126">
        <f t="shared" si="67"/>
        <v>2.9960000000000001E-2</v>
      </c>
      <c r="V270" s="124">
        <f t="shared" si="68"/>
        <v>1.059E-2</v>
      </c>
    </row>
    <row r="271" spans="1:22" s="3" customFormat="1" x14ac:dyDescent="0.3">
      <c r="A271" s="38">
        <v>1753</v>
      </c>
      <c r="B271" s="122" t="str">
        <f t="shared" si="69"/>
        <v>1753-2020</v>
      </c>
      <c r="C271" s="123">
        <v>268</v>
      </c>
      <c r="D271" s="124">
        <f t="shared" si="70"/>
        <v>6.1080000000000002E-2</v>
      </c>
      <c r="E271" s="125">
        <v>61</v>
      </c>
      <c r="F271" s="126">
        <f t="shared" si="57"/>
        <v>0.22761000000000001</v>
      </c>
      <c r="G271" s="124">
        <f t="shared" si="58"/>
        <v>2.9139999999999999E-2</v>
      </c>
      <c r="H271" s="125">
        <v>72</v>
      </c>
      <c r="I271" s="126">
        <f t="shared" si="59"/>
        <v>0.26866000000000001</v>
      </c>
      <c r="J271" s="124">
        <f t="shared" si="60"/>
        <v>3.1660000000000001E-2</v>
      </c>
      <c r="K271" s="125">
        <v>45</v>
      </c>
      <c r="L271" s="126">
        <f t="shared" si="61"/>
        <v>0.16791</v>
      </c>
      <c r="M271" s="124">
        <f t="shared" si="62"/>
        <v>2.503E-2</v>
      </c>
      <c r="N271" s="125">
        <v>16</v>
      </c>
      <c r="O271" s="126">
        <f t="shared" si="63"/>
        <v>5.9700000000000003E-2</v>
      </c>
      <c r="P271" s="124">
        <f t="shared" si="64"/>
        <v>1.4919999999999999E-2</v>
      </c>
      <c r="Q271" s="125">
        <v>7</v>
      </c>
      <c r="R271" s="126">
        <f t="shared" si="65"/>
        <v>2.6120000000000001E-2</v>
      </c>
      <c r="S271" s="124">
        <f t="shared" si="66"/>
        <v>9.8700000000000003E-3</v>
      </c>
      <c r="T271" s="125">
        <v>8</v>
      </c>
      <c r="U271" s="126">
        <f t="shared" si="67"/>
        <v>2.9850000000000002E-2</v>
      </c>
      <c r="V271" s="124">
        <f t="shared" si="68"/>
        <v>1.055E-2</v>
      </c>
    </row>
    <row r="272" spans="1:22" s="3" customFormat="1" x14ac:dyDescent="0.3">
      <c r="A272" s="38">
        <v>1752</v>
      </c>
      <c r="B272" s="122" t="str">
        <f t="shared" si="69"/>
        <v>1752-2020</v>
      </c>
      <c r="C272" s="127">
        <v>269</v>
      </c>
      <c r="D272" s="128">
        <f t="shared" si="70"/>
        <v>6.0970000000000003E-2</v>
      </c>
      <c r="E272" s="125">
        <v>61</v>
      </c>
      <c r="F272" s="126">
        <f t="shared" si="57"/>
        <v>0.22677</v>
      </c>
      <c r="G272" s="124">
        <f t="shared" si="58"/>
        <v>2.903E-2</v>
      </c>
      <c r="H272" s="125">
        <v>74</v>
      </c>
      <c r="I272" s="126">
        <f t="shared" si="59"/>
        <v>0.27509</v>
      </c>
      <c r="J272" s="124">
        <f t="shared" si="60"/>
        <v>3.1980000000000001E-2</v>
      </c>
      <c r="K272" s="125">
        <v>45</v>
      </c>
      <c r="L272" s="126">
        <f t="shared" si="61"/>
        <v>0.16728999999999999</v>
      </c>
      <c r="M272" s="124">
        <f t="shared" si="62"/>
        <v>2.494E-2</v>
      </c>
      <c r="N272" s="125">
        <v>16</v>
      </c>
      <c r="O272" s="126">
        <f t="shared" si="63"/>
        <v>5.9479999999999998E-2</v>
      </c>
      <c r="P272" s="124">
        <f t="shared" si="64"/>
        <v>1.487E-2</v>
      </c>
      <c r="Q272" s="125">
        <v>7</v>
      </c>
      <c r="R272" s="126">
        <f t="shared" si="65"/>
        <v>2.6020000000000001E-2</v>
      </c>
      <c r="S272" s="124">
        <f t="shared" si="66"/>
        <v>9.8300000000000002E-3</v>
      </c>
      <c r="T272" s="125">
        <v>8</v>
      </c>
      <c r="U272" s="126">
        <f t="shared" si="67"/>
        <v>2.9739999999999999E-2</v>
      </c>
      <c r="V272" s="124">
        <f t="shared" si="68"/>
        <v>1.051E-2</v>
      </c>
    </row>
    <row r="273" spans="1:22" s="3" customFormat="1" x14ac:dyDescent="0.3">
      <c r="A273" s="38">
        <v>1751</v>
      </c>
      <c r="B273" s="122" t="str">
        <f t="shared" si="69"/>
        <v>1751-2020</v>
      </c>
      <c r="C273" s="123">
        <v>270</v>
      </c>
      <c r="D273" s="124">
        <f t="shared" si="70"/>
        <v>6.0859999999999997E-2</v>
      </c>
      <c r="E273" s="125">
        <v>61</v>
      </c>
      <c r="F273" s="126">
        <f t="shared" si="57"/>
        <v>0.22592999999999999</v>
      </c>
      <c r="G273" s="124">
        <f t="shared" si="58"/>
        <v>2.8930000000000001E-2</v>
      </c>
      <c r="H273" s="125">
        <v>75</v>
      </c>
      <c r="I273" s="126">
        <f t="shared" si="59"/>
        <v>0.27778000000000003</v>
      </c>
      <c r="J273" s="124">
        <f t="shared" si="60"/>
        <v>3.2079999999999997E-2</v>
      </c>
      <c r="K273" s="125">
        <v>45</v>
      </c>
      <c r="L273" s="126">
        <f t="shared" si="61"/>
        <v>0.16667000000000001</v>
      </c>
      <c r="M273" s="124">
        <f t="shared" si="62"/>
        <v>2.4850000000000001E-2</v>
      </c>
      <c r="N273" s="125">
        <v>16</v>
      </c>
      <c r="O273" s="126">
        <f t="shared" si="63"/>
        <v>5.926E-2</v>
      </c>
      <c r="P273" s="124">
        <f t="shared" si="64"/>
        <v>1.482E-2</v>
      </c>
      <c r="Q273" s="125">
        <v>7</v>
      </c>
      <c r="R273" s="126">
        <f t="shared" si="65"/>
        <v>2.5930000000000002E-2</v>
      </c>
      <c r="S273" s="124">
        <f t="shared" si="66"/>
        <v>9.7999999999999997E-3</v>
      </c>
      <c r="T273" s="125">
        <v>8</v>
      </c>
      <c r="U273" s="126">
        <f t="shared" si="67"/>
        <v>2.963E-2</v>
      </c>
      <c r="V273" s="124">
        <f t="shared" si="68"/>
        <v>1.048E-2</v>
      </c>
    </row>
    <row r="274" spans="1:22" s="3" customFormat="1" x14ac:dyDescent="0.3">
      <c r="A274" s="38">
        <v>1750</v>
      </c>
      <c r="B274" s="122" t="str">
        <f t="shared" si="69"/>
        <v>1750-2020</v>
      </c>
      <c r="C274" s="127">
        <v>271</v>
      </c>
      <c r="D274" s="128">
        <f t="shared" si="70"/>
        <v>6.0749999999999998E-2</v>
      </c>
      <c r="E274" s="125">
        <v>61</v>
      </c>
      <c r="F274" s="126">
        <f t="shared" si="57"/>
        <v>0.22509000000000001</v>
      </c>
      <c r="G274" s="124">
        <f t="shared" si="58"/>
        <v>2.8819999999999998E-2</v>
      </c>
      <c r="H274" s="125">
        <v>75</v>
      </c>
      <c r="I274" s="126">
        <f t="shared" si="59"/>
        <v>0.27675</v>
      </c>
      <c r="J274" s="124">
        <f t="shared" si="60"/>
        <v>3.1960000000000002E-2</v>
      </c>
      <c r="K274" s="125">
        <v>45</v>
      </c>
      <c r="L274" s="126">
        <f t="shared" si="61"/>
        <v>0.16605</v>
      </c>
      <c r="M274" s="124">
        <f t="shared" si="62"/>
        <v>2.4760000000000001E-2</v>
      </c>
      <c r="N274" s="125">
        <v>16</v>
      </c>
      <c r="O274" s="126">
        <f t="shared" si="63"/>
        <v>5.9040000000000002E-2</v>
      </c>
      <c r="P274" s="124">
        <f t="shared" si="64"/>
        <v>1.4760000000000001E-2</v>
      </c>
      <c r="Q274" s="125">
        <v>7</v>
      </c>
      <c r="R274" s="126">
        <f t="shared" si="65"/>
        <v>2.5829999999999999E-2</v>
      </c>
      <c r="S274" s="124">
        <f t="shared" si="66"/>
        <v>9.7599999999999996E-3</v>
      </c>
      <c r="T274" s="125">
        <v>8</v>
      </c>
      <c r="U274" s="126">
        <f t="shared" si="67"/>
        <v>2.9520000000000001E-2</v>
      </c>
      <c r="V274" s="124">
        <f t="shared" si="68"/>
        <v>1.044E-2</v>
      </c>
    </row>
    <row r="275" spans="1:22" s="3" customFormat="1" x14ac:dyDescent="0.3">
      <c r="A275" s="38">
        <v>1749</v>
      </c>
      <c r="B275" s="122" t="str">
        <f t="shared" si="69"/>
        <v>1749-2020</v>
      </c>
      <c r="C275" s="123">
        <v>272</v>
      </c>
      <c r="D275" s="124">
        <f t="shared" si="70"/>
        <v>6.0630000000000003E-2</v>
      </c>
      <c r="E275" s="125">
        <v>61</v>
      </c>
      <c r="F275" s="126">
        <f t="shared" si="57"/>
        <v>0.22425999999999999</v>
      </c>
      <c r="G275" s="124">
        <f t="shared" si="58"/>
        <v>2.8709999999999999E-2</v>
      </c>
      <c r="H275" s="125">
        <v>75</v>
      </c>
      <c r="I275" s="126">
        <f t="shared" si="59"/>
        <v>0.27573999999999999</v>
      </c>
      <c r="J275" s="124">
        <f t="shared" si="60"/>
        <v>3.184E-2</v>
      </c>
      <c r="K275" s="125">
        <v>45</v>
      </c>
      <c r="L275" s="126">
        <f t="shared" si="61"/>
        <v>0.16544</v>
      </c>
      <c r="M275" s="124">
        <f t="shared" si="62"/>
        <v>2.4660000000000001E-2</v>
      </c>
      <c r="N275" s="125">
        <v>16</v>
      </c>
      <c r="O275" s="126">
        <f t="shared" si="63"/>
        <v>5.8819999999999997E-2</v>
      </c>
      <c r="P275" s="124">
        <f t="shared" si="64"/>
        <v>1.47E-2</v>
      </c>
      <c r="Q275" s="125">
        <v>7</v>
      </c>
      <c r="R275" s="126">
        <f t="shared" si="65"/>
        <v>2.5739999999999999E-2</v>
      </c>
      <c r="S275" s="124">
        <f t="shared" si="66"/>
        <v>9.7300000000000008E-3</v>
      </c>
      <c r="T275" s="125">
        <v>8</v>
      </c>
      <c r="U275" s="126">
        <f t="shared" si="67"/>
        <v>2.9409999999999999E-2</v>
      </c>
      <c r="V275" s="124">
        <f t="shared" si="68"/>
        <v>1.04E-2</v>
      </c>
    </row>
    <row r="276" spans="1:22" s="3" customFormat="1" x14ac:dyDescent="0.3">
      <c r="A276" s="38">
        <v>1748</v>
      </c>
      <c r="B276" s="122" t="str">
        <f t="shared" si="69"/>
        <v>1748-2020</v>
      </c>
      <c r="C276" s="127">
        <v>273</v>
      </c>
      <c r="D276" s="128">
        <f t="shared" si="70"/>
        <v>6.0519999999999997E-2</v>
      </c>
      <c r="E276" s="125">
        <v>61</v>
      </c>
      <c r="F276" s="126">
        <f t="shared" si="57"/>
        <v>0.22344</v>
      </c>
      <c r="G276" s="124">
        <f t="shared" si="58"/>
        <v>2.861E-2</v>
      </c>
      <c r="H276" s="125">
        <v>75</v>
      </c>
      <c r="I276" s="126">
        <f t="shared" si="59"/>
        <v>0.27472999999999997</v>
      </c>
      <c r="J276" s="124">
        <f t="shared" si="60"/>
        <v>3.1719999999999998E-2</v>
      </c>
      <c r="K276" s="125">
        <v>45</v>
      </c>
      <c r="L276" s="126">
        <f t="shared" si="61"/>
        <v>0.16483999999999999</v>
      </c>
      <c r="M276" s="124">
        <f t="shared" si="62"/>
        <v>2.4570000000000002E-2</v>
      </c>
      <c r="N276" s="125">
        <v>16</v>
      </c>
      <c r="O276" s="126">
        <f t="shared" si="63"/>
        <v>5.8610000000000002E-2</v>
      </c>
      <c r="P276" s="124">
        <f t="shared" si="64"/>
        <v>1.465E-2</v>
      </c>
      <c r="Q276" s="125">
        <v>7</v>
      </c>
      <c r="R276" s="126">
        <f t="shared" si="65"/>
        <v>2.564E-2</v>
      </c>
      <c r="S276" s="124">
        <f t="shared" si="66"/>
        <v>9.6900000000000007E-3</v>
      </c>
      <c r="T276" s="125">
        <v>8</v>
      </c>
      <c r="U276" s="126">
        <f t="shared" si="67"/>
        <v>2.93E-2</v>
      </c>
      <c r="V276" s="124">
        <f t="shared" si="68"/>
        <v>1.0359999999999999E-2</v>
      </c>
    </row>
    <row r="277" spans="1:22" s="3" customFormat="1" x14ac:dyDescent="0.3">
      <c r="A277" s="38">
        <v>1747</v>
      </c>
      <c r="B277" s="122" t="str">
        <f t="shared" si="69"/>
        <v>1747-2020</v>
      </c>
      <c r="C277" s="123">
        <v>274</v>
      </c>
      <c r="D277" s="124">
        <f t="shared" si="70"/>
        <v>6.0409999999999998E-2</v>
      </c>
      <c r="E277" s="125">
        <v>61</v>
      </c>
      <c r="F277" s="126">
        <f t="shared" si="57"/>
        <v>0.22262999999999999</v>
      </c>
      <c r="G277" s="124">
        <f t="shared" si="58"/>
        <v>2.8500000000000001E-2</v>
      </c>
      <c r="H277" s="125">
        <v>75</v>
      </c>
      <c r="I277" s="126">
        <f t="shared" si="59"/>
        <v>0.27372000000000002</v>
      </c>
      <c r="J277" s="124">
        <f t="shared" si="60"/>
        <v>3.1609999999999999E-2</v>
      </c>
      <c r="K277" s="125">
        <v>45</v>
      </c>
      <c r="L277" s="126">
        <f t="shared" si="61"/>
        <v>0.16422999999999999</v>
      </c>
      <c r="M277" s="124">
        <f t="shared" si="62"/>
        <v>2.4479999999999998E-2</v>
      </c>
      <c r="N277" s="125">
        <v>16</v>
      </c>
      <c r="O277" s="126">
        <f t="shared" si="63"/>
        <v>5.8389999999999997E-2</v>
      </c>
      <c r="P277" s="124">
        <f t="shared" si="64"/>
        <v>1.46E-2</v>
      </c>
      <c r="Q277" s="125">
        <v>7</v>
      </c>
      <c r="R277" s="126">
        <f t="shared" si="65"/>
        <v>2.555E-2</v>
      </c>
      <c r="S277" s="124">
        <f t="shared" si="66"/>
        <v>9.6600000000000002E-3</v>
      </c>
      <c r="T277" s="125">
        <v>8</v>
      </c>
      <c r="U277" s="126">
        <f t="shared" si="67"/>
        <v>2.92E-2</v>
      </c>
      <c r="V277" s="124">
        <f t="shared" si="68"/>
        <v>1.0319999999999999E-2</v>
      </c>
    </row>
    <row r="278" spans="1:22" s="3" customFormat="1" x14ac:dyDescent="0.3">
      <c r="A278" s="38">
        <v>1746</v>
      </c>
      <c r="B278" s="122" t="str">
        <f t="shared" si="69"/>
        <v>1746-2020</v>
      </c>
      <c r="C278" s="127">
        <v>275</v>
      </c>
      <c r="D278" s="128">
        <f t="shared" si="70"/>
        <v>6.0299999999999999E-2</v>
      </c>
      <c r="E278" s="125">
        <v>61</v>
      </c>
      <c r="F278" s="126">
        <f t="shared" si="57"/>
        <v>0.22181999999999999</v>
      </c>
      <c r="G278" s="124">
        <f t="shared" si="58"/>
        <v>2.8400000000000002E-2</v>
      </c>
      <c r="H278" s="125">
        <v>75</v>
      </c>
      <c r="I278" s="126">
        <f t="shared" si="59"/>
        <v>0.27272999999999997</v>
      </c>
      <c r="J278" s="124">
        <f t="shared" si="60"/>
        <v>3.1489999999999997E-2</v>
      </c>
      <c r="K278" s="125">
        <v>45</v>
      </c>
      <c r="L278" s="126">
        <f t="shared" si="61"/>
        <v>0.16364000000000001</v>
      </c>
      <c r="M278" s="124">
        <f t="shared" si="62"/>
        <v>2.4389999999999998E-2</v>
      </c>
      <c r="N278" s="125">
        <v>16</v>
      </c>
      <c r="O278" s="126">
        <f t="shared" si="63"/>
        <v>5.8180000000000003E-2</v>
      </c>
      <c r="P278" s="124">
        <f t="shared" si="64"/>
        <v>1.4540000000000001E-2</v>
      </c>
      <c r="Q278" s="125">
        <v>7</v>
      </c>
      <c r="R278" s="126">
        <f t="shared" si="65"/>
        <v>2.545E-2</v>
      </c>
      <c r="S278" s="124">
        <f t="shared" si="66"/>
        <v>9.6200000000000001E-3</v>
      </c>
      <c r="T278" s="125">
        <v>8</v>
      </c>
      <c r="U278" s="126">
        <f t="shared" si="67"/>
        <v>2.9090000000000001E-2</v>
      </c>
      <c r="V278" s="124">
        <f t="shared" si="68"/>
        <v>1.0279999999999999E-2</v>
      </c>
    </row>
    <row r="279" spans="1:22" s="3" customFormat="1" x14ac:dyDescent="0.3">
      <c r="A279" s="38">
        <v>1745</v>
      </c>
      <c r="B279" s="122" t="str">
        <f t="shared" si="69"/>
        <v>1745-2020</v>
      </c>
      <c r="C279" s="123">
        <v>276</v>
      </c>
      <c r="D279" s="124">
        <f t="shared" si="70"/>
        <v>6.019E-2</v>
      </c>
      <c r="E279" s="125">
        <v>61</v>
      </c>
      <c r="F279" s="126">
        <f t="shared" si="57"/>
        <v>0.22101000000000001</v>
      </c>
      <c r="G279" s="124">
        <f t="shared" si="58"/>
        <v>2.8299999999999999E-2</v>
      </c>
      <c r="H279" s="125">
        <v>75</v>
      </c>
      <c r="I279" s="126">
        <f t="shared" si="59"/>
        <v>0.27173999999999998</v>
      </c>
      <c r="J279" s="124">
        <f t="shared" si="60"/>
        <v>3.1379999999999998E-2</v>
      </c>
      <c r="K279" s="125">
        <v>45</v>
      </c>
      <c r="L279" s="126">
        <f t="shared" si="61"/>
        <v>0.16303999999999999</v>
      </c>
      <c r="M279" s="124">
        <f t="shared" si="62"/>
        <v>2.4299999999999999E-2</v>
      </c>
      <c r="N279" s="125">
        <v>16</v>
      </c>
      <c r="O279" s="126">
        <f t="shared" si="63"/>
        <v>5.7970000000000001E-2</v>
      </c>
      <c r="P279" s="124">
        <f t="shared" si="64"/>
        <v>1.4489999999999999E-2</v>
      </c>
      <c r="Q279" s="125">
        <v>7</v>
      </c>
      <c r="R279" s="126">
        <f t="shared" si="65"/>
        <v>2.5360000000000001E-2</v>
      </c>
      <c r="S279" s="124">
        <f t="shared" si="66"/>
        <v>9.5899999999999996E-3</v>
      </c>
      <c r="T279" s="125">
        <v>8</v>
      </c>
      <c r="U279" s="126">
        <f t="shared" si="67"/>
        <v>2.8989999999999998E-2</v>
      </c>
      <c r="V279" s="124">
        <f t="shared" si="68"/>
        <v>1.025E-2</v>
      </c>
    </row>
    <row r="280" spans="1:22" s="3" customFormat="1" x14ac:dyDescent="0.3">
      <c r="A280" s="38">
        <v>1744</v>
      </c>
      <c r="B280" s="122" t="str">
        <f t="shared" si="69"/>
        <v>1744-2020</v>
      </c>
      <c r="C280" s="127">
        <v>277</v>
      </c>
      <c r="D280" s="128">
        <f t="shared" si="70"/>
        <v>6.0080000000000001E-2</v>
      </c>
      <c r="E280" s="125">
        <v>61</v>
      </c>
      <c r="F280" s="126">
        <f t="shared" si="57"/>
        <v>0.22022</v>
      </c>
      <c r="G280" s="124">
        <f t="shared" si="58"/>
        <v>2.819E-2</v>
      </c>
      <c r="H280" s="125">
        <v>75</v>
      </c>
      <c r="I280" s="126">
        <f t="shared" si="59"/>
        <v>0.27076</v>
      </c>
      <c r="J280" s="124">
        <f t="shared" si="60"/>
        <v>3.1260000000000003E-2</v>
      </c>
      <c r="K280" s="125">
        <v>45</v>
      </c>
      <c r="L280" s="126">
        <f t="shared" si="61"/>
        <v>0.16245000000000001</v>
      </c>
      <c r="M280" s="124">
        <f t="shared" si="62"/>
        <v>2.4219999999999998E-2</v>
      </c>
      <c r="N280" s="125">
        <v>16</v>
      </c>
      <c r="O280" s="126">
        <f t="shared" si="63"/>
        <v>5.7759999999999999E-2</v>
      </c>
      <c r="P280" s="124">
        <f t="shared" si="64"/>
        <v>1.444E-2</v>
      </c>
      <c r="Q280" s="125">
        <v>7</v>
      </c>
      <c r="R280" s="126">
        <f t="shared" si="65"/>
        <v>2.5270000000000001E-2</v>
      </c>
      <c r="S280" s="124">
        <f t="shared" si="66"/>
        <v>9.5499999999999995E-3</v>
      </c>
      <c r="T280" s="125">
        <v>8</v>
      </c>
      <c r="U280" s="126">
        <f t="shared" si="67"/>
        <v>2.8879999999999999E-2</v>
      </c>
      <c r="V280" s="124">
        <f t="shared" si="68"/>
        <v>1.021E-2</v>
      </c>
    </row>
    <row r="281" spans="1:22" s="3" customFormat="1" x14ac:dyDescent="0.3">
      <c r="A281" s="38">
        <v>1743</v>
      </c>
      <c r="B281" s="122" t="str">
        <f t="shared" si="69"/>
        <v>1743-2020</v>
      </c>
      <c r="C281" s="123">
        <v>278</v>
      </c>
      <c r="D281" s="124">
        <f t="shared" si="70"/>
        <v>5.9979999999999999E-2</v>
      </c>
      <c r="E281" s="125">
        <v>61</v>
      </c>
      <c r="F281" s="126">
        <f t="shared" si="57"/>
        <v>0.21942</v>
      </c>
      <c r="G281" s="124">
        <f t="shared" si="58"/>
        <v>2.81E-2</v>
      </c>
      <c r="H281" s="125">
        <v>75</v>
      </c>
      <c r="I281" s="126">
        <f t="shared" si="59"/>
        <v>0.26978000000000002</v>
      </c>
      <c r="J281" s="124">
        <f t="shared" si="60"/>
        <v>3.1150000000000001E-2</v>
      </c>
      <c r="K281" s="125">
        <v>45</v>
      </c>
      <c r="L281" s="126">
        <f t="shared" si="61"/>
        <v>0.16187000000000001</v>
      </c>
      <c r="M281" s="124">
        <f t="shared" si="62"/>
        <v>2.4129999999999999E-2</v>
      </c>
      <c r="N281" s="125">
        <v>16</v>
      </c>
      <c r="O281" s="126">
        <f t="shared" si="63"/>
        <v>5.7549999999999997E-2</v>
      </c>
      <c r="P281" s="124">
        <f t="shared" si="64"/>
        <v>1.439E-2</v>
      </c>
      <c r="Q281" s="125">
        <v>7</v>
      </c>
      <c r="R281" s="126">
        <f t="shared" si="65"/>
        <v>2.5180000000000001E-2</v>
      </c>
      <c r="S281" s="124">
        <f t="shared" si="66"/>
        <v>9.5200000000000007E-3</v>
      </c>
      <c r="T281" s="125">
        <v>8</v>
      </c>
      <c r="U281" s="126">
        <f t="shared" si="67"/>
        <v>2.878E-2</v>
      </c>
      <c r="V281" s="124">
        <f t="shared" si="68"/>
        <v>1.018E-2</v>
      </c>
    </row>
    <row r="282" spans="1:22" s="3" customFormat="1" x14ac:dyDescent="0.3">
      <c r="A282" s="38">
        <v>1742</v>
      </c>
      <c r="B282" s="122" t="str">
        <f t="shared" si="69"/>
        <v>1742-2020</v>
      </c>
      <c r="C282" s="127">
        <v>279</v>
      </c>
      <c r="D282" s="128">
        <f t="shared" si="70"/>
        <v>5.987E-2</v>
      </c>
      <c r="E282" s="125">
        <v>61</v>
      </c>
      <c r="F282" s="126">
        <f t="shared" si="57"/>
        <v>0.21864</v>
      </c>
      <c r="G282" s="124">
        <f t="shared" si="58"/>
        <v>2.7990000000000001E-2</v>
      </c>
      <c r="H282" s="125">
        <v>75</v>
      </c>
      <c r="I282" s="126">
        <f t="shared" si="59"/>
        <v>0.26882</v>
      </c>
      <c r="J282" s="124">
        <f t="shared" si="60"/>
        <v>3.1040000000000002E-2</v>
      </c>
      <c r="K282" s="125">
        <v>45</v>
      </c>
      <c r="L282" s="126">
        <f t="shared" si="61"/>
        <v>0.16128999999999999</v>
      </c>
      <c r="M282" s="124">
        <f t="shared" si="62"/>
        <v>2.4039999999999999E-2</v>
      </c>
      <c r="N282" s="125">
        <v>16</v>
      </c>
      <c r="O282" s="126">
        <f t="shared" si="63"/>
        <v>5.7349999999999998E-2</v>
      </c>
      <c r="P282" s="124">
        <f t="shared" si="64"/>
        <v>1.434E-2</v>
      </c>
      <c r="Q282" s="125">
        <v>7</v>
      </c>
      <c r="R282" s="126">
        <f t="shared" si="65"/>
        <v>2.5090000000000001E-2</v>
      </c>
      <c r="S282" s="124">
        <f t="shared" si="66"/>
        <v>9.4800000000000006E-3</v>
      </c>
      <c r="T282" s="125">
        <v>8</v>
      </c>
      <c r="U282" s="126">
        <f t="shared" si="67"/>
        <v>2.8670000000000001E-2</v>
      </c>
      <c r="V282" s="124">
        <f t="shared" si="68"/>
        <v>1.014E-2</v>
      </c>
    </row>
    <row r="283" spans="1:22" s="3" customFormat="1" x14ac:dyDescent="0.3">
      <c r="A283" s="38">
        <v>1741</v>
      </c>
      <c r="B283" s="122" t="str">
        <f t="shared" si="69"/>
        <v>1741-2020</v>
      </c>
      <c r="C283" s="123">
        <v>280</v>
      </c>
      <c r="D283" s="124">
        <f t="shared" si="70"/>
        <v>5.9760000000000001E-2</v>
      </c>
      <c r="E283" s="125">
        <v>61</v>
      </c>
      <c r="F283" s="126">
        <f t="shared" si="57"/>
        <v>0.21786</v>
      </c>
      <c r="G283" s="124">
        <f t="shared" si="58"/>
        <v>2.7890000000000002E-2</v>
      </c>
      <c r="H283" s="125">
        <v>75</v>
      </c>
      <c r="I283" s="126">
        <f t="shared" si="59"/>
        <v>0.26785999999999999</v>
      </c>
      <c r="J283" s="124">
        <f t="shared" si="60"/>
        <v>3.0929999999999999E-2</v>
      </c>
      <c r="K283" s="125">
        <v>45</v>
      </c>
      <c r="L283" s="126">
        <f t="shared" si="61"/>
        <v>0.16070999999999999</v>
      </c>
      <c r="M283" s="124">
        <f t="shared" si="62"/>
        <v>2.3959999999999999E-2</v>
      </c>
      <c r="N283" s="125">
        <v>16</v>
      </c>
      <c r="O283" s="126">
        <f t="shared" si="63"/>
        <v>5.7140000000000003E-2</v>
      </c>
      <c r="P283" s="124">
        <f t="shared" si="64"/>
        <v>1.4290000000000001E-2</v>
      </c>
      <c r="Q283" s="125">
        <v>7</v>
      </c>
      <c r="R283" s="126">
        <f t="shared" si="65"/>
        <v>2.5000000000000001E-2</v>
      </c>
      <c r="S283" s="124">
        <f t="shared" si="66"/>
        <v>9.4500000000000001E-3</v>
      </c>
      <c r="T283" s="125">
        <v>8</v>
      </c>
      <c r="U283" s="126">
        <f t="shared" si="67"/>
        <v>2.8570000000000002E-2</v>
      </c>
      <c r="V283" s="124">
        <f t="shared" si="68"/>
        <v>1.01E-2</v>
      </c>
    </row>
    <row r="284" spans="1:22" s="3" customFormat="1" x14ac:dyDescent="0.3">
      <c r="A284" s="38">
        <v>1740</v>
      </c>
      <c r="B284" s="122" t="str">
        <f t="shared" si="69"/>
        <v>1740-2020</v>
      </c>
      <c r="C284" s="127">
        <v>281</v>
      </c>
      <c r="D284" s="128">
        <f t="shared" si="70"/>
        <v>5.9650000000000002E-2</v>
      </c>
      <c r="E284" s="125">
        <v>61</v>
      </c>
      <c r="F284" s="126">
        <f t="shared" si="57"/>
        <v>0.21708</v>
      </c>
      <c r="G284" s="124">
        <f t="shared" si="58"/>
        <v>2.7789999999999999E-2</v>
      </c>
      <c r="H284" s="125">
        <v>75</v>
      </c>
      <c r="I284" s="126">
        <f t="shared" si="59"/>
        <v>0.26690000000000003</v>
      </c>
      <c r="J284" s="124">
        <f t="shared" si="60"/>
        <v>3.082E-2</v>
      </c>
      <c r="K284" s="125">
        <v>45</v>
      </c>
      <c r="L284" s="126">
        <f t="shared" si="61"/>
        <v>0.16014</v>
      </c>
      <c r="M284" s="124">
        <f t="shared" si="62"/>
        <v>2.3869999999999999E-2</v>
      </c>
      <c r="N284" s="125">
        <v>16</v>
      </c>
      <c r="O284" s="126">
        <f t="shared" si="63"/>
        <v>5.6939999999999998E-2</v>
      </c>
      <c r="P284" s="124">
        <f t="shared" si="64"/>
        <v>1.423E-2</v>
      </c>
      <c r="Q284" s="125">
        <v>7</v>
      </c>
      <c r="R284" s="126">
        <f t="shared" si="65"/>
        <v>2.4910000000000002E-2</v>
      </c>
      <c r="S284" s="124">
        <f t="shared" si="66"/>
        <v>9.41E-3</v>
      </c>
      <c r="T284" s="125">
        <v>8</v>
      </c>
      <c r="U284" s="126">
        <f t="shared" si="67"/>
        <v>2.8469999999999999E-2</v>
      </c>
      <c r="V284" s="124">
        <f t="shared" si="68"/>
        <v>1.0059999999999999E-2</v>
      </c>
    </row>
    <row r="285" spans="1:22" s="3" customFormat="1" x14ac:dyDescent="0.3">
      <c r="A285" s="38">
        <v>1739</v>
      </c>
      <c r="B285" s="122" t="str">
        <f t="shared" si="69"/>
        <v>1739-2020</v>
      </c>
      <c r="C285" s="123">
        <v>282</v>
      </c>
      <c r="D285" s="124">
        <f t="shared" si="70"/>
        <v>5.9549999999999999E-2</v>
      </c>
      <c r="E285" s="125">
        <v>61</v>
      </c>
      <c r="F285" s="126">
        <f t="shared" si="57"/>
        <v>0.21631</v>
      </c>
      <c r="G285" s="124">
        <f t="shared" si="58"/>
        <v>2.7699999999999999E-2</v>
      </c>
      <c r="H285" s="125">
        <v>75</v>
      </c>
      <c r="I285" s="126">
        <f t="shared" si="59"/>
        <v>0.26595999999999997</v>
      </c>
      <c r="J285" s="124">
        <f t="shared" si="60"/>
        <v>3.0710000000000001E-2</v>
      </c>
      <c r="K285" s="125">
        <v>45</v>
      </c>
      <c r="L285" s="126">
        <f t="shared" si="61"/>
        <v>0.15956999999999999</v>
      </c>
      <c r="M285" s="124">
        <f t="shared" si="62"/>
        <v>2.3789999999999999E-2</v>
      </c>
      <c r="N285" s="125">
        <v>16</v>
      </c>
      <c r="O285" s="126">
        <f t="shared" si="63"/>
        <v>5.6739999999999999E-2</v>
      </c>
      <c r="P285" s="124">
        <f t="shared" si="64"/>
        <v>1.418E-2</v>
      </c>
      <c r="Q285" s="125">
        <v>7</v>
      </c>
      <c r="R285" s="126">
        <f t="shared" si="65"/>
        <v>2.4819999999999998E-2</v>
      </c>
      <c r="S285" s="124">
        <f t="shared" si="66"/>
        <v>9.3799999999999994E-3</v>
      </c>
      <c r="T285" s="125">
        <v>8</v>
      </c>
      <c r="U285" s="126">
        <f t="shared" si="67"/>
        <v>2.8369999999999999E-2</v>
      </c>
      <c r="V285" s="124">
        <f t="shared" si="68"/>
        <v>1.0030000000000001E-2</v>
      </c>
    </row>
    <row r="286" spans="1:22" s="3" customFormat="1" x14ac:dyDescent="0.3">
      <c r="A286" s="38">
        <v>1738</v>
      </c>
      <c r="B286" s="122" t="str">
        <f t="shared" si="69"/>
        <v>1738-2020</v>
      </c>
      <c r="C286" s="127">
        <v>283</v>
      </c>
      <c r="D286" s="128">
        <f t="shared" si="70"/>
        <v>5.944E-2</v>
      </c>
      <c r="E286" s="125">
        <v>61</v>
      </c>
      <c r="F286" s="126">
        <f t="shared" si="57"/>
        <v>0.21554999999999999</v>
      </c>
      <c r="G286" s="124">
        <f t="shared" si="58"/>
        <v>2.76E-2</v>
      </c>
      <c r="H286" s="125">
        <v>75</v>
      </c>
      <c r="I286" s="126">
        <f t="shared" si="59"/>
        <v>0.26501999999999998</v>
      </c>
      <c r="J286" s="124">
        <f t="shared" si="60"/>
        <v>3.0599999999999999E-2</v>
      </c>
      <c r="K286" s="125">
        <v>45</v>
      </c>
      <c r="L286" s="126">
        <f t="shared" si="61"/>
        <v>0.15901000000000001</v>
      </c>
      <c r="M286" s="124">
        <f t="shared" si="62"/>
        <v>2.3699999999999999E-2</v>
      </c>
      <c r="N286" s="125">
        <v>16</v>
      </c>
      <c r="O286" s="126">
        <f t="shared" si="63"/>
        <v>5.654E-2</v>
      </c>
      <c r="P286" s="124">
        <f t="shared" si="64"/>
        <v>1.413E-2</v>
      </c>
      <c r="Q286" s="125">
        <v>7</v>
      </c>
      <c r="R286" s="126">
        <f t="shared" si="65"/>
        <v>2.4729999999999999E-2</v>
      </c>
      <c r="S286" s="124">
        <f t="shared" si="66"/>
        <v>9.3500000000000007E-3</v>
      </c>
      <c r="T286" s="125">
        <v>8</v>
      </c>
      <c r="U286" s="126">
        <f t="shared" si="67"/>
        <v>2.827E-2</v>
      </c>
      <c r="V286" s="124">
        <f t="shared" si="68"/>
        <v>9.9900000000000006E-3</v>
      </c>
    </row>
    <row r="287" spans="1:22" s="3" customFormat="1" x14ac:dyDescent="0.3">
      <c r="A287" s="38">
        <v>1737</v>
      </c>
      <c r="B287" s="122" t="str">
        <f t="shared" si="69"/>
        <v>1737-2020</v>
      </c>
      <c r="C287" s="123">
        <v>284</v>
      </c>
      <c r="D287" s="124">
        <f t="shared" si="70"/>
        <v>5.9339999999999997E-2</v>
      </c>
      <c r="E287" s="125">
        <v>61</v>
      </c>
      <c r="F287" s="126">
        <f t="shared" si="57"/>
        <v>0.21479000000000001</v>
      </c>
      <c r="G287" s="124">
        <f t="shared" si="58"/>
        <v>2.75E-2</v>
      </c>
      <c r="H287" s="125">
        <v>75</v>
      </c>
      <c r="I287" s="126">
        <f t="shared" si="59"/>
        <v>0.26407999999999998</v>
      </c>
      <c r="J287" s="124">
        <f t="shared" si="60"/>
        <v>3.049E-2</v>
      </c>
      <c r="K287" s="125">
        <v>45</v>
      </c>
      <c r="L287" s="126">
        <f t="shared" si="61"/>
        <v>0.15845000000000001</v>
      </c>
      <c r="M287" s="124">
        <f t="shared" si="62"/>
        <v>2.3619999999999999E-2</v>
      </c>
      <c r="N287" s="125">
        <v>16</v>
      </c>
      <c r="O287" s="126">
        <f t="shared" si="63"/>
        <v>5.6340000000000001E-2</v>
      </c>
      <c r="P287" s="124">
        <f t="shared" si="64"/>
        <v>1.4080000000000001E-2</v>
      </c>
      <c r="Q287" s="125">
        <v>7</v>
      </c>
      <c r="R287" s="126">
        <f t="shared" si="65"/>
        <v>2.4649999999999998E-2</v>
      </c>
      <c r="S287" s="124">
        <f t="shared" si="66"/>
        <v>9.3200000000000002E-3</v>
      </c>
      <c r="T287" s="125">
        <v>8</v>
      </c>
      <c r="U287" s="126">
        <f t="shared" si="67"/>
        <v>2.8170000000000001E-2</v>
      </c>
      <c r="V287" s="124">
        <f t="shared" si="68"/>
        <v>9.9600000000000001E-3</v>
      </c>
    </row>
    <row r="288" spans="1:22" s="3" customFormat="1" x14ac:dyDescent="0.3">
      <c r="A288" s="38">
        <v>1736</v>
      </c>
      <c r="B288" s="122" t="str">
        <f t="shared" si="69"/>
        <v>1736-2020</v>
      </c>
      <c r="C288" s="127">
        <v>285</v>
      </c>
      <c r="D288" s="128">
        <f t="shared" si="70"/>
        <v>5.9229999999999998E-2</v>
      </c>
      <c r="E288" s="125">
        <v>61</v>
      </c>
      <c r="F288" s="126">
        <f t="shared" si="57"/>
        <v>0.21404000000000001</v>
      </c>
      <c r="G288" s="124">
        <f t="shared" si="58"/>
        <v>2.7400000000000001E-2</v>
      </c>
      <c r="H288" s="125">
        <v>75</v>
      </c>
      <c r="I288" s="126">
        <f t="shared" si="59"/>
        <v>0.26316000000000001</v>
      </c>
      <c r="J288" s="124">
        <f t="shared" si="60"/>
        <v>3.0380000000000001E-2</v>
      </c>
      <c r="K288" s="125">
        <v>45</v>
      </c>
      <c r="L288" s="126">
        <f t="shared" si="61"/>
        <v>0.15789</v>
      </c>
      <c r="M288" s="124">
        <f t="shared" si="62"/>
        <v>2.3539999999999998E-2</v>
      </c>
      <c r="N288" s="125">
        <v>16</v>
      </c>
      <c r="O288" s="126">
        <f t="shared" si="63"/>
        <v>5.6140000000000002E-2</v>
      </c>
      <c r="P288" s="124">
        <f t="shared" si="64"/>
        <v>1.4030000000000001E-2</v>
      </c>
      <c r="Q288" s="125">
        <v>7</v>
      </c>
      <c r="R288" s="126">
        <f t="shared" si="65"/>
        <v>2.4559999999999998E-2</v>
      </c>
      <c r="S288" s="124">
        <f t="shared" si="66"/>
        <v>9.2800000000000001E-3</v>
      </c>
      <c r="T288" s="125">
        <v>8</v>
      </c>
      <c r="U288" s="126">
        <f t="shared" si="67"/>
        <v>2.8070000000000001E-2</v>
      </c>
      <c r="V288" s="124">
        <f t="shared" si="68"/>
        <v>9.92E-3</v>
      </c>
    </row>
    <row r="289" spans="1:22" s="3" customFormat="1" x14ac:dyDescent="0.3">
      <c r="A289" s="38">
        <v>1735</v>
      </c>
      <c r="B289" s="122" t="str">
        <f t="shared" si="69"/>
        <v>1735-2020</v>
      </c>
      <c r="C289" s="123">
        <v>286</v>
      </c>
      <c r="D289" s="124">
        <f t="shared" si="70"/>
        <v>5.9130000000000002E-2</v>
      </c>
      <c r="E289" s="125">
        <v>61</v>
      </c>
      <c r="F289" s="126">
        <f t="shared" si="57"/>
        <v>0.21329000000000001</v>
      </c>
      <c r="G289" s="124">
        <f t="shared" si="58"/>
        <v>2.7310000000000001E-2</v>
      </c>
      <c r="H289" s="125">
        <v>75</v>
      </c>
      <c r="I289" s="126">
        <f t="shared" si="59"/>
        <v>0.26223999999999997</v>
      </c>
      <c r="J289" s="124">
        <f t="shared" si="60"/>
        <v>3.0280000000000001E-2</v>
      </c>
      <c r="K289" s="125">
        <v>45</v>
      </c>
      <c r="L289" s="126">
        <f t="shared" si="61"/>
        <v>0.15734000000000001</v>
      </c>
      <c r="M289" s="124">
        <f t="shared" si="62"/>
        <v>2.3449999999999999E-2</v>
      </c>
      <c r="N289" s="125">
        <v>16</v>
      </c>
      <c r="O289" s="126">
        <f t="shared" si="63"/>
        <v>5.5939999999999997E-2</v>
      </c>
      <c r="P289" s="124">
        <f t="shared" si="64"/>
        <v>1.3990000000000001E-2</v>
      </c>
      <c r="Q289" s="125">
        <v>7</v>
      </c>
      <c r="R289" s="126">
        <f t="shared" si="65"/>
        <v>2.4479999999999998E-2</v>
      </c>
      <c r="S289" s="124">
        <f t="shared" si="66"/>
        <v>9.2499999999999995E-3</v>
      </c>
      <c r="T289" s="125">
        <v>8</v>
      </c>
      <c r="U289" s="126">
        <f t="shared" si="67"/>
        <v>2.7969999999999998E-2</v>
      </c>
      <c r="V289" s="124">
        <f t="shared" si="68"/>
        <v>9.8899999999999995E-3</v>
      </c>
    </row>
    <row r="290" spans="1:22" s="3" customFormat="1" x14ac:dyDescent="0.3">
      <c r="A290" s="38">
        <v>1734</v>
      </c>
      <c r="B290" s="122" t="str">
        <f t="shared" si="69"/>
        <v>1734-2020</v>
      </c>
      <c r="C290" s="127">
        <v>287</v>
      </c>
      <c r="D290" s="128">
        <f t="shared" si="70"/>
        <v>5.9029999999999999E-2</v>
      </c>
      <c r="E290" s="125">
        <v>61</v>
      </c>
      <c r="F290" s="126">
        <f t="shared" si="57"/>
        <v>0.21254000000000001</v>
      </c>
      <c r="G290" s="124">
        <f t="shared" si="58"/>
        <v>2.7210000000000002E-2</v>
      </c>
      <c r="H290" s="125">
        <v>75</v>
      </c>
      <c r="I290" s="126">
        <f t="shared" si="59"/>
        <v>0.26132</v>
      </c>
      <c r="J290" s="124">
        <f t="shared" si="60"/>
        <v>3.0179999999999998E-2</v>
      </c>
      <c r="K290" s="125">
        <v>45</v>
      </c>
      <c r="L290" s="126">
        <f t="shared" si="61"/>
        <v>0.15679000000000001</v>
      </c>
      <c r="M290" s="124">
        <f t="shared" si="62"/>
        <v>2.3369999999999998E-2</v>
      </c>
      <c r="N290" s="125">
        <v>16</v>
      </c>
      <c r="O290" s="126">
        <f t="shared" si="63"/>
        <v>5.5750000000000001E-2</v>
      </c>
      <c r="P290" s="124">
        <f t="shared" si="64"/>
        <v>1.3939999999999999E-2</v>
      </c>
      <c r="Q290" s="125">
        <v>7</v>
      </c>
      <c r="R290" s="126">
        <f t="shared" si="65"/>
        <v>2.4389999999999998E-2</v>
      </c>
      <c r="S290" s="124">
        <f t="shared" si="66"/>
        <v>9.2200000000000008E-3</v>
      </c>
      <c r="T290" s="125">
        <v>8</v>
      </c>
      <c r="U290" s="126">
        <f t="shared" si="67"/>
        <v>2.7869999999999999E-2</v>
      </c>
      <c r="V290" s="124">
        <f t="shared" si="68"/>
        <v>9.8499999999999994E-3</v>
      </c>
    </row>
    <row r="291" spans="1:22" s="3" customFormat="1" x14ac:dyDescent="0.3">
      <c r="A291" s="38">
        <v>1733</v>
      </c>
      <c r="B291" s="122" t="str">
        <f t="shared" si="69"/>
        <v>1733-2020</v>
      </c>
      <c r="C291" s="123">
        <v>288</v>
      </c>
      <c r="D291" s="124">
        <f t="shared" si="70"/>
        <v>5.8930000000000003E-2</v>
      </c>
      <c r="E291" s="125">
        <v>61</v>
      </c>
      <c r="F291" s="126">
        <f t="shared" si="57"/>
        <v>0.21181</v>
      </c>
      <c r="G291" s="124">
        <f t="shared" si="58"/>
        <v>2.7119999999999998E-2</v>
      </c>
      <c r="H291" s="125">
        <v>75</v>
      </c>
      <c r="I291" s="126">
        <f t="shared" si="59"/>
        <v>0.26041999999999998</v>
      </c>
      <c r="J291" s="124">
        <f t="shared" si="60"/>
        <v>3.007E-2</v>
      </c>
      <c r="K291" s="125">
        <v>45</v>
      </c>
      <c r="L291" s="126">
        <f t="shared" si="61"/>
        <v>0.15625</v>
      </c>
      <c r="M291" s="124">
        <f t="shared" si="62"/>
        <v>2.3290000000000002E-2</v>
      </c>
      <c r="N291" s="125">
        <v>16</v>
      </c>
      <c r="O291" s="126">
        <f t="shared" si="63"/>
        <v>5.5559999999999998E-2</v>
      </c>
      <c r="P291" s="124">
        <f t="shared" si="64"/>
        <v>1.389E-2</v>
      </c>
      <c r="Q291" s="125">
        <v>7</v>
      </c>
      <c r="R291" s="126">
        <f t="shared" si="65"/>
        <v>2.4309999999999998E-2</v>
      </c>
      <c r="S291" s="124">
        <f t="shared" si="66"/>
        <v>9.1900000000000003E-3</v>
      </c>
      <c r="T291" s="125">
        <v>8</v>
      </c>
      <c r="U291" s="126">
        <f t="shared" si="67"/>
        <v>2.7779999999999999E-2</v>
      </c>
      <c r="V291" s="124">
        <f t="shared" si="68"/>
        <v>9.8200000000000006E-3</v>
      </c>
    </row>
    <row r="292" spans="1:22" s="3" customFormat="1" x14ac:dyDescent="0.3">
      <c r="A292" s="38">
        <v>1732</v>
      </c>
      <c r="B292" s="122" t="str">
        <f t="shared" si="69"/>
        <v>1732-2020</v>
      </c>
      <c r="C292" s="127">
        <v>289</v>
      </c>
      <c r="D292" s="128">
        <f t="shared" si="70"/>
        <v>5.8819999999999997E-2</v>
      </c>
      <c r="E292" s="125">
        <v>61</v>
      </c>
      <c r="F292" s="126">
        <f t="shared" si="57"/>
        <v>0.21107000000000001</v>
      </c>
      <c r="G292" s="124">
        <f t="shared" si="58"/>
        <v>2.7019999999999999E-2</v>
      </c>
      <c r="H292" s="125">
        <v>75</v>
      </c>
      <c r="I292" s="126">
        <f t="shared" si="59"/>
        <v>0.25951999999999997</v>
      </c>
      <c r="J292" s="124">
        <f t="shared" si="60"/>
        <v>2.9960000000000001E-2</v>
      </c>
      <c r="K292" s="125">
        <v>45</v>
      </c>
      <c r="L292" s="126">
        <f t="shared" si="61"/>
        <v>0.15570999999999999</v>
      </c>
      <c r="M292" s="124">
        <f t="shared" si="62"/>
        <v>2.3210000000000001E-2</v>
      </c>
      <c r="N292" s="125">
        <v>16</v>
      </c>
      <c r="O292" s="126">
        <f t="shared" si="63"/>
        <v>5.5359999999999999E-2</v>
      </c>
      <c r="P292" s="124">
        <f t="shared" si="64"/>
        <v>1.384E-2</v>
      </c>
      <c r="Q292" s="125">
        <v>7</v>
      </c>
      <c r="R292" s="126">
        <f t="shared" si="65"/>
        <v>2.4219999999999998E-2</v>
      </c>
      <c r="S292" s="124">
        <f t="shared" si="66"/>
        <v>9.1500000000000001E-3</v>
      </c>
      <c r="T292" s="125">
        <v>8</v>
      </c>
      <c r="U292" s="126">
        <f t="shared" si="67"/>
        <v>2.768E-2</v>
      </c>
      <c r="V292" s="124">
        <f t="shared" si="68"/>
        <v>9.7900000000000001E-3</v>
      </c>
    </row>
    <row r="293" spans="1:22" s="3" customFormat="1" x14ac:dyDescent="0.3">
      <c r="A293" s="38">
        <v>1731</v>
      </c>
      <c r="B293" s="122" t="str">
        <f t="shared" si="69"/>
        <v>1731-2020</v>
      </c>
      <c r="C293" s="123">
        <v>290</v>
      </c>
      <c r="D293" s="124">
        <f t="shared" si="70"/>
        <v>5.8720000000000001E-2</v>
      </c>
      <c r="E293" s="125">
        <v>61</v>
      </c>
      <c r="F293" s="126">
        <f t="shared" si="57"/>
        <v>0.21034</v>
      </c>
      <c r="G293" s="124">
        <f t="shared" si="58"/>
        <v>2.6929999999999999E-2</v>
      </c>
      <c r="H293" s="125">
        <v>75</v>
      </c>
      <c r="I293" s="126">
        <f t="shared" si="59"/>
        <v>0.25862000000000002</v>
      </c>
      <c r="J293" s="124">
        <f t="shared" si="60"/>
        <v>2.9860000000000001E-2</v>
      </c>
      <c r="K293" s="125">
        <v>45</v>
      </c>
      <c r="L293" s="126">
        <f t="shared" si="61"/>
        <v>0.15517</v>
      </c>
      <c r="M293" s="124">
        <f t="shared" si="62"/>
        <v>2.3130000000000001E-2</v>
      </c>
      <c r="N293" s="125">
        <v>16</v>
      </c>
      <c r="O293" s="126">
        <f t="shared" si="63"/>
        <v>5.5169999999999997E-2</v>
      </c>
      <c r="P293" s="124">
        <f t="shared" si="64"/>
        <v>1.379E-2</v>
      </c>
      <c r="Q293" s="125">
        <v>7</v>
      </c>
      <c r="R293" s="126">
        <f t="shared" si="65"/>
        <v>2.4140000000000002E-2</v>
      </c>
      <c r="S293" s="124">
        <f t="shared" si="66"/>
        <v>9.1199999999999996E-3</v>
      </c>
      <c r="T293" s="125">
        <v>8</v>
      </c>
      <c r="U293" s="126">
        <f t="shared" si="67"/>
        <v>2.759E-2</v>
      </c>
      <c r="V293" s="124">
        <f t="shared" si="68"/>
        <v>9.75E-3</v>
      </c>
    </row>
    <row r="294" spans="1:22" s="3" customFormat="1" x14ac:dyDescent="0.3">
      <c r="A294" s="38">
        <v>1730</v>
      </c>
      <c r="B294" s="122" t="str">
        <f t="shared" si="69"/>
        <v>1730-2020</v>
      </c>
      <c r="C294" s="127">
        <v>291</v>
      </c>
      <c r="D294" s="128">
        <f t="shared" si="70"/>
        <v>5.8619999999999998E-2</v>
      </c>
      <c r="E294" s="125">
        <v>61</v>
      </c>
      <c r="F294" s="126">
        <f t="shared" si="57"/>
        <v>0.20962</v>
      </c>
      <c r="G294" s="124">
        <f t="shared" si="58"/>
        <v>2.6839999999999999E-2</v>
      </c>
      <c r="H294" s="125">
        <v>75</v>
      </c>
      <c r="I294" s="126">
        <f t="shared" si="59"/>
        <v>0.25773000000000001</v>
      </c>
      <c r="J294" s="124">
        <f t="shared" si="60"/>
        <v>2.9760000000000002E-2</v>
      </c>
      <c r="K294" s="125">
        <v>45</v>
      </c>
      <c r="L294" s="126">
        <f t="shared" si="61"/>
        <v>0.15464</v>
      </c>
      <c r="M294" s="124">
        <f t="shared" si="62"/>
        <v>2.3050000000000001E-2</v>
      </c>
      <c r="N294" s="125">
        <v>16</v>
      </c>
      <c r="O294" s="126">
        <f t="shared" si="63"/>
        <v>5.4980000000000001E-2</v>
      </c>
      <c r="P294" s="124">
        <f t="shared" si="64"/>
        <v>1.375E-2</v>
      </c>
      <c r="Q294" s="125">
        <v>7</v>
      </c>
      <c r="R294" s="126">
        <f t="shared" si="65"/>
        <v>2.4049999999999998E-2</v>
      </c>
      <c r="S294" s="124">
        <f t="shared" si="66"/>
        <v>9.0900000000000009E-3</v>
      </c>
      <c r="T294" s="125">
        <v>8</v>
      </c>
      <c r="U294" s="126">
        <f t="shared" si="67"/>
        <v>2.7490000000000001E-2</v>
      </c>
      <c r="V294" s="124">
        <f t="shared" si="68"/>
        <v>9.7199999999999995E-3</v>
      </c>
    </row>
    <row r="295" spans="1:22" s="3" customFormat="1" x14ac:dyDescent="0.3">
      <c r="A295" s="38">
        <v>1729</v>
      </c>
      <c r="B295" s="122" t="str">
        <f t="shared" si="69"/>
        <v>1729-2020</v>
      </c>
      <c r="C295" s="123">
        <v>292</v>
      </c>
      <c r="D295" s="124">
        <f t="shared" si="70"/>
        <v>5.8520000000000003E-2</v>
      </c>
      <c r="E295" s="125">
        <v>61</v>
      </c>
      <c r="F295" s="126">
        <f t="shared" si="57"/>
        <v>0.2089</v>
      </c>
      <c r="G295" s="124">
        <f t="shared" si="58"/>
        <v>2.6749999999999999E-2</v>
      </c>
      <c r="H295" s="125">
        <v>75</v>
      </c>
      <c r="I295" s="126">
        <f t="shared" si="59"/>
        <v>0.25685000000000002</v>
      </c>
      <c r="J295" s="124">
        <f t="shared" si="60"/>
        <v>2.9659999999999999E-2</v>
      </c>
      <c r="K295" s="125">
        <v>45</v>
      </c>
      <c r="L295" s="126">
        <f t="shared" si="61"/>
        <v>0.15411</v>
      </c>
      <c r="M295" s="124">
        <f t="shared" si="62"/>
        <v>2.2970000000000001E-2</v>
      </c>
      <c r="N295" s="125">
        <v>16</v>
      </c>
      <c r="O295" s="126">
        <f t="shared" si="63"/>
        <v>5.4789999999999998E-2</v>
      </c>
      <c r="P295" s="124">
        <f t="shared" si="64"/>
        <v>1.37E-2</v>
      </c>
      <c r="Q295" s="125">
        <v>7</v>
      </c>
      <c r="R295" s="126">
        <f t="shared" si="65"/>
        <v>2.3970000000000002E-2</v>
      </c>
      <c r="S295" s="124">
        <f t="shared" si="66"/>
        <v>9.0600000000000003E-3</v>
      </c>
      <c r="T295" s="125">
        <v>8</v>
      </c>
      <c r="U295" s="126">
        <f t="shared" si="67"/>
        <v>2.7400000000000001E-2</v>
      </c>
      <c r="V295" s="124">
        <f t="shared" si="68"/>
        <v>9.6900000000000007E-3</v>
      </c>
    </row>
    <row r="296" spans="1:22" s="3" customFormat="1" x14ac:dyDescent="0.3">
      <c r="A296" s="38">
        <v>1728</v>
      </c>
      <c r="B296" s="122" t="str">
        <f t="shared" si="69"/>
        <v>1728-2020</v>
      </c>
      <c r="C296" s="127">
        <v>293</v>
      </c>
      <c r="D296" s="128">
        <f t="shared" si="70"/>
        <v>5.842E-2</v>
      </c>
      <c r="E296" s="125">
        <v>61</v>
      </c>
      <c r="F296" s="126">
        <f t="shared" si="57"/>
        <v>0.20818999999999999</v>
      </c>
      <c r="G296" s="124">
        <f t="shared" si="58"/>
        <v>2.666E-2</v>
      </c>
      <c r="H296" s="125">
        <v>75</v>
      </c>
      <c r="I296" s="126">
        <f t="shared" si="59"/>
        <v>0.25596999999999998</v>
      </c>
      <c r="J296" s="124">
        <f t="shared" si="60"/>
        <v>2.9559999999999999E-2</v>
      </c>
      <c r="K296" s="125">
        <v>45</v>
      </c>
      <c r="L296" s="126">
        <f t="shared" si="61"/>
        <v>0.15357999999999999</v>
      </c>
      <c r="M296" s="124">
        <f t="shared" si="62"/>
        <v>2.2890000000000001E-2</v>
      </c>
      <c r="N296" s="125">
        <v>16</v>
      </c>
      <c r="O296" s="126">
        <f t="shared" si="63"/>
        <v>5.4609999999999999E-2</v>
      </c>
      <c r="P296" s="124">
        <f t="shared" si="64"/>
        <v>1.3650000000000001E-2</v>
      </c>
      <c r="Q296" s="125">
        <v>7</v>
      </c>
      <c r="R296" s="126">
        <f t="shared" si="65"/>
        <v>2.3890000000000002E-2</v>
      </c>
      <c r="S296" s="124">
        <f t="shared" si="66"/>
        <v>9.0299999999999998E-3</v>
      </c>
      <c r="T296" s="125">
        <v>8</v>
      </c>
      <c r="U296" s="126">
        <f t="shared" si="67"/>
        <v>2.7300000000000001E-2</v>
      </c>
      <c r="V296" s="124">
        <f t="shared" si="68"/>
        <v>9.6500000000000006E-3</v>
      </c>
    </row>
    <row r="297" spans="1:22" s="3" customFormat="1" x14ac:dyDescent="0.3">
      <c r="A297" s="38">
        <v>1727</v>
      </c>
      <c r="B297" s="122" t="str">
        <f t="shared" si="69"/>
        <v>1727-2020</v>
      </c>
      <c r="C297" s="123">
        <v>294</v>
      </c>
      <c r="D297" s="124">
        <f t="shared" si="70"/>
        <v>5.8319999999999997E-2</v>
      </c>
      <c r="E297" s="125">
        <v>61</v>
      </c>
      <c r="F297" s="126">
        <f t="shared" si="57"/>
        <v>0.20748</v>
      </c>
      <c r="G297" s="124">
        <f t="shared" si="58"/>
        <v>2.656E-2</v>
      </c>
      <c r="H297" s="125">
        <v>75</v>
      </c>
      <c r="I297" s="126">
        <f t="shared" si="59"/>
        <v>0.25509999999999999</v>
      </c>
      <c r="J297" s="124">
        <f t="shared" si="60"/>
        <v>2.946E-2</v>
      </c>
      <c r="K297" s="125">
        <v>45</v>
      </c>
      <c r="L297" s="126">
        <f t="shared" si="61"/>
        <v>0.15306</v>
      </c>
      <c r="M297" s="124">
        <f t="shared" si="62"/>
        <v>2.282E-2</v>
      </c>
      <c r="N297" s="125">
        <v>16</v>
      </c>
      <c r="O297" s="126">
        <f t="shared" si="63"/>
        <v>5.4420000000000003E-2</v>
      </c>
      <c r="P297" s="124">
        <f t="shared" si="64"/>
        <v>1.3599999999999999E-2</v>
      </c>
      <c r="Q297" s="125">
        <v>7</v>
      </c>
      <c r="R297" s="126">
        <f t="shared" si="65"/>
        <v>2.3810000000000001E-2</v>
      </c>
      <c r="S297" s="124">
        <f t="shared" si="66"/>
        <v>8.9999999999999993E-3</v>
      </c>
      <c r="T297" s="125">
        <v>8</v>
      </c>
      <c r="U297" s="126">
        <f t="shared" si="67"/>
        <v>2.7210000000000002E-2</v>
      </c>
      <c r="V297" s="124">
        <f t="shared" si="68"/>
        <v>9.6200000000000001E-3</v>
      </c>
    </row>
    <row r="298" spans="1:22" s="3" customFormat="1" x14ac:dyDescent="0.3">
      <c r="A298" s="38">
        <v>1726</v>
      </c>
      <c r="B298" s="122" t="str">
        <f t="shared" si="69"/>
        <v>1726-2020</v>
      </c>
      <c r="C298" s="127">
        <v>295</v>
      </c>
      <c r="D298" s="128">
        <f t="shared" si="70"/>
        <v>5.8220000000000001E-2</v>
      </c>
      <c r="E298" s="125">
        <v>61</v>
      </c>
      <c r="F298" s="126">
        <f t="shared" si="57"/>
        <v>0.20677999999999999</v>
      </c>
      <c r="G298" s="124">
        <f t="shared" si="58"/>
        <v>2.647E-2</v>
      </c>
      <c r="H298" s="125">
        <v>75</v>
      </c>
      <c r="I298" s="126">
        <f t="shared" si="59"/>
        <v>0.25424000000000002</v>
      </c>
      <c r="J298" s="124">
        <f t="shared" si="60"/>
        <v>2.9360000000000001E-2</v>
      </c>
      <c r="K298" s="125">
        <v>45</v>
      </c>
      <c r="L298" s="126">
        <f t="shared" si="61"/>
        <v>0.15254000000000001</v>
      </c>
      <c r="M298" s="124">
        <f t="shared" si="62"/>
        <v>2.274E-2</v>
      </c>
      <c r="N298" s="125">
        <v>16</v>
      </c>
      <c r="O298" s="126">
        <f t="shared" si="63"/>
        <v>5.4239999999999997E-2</v>
      </c>
      <c r="P298" s="124">
        <f t="shared" si="64"/>
        <v>1.3559999999999999E-2</v>
      </c>
      <c r="Q298" s="125">
        <v>7</v>
      </c>
      <c r="R298" s="126">
        <f t="shared" si="65"/>
        <v>2.3730000000000001E-2</v>
      </c>
      <c r="S298" s="124">
        <f t="shared" si="66"/>
        <v>8.9700000000000005E-3</v>
      </c>
      <c r="T298" s="125">
        <v>8</v>
      </c>
      <c r="U298" s="126">
        <f t="shared" si="67"/>
        <v>2.7119999999999998E-2</v>
      </c>
      <c r="V298" s="124">
        <f t="shared" si="68"/>
        <v>9.5899999999999996E-3</v>
      </c>
    </row>
    <row r="299" spans="1:22" s="3" customFormat="1" x14ac:dyDescent="0.3">
      <c r="A299" s="38">
        <v>1725</v>
      </c>
      <c r="B299" s="122" t="str">
        <f t="shared" si="69"/>
        <v>1725-2020</v>
      </c>
      <c r="C299" s="123">
        <v>296</v>
      </c>
      <c r="D299" s="124">
        <f t="shared" si="70"/>
        <v>5.8119999999999998E-2</v>
      </c>
      <c r="E299" s="125">
        <v>61</v>
      </c>
      <c r="F299" s="126">
        <f t="shared" si="57"/>
        <v>0.20608000000000001</v>
      </c>
      <c r="G299" s="124">
        <f t="shared" si="58"/>
        <v>2.6380000000000001E-2</v>
      </c>
      <c r="H299" s="125">
        <v>75</v>
      </c>
      <c r="I299" s="126">
        <f t="shared" si="59"/>
        <v>0.25337999999999999</v>
      </c>
      <c r="J299" s="124">
        <f t="shared" si="60"/>
        <v>2.9260000000000001E-2</v>
      </c>
      <c r="K299" s="125">
        <v>45</v>
      </c>
      <c r="L299" s="126">
        <f t="shared" si="61"/>
        <v>0.15203</v>
      </c>
      <c r="M299" s="124">
        <f t="shared" si="62"/>
        <v>2.266E-2</v>
      </c>
      <c r="N299" s="125">
        <v>16</v>
      </c>
      <c r="O299" s="126">
        <f t="shared" si="63"/>
        <v>5.4050000000000001E-2</v>
      </c>
      <c r="P299" s="124">
        <f t="shared" si="64"/>
        <v>1.3509999999999999E-2</v>
      </c>
      <c r="Q299" s="125">
        <v>7</v>
      </c>
      <c r="R299" s="126">
        <f t="shared" si="65"/>
        <v>2.3650000000000001E-2</v>
      </c>
      <c r="S299" s="124">
        <f t="shared" si="66"/>
        <v>8.94E-3</v>
      </c>
      <c r="T299" s="125">
        <v>8</v>
      </c>
      <c r="U299" s="126">
        <f t="shared" si="67"/>
        <v>2.7029999999999998E-2</v>
      </c>
      <c r="V299" s="124">
        <f t="shared" si="68"/>
        <v>9.5600000000000008E-3</v>
      </c>
    </row>
    <row r="300" spans="1:22" s="3" customFormat="1" x14ac:dyDescent="0.3">
      <c r="A300" s="38">
        <v>1724</v>
      </c>
      <c r="B300" s="122" t="str">
        <f t="shared" si="69"/>
        <v>1724-2020</v>
      </c>
      <c r="C300" s="127">
        <v>297</v>
      </c>
      <c r="D300" s="128">
        <f t="shared" si="70"/>
        <v>5.8029999999999998E-2</v>
      </c>
      <c r="E300" s="125">
        <v>61</v>
      </c>
      <c r="F300" s="126">
        <f t="shared" si="57"/>
        <v>0.20538999999999999</v>
      </c>
      <c r="G300" s="124">
        <f t="shared" si="58"/>
        <v>2.63E-2</v>
      </c>
      <c r="H300" s="125">
        <v>75</v>
      </c>
      <c r="I300" s="126">
        <f t="shared" si="59"/>
        <v>0.25252999999999998</v>
      </c>
      <c r="J300" s="124">
        <f t="shared" si="60"/>
        <v>2.9159999999999998E-2</v>
      </c>
      <c r="K300" s="125">
        <v>45</v>
      </c>
      <c r="L300" s="126">
        <f t="shared" si="61"/>
        <v>0.15151999999999999</v>
      </c>
      <c r="M300" s="124">
        <f t="shared" si="62"/>
        <v>2.2589999999999999E-2</v>
      </c>
      <c r="N300" s="125">
        <v>16</v>
      </c>
      <c r="O300" s="126">
        <f t="shared" si="63"/>
        <v>5.3870000000000001E-2</v>
      </c>
      <c r="P300" s="124">
        <f t="shared" si="64"/>
        <v>1.3469999999999999E-2</v>
      </c>
      <c r="Q300" s="125">
        <v>7</v>
      </c>
      <c r="R300" s="126">
        <f t="shared" si="65"/>
        <v>2.3570000000000001E-2</v>
      </c>
      <c r="S300" s="124">
        <f t="shared" si="66"/>
        <v>8.9099999999999995E-3</v>
      </c>
      <c r="T300" s="125">
        <v>8</v>
      </c>
      <c r="U300" s="126">
        <f t="shared" si="67"/>
        <v>2.6939999999999999E-2</v>
      </c>
      <c r="V300" s="124">
        <f t="shared" si="68"/>
        <v>9.5200000000000007E-3</v>
      </c>
    </row>
    <row r="301" spans="1:22" s="3" customFormat="1" x14ac:dyDescent="0.3">
      <c r="A301" s="38">
        <v>1723</v>
      </c>
      <c r="B301" s="122" t="str">
        <f t="shared" si="69"/>
        <v>1723-2020</v>
      </c>
      <c r="C301" s="123">
        <v>298</v>
      </c>
      <c r="D301" s="124">
        <f t="shared" si="70"/>
        <v>5.7930000000000002E-2</v>
      </c>
      <c r="E301" s="125">
        <v>61</v>
      </c>
      <c r="F301" s="126">
        <f t="shared" si="57"/>
        <v>0.20469999999999999</v>
      </c>
      <c r="G301" s="124">
        <f t="shared" si="58"/>
        <v>2.6210000000000001E-2</v>
      </c>
      <c r="H301" s="125">
        <v>75</v>
      </c>
      <c r="I301" s="126">
        <f t="shared" si="59"/>
        <v>0.25168000000000001</v>
      </c>
      <c r="J301" s="124">
        <f t="shared" si="60"/>
        <v>2.9059999999999999E-2</v>
      </c>
      <c r="K301" s="125">
        <v>45</v>
      </c>
      <c r="L301" s="126">
        <f t="shared" si="61"/>
        <v>0.15101000000000001</v>
      </c>
      <c r="M301" s="124">
        <f t="shared" si="62"/>
        <v>2.2509999999999999E-2</v>
      </c>
      <c r="N301" s="125">
        <v>16</v>
      </c>
      <c r="O301" s="126">
        <f t="shared" si="63"/>
        <v>5.3690000000000002E-2</v>
      </c>
      <c r="P301" s="124">
        <f t="shared" si="64"/>
        <v>1.342E-2</v>
      </c>
      <c r="Q301" s="125">
        <v>7</v>
      </c>
      <c r="R301" s="126">
        <f t="shared" si="65"/>
        <v>2.349E-2</v>
      </c>
      <c r="S301" s="124">
        <f t="shared" si="66"/>
        <v>8.8800000000000007E-3</v>
      </c>
      <c r="T301" s="125">
        <v>8</v>
      </c>
      <c r="U301" s="126">
        <f t="shared" si="67"/>
        <v>2.6849999999999999E-2</v>
      </c>
      <c r="V301" s="124">
        <f t="shared" si="68"/>
        <v>9.4900000000000002E-3</v>
      </c>
    </row>
    <row r="302" spans="1:22" s="3" customFormat="1" x14ac:dyDescent="0.3">
      <c r="A302" s="38">
        <v>1722</v>
      </c>
      <c r="B302" s="122" t="str">
        <f t="shared" si="69"/>
        <v>1722-2020</v>
      </c>
      <c r="C302" s="127">
        <v>299</v>
      </c>
      <c r="D302" s="128">
        <f t="shared" si="70"/>
        <v>5.7829999999999999E-2</v>
      </c>
      <c r="E302" s="125">
        <v>61</v>
      </c>
      <c r="F302" s="126">
        <f t="shared" si="57"/>
        <v>0.20401</v>
      </c>
      <c r="G302" s="124">
        <f t="shared" si="58"/>
        <v>2.6120000000000001E-2</v>
      </c>
      <c r="H302" s="125">
        <v>75</v>
      </c>
      <c r="I302" s="126">
        <f t="shared" si="59"/>
        <v>0.25084000000000001</v>
      </c>
      <c r="J302" s="124">
        <f t="shared" si="60"/>
        <v>2.896E-2</v>
      </c>
      <c r="K302" s="125">
        <v>45</v>
      </c>
      <c r="L302" s="126">
        <f t="shared" si="61"/>
        <v>0.15049999999999999</v>
      </c>
      <c r="M302" s="124">
        <f t="shared" si="62"/>
        <v>2.2429999999999999E-2</v>
      </c>
      <c r="N302" s="125">
        <v>16</v>
      </c>
      <c r="O302" s="126">
        <f t="shared" si="63"/>
        <v>5.3510000000000002E-2</v>
      </c>
      <c r="P302" s="124">
        <f t="shared" si="64"/>
        <v>1.338E-2</v>
      </c>
      <c r="Q302" s="125">
        <v>7</v>
      </c>
      <c r="R302" s="126">
        <f t="shared" si="65"/>
        <v>2.341E-2</v>
      </c>
      <c r="S302" s="124">
        <f t="shared" si="66"/>
        <v>8.8500000000000002E-3</v>
      </c>
      <c r="T302" s="125">
        <v>8</v>
      </c>
      <c r="U302" s="126">
        <f t="shared" si="67"/>
        <v>2.6759999999999999E-2</v>
      </c>
      <c r="V302" s="124">
        <f t="shared" si="68"/>
        <v>9.4599999999999997E-3</v>
      </c>
    </row>
    <row r="303" spans="1:22" s="3" customFormat="1" x14ac:dyDescent="0.3">
      <c r="A303" s="38">
        <v>1721</v>
      </c>
      <c r="B303" s="122" t="str">
        <f t="shared" si="69"/>
        <v>1721-2020</v>
      </c>
      <c r="C303" s="123">
        <v>300</v>
      </c>
      <c r="D303" s="124">
        <f t="shared" si="70"/>
        <v>5.774E-2</v>
      </c>
      <c r="E303" s="125">
        <v>61</v>
      </c>
      <c r="F303" s="126">
        <f t="shared" si="57"/>
        <v>0.20333000000000001</v>
      </c>
      <c r="G303" s="124">
        <f t="shared" si="58"/>
        <v>2.6040000000000001E-2</v>
      </c>
      <c r="H303" s="125">
        <v>75</v>
      </c>
      <c r="I303" s="126">
        <f t="shared" si="59"/>
        <v>0.25</v>
      </c>
      <c r="J303" s="124">
        <f t="shared" si="60"/>
        <v>2.887E-2</v>
      </c>
      <c r="K303" s="125">
        <v>45</v>
      </c>
      <c r="L303" s="126">
        <f t="shared" si="61"/>
        <v>0.15</v>
      </c>
      <c r="M303" s="124">
        <f t="shared" si="62"/>
        <v>2.2360000000000001E-2</v>
      </c>
      <c r="N303" s="125">
        <v>16</v>
      </c>
      <c r="O303" s="126">
        <f t="shared" si="63"/>
        <v>5.3330000000000002E-2</v>
      </c>
      <c r="P303" s="124">
        <f t="shared" si="64"/>
        <v>1.333E-2</v>
      </c>
      <c r="Q303" s="125">
        <v>7</v>
      </c>
      <c r="R303" s="126">
        <f t="shared" si="65"/>
        <v>2.333E-2</v>
      </c>
      <c r="S303" s="124">
        <f t="shared" si="66"/>
        <v>8.8199999999999997E-3</v>
      </c>
      <c r="T303" s="125">
        <v>8</v>
      </c>
      <c r="U303" s="126">
        <f t="shared" si="67"/>
        <v>2.6669999999999999E-2</v>
      </c>
      <c r="V303" s="124">
        <f t="shared" si="68"/>
        <v>9.4299999999999991E-3</v>
      </c>
    </row>
    <row r="304" spans="1:22" s="3" customFormat="1" x14ac:dyDescent="0.3">
      <c r="A304" s="38">
        <v>1720</v>
      </c>
      <c r="B304" s="122" t="str">
        <f t="shared" si="69"/>
        <v>1720-2020</v>
      </c>
      <c r="C304" s="127">
        <v>301</v>
      </c>
      <c r="D304" s="128">
        <f t="shared" si="70"/>
        <v>5.7639999999999997E-2</v>
      </c>
      <c r="E304" s="125">
        <v>61</v>
      </c>
      <c r="F304" s="126">
        <f t="shared" si="57"/>
        <v>0.20266000000000001</v>
      </c>
      <c r="G304" s="124">
        <f t="shared" si="58"/>
        <v>2.5950000000000001E-2</v>
      </c>
      <c r="H304" s="125">
        <v>75</v>
      </c>
      <c r="I304" s="126">
        <f t="shared" si="59"/>
        <v>0.24917</v>
      </c>
      <c r="J304" s="124">
        <f t="shared" si="60"/>
        <v>2.877E-2</v>
      </c>
      <c r="K304" s="125">
        <v>45</v>
      </c>
      <c r="L304" s="126">
        <f t="shared" si="61"/>
        <v>0.14949999999999999</v>
      </c>
      <c r="M304" s="124">
        <f t="shared" si="62"/>
        <v>2.2290000000000001E-2</v>
      </c>
      <c r="N304" s="125">
        <v>16</v>
      </c>
      <c r="O304" s="126">
        <f t="shared" si="63"/>
        <v>5.3159999999999999E-2</v>
      </c>
      <c r="P304" s="124">
        <f t="shared" si="64"/>
        <v>1.329E-2</v>
      </c>
      <c r="Q304" s="125">
        <v>7</v>
      </c>
      <c r="R304" s="126">
        <f t="shared" si="65"/>
        <v>2.3259999999999999E-2</v>
      </c>
      <c r="S304" s="124">
        <f t="shared" si="66"/>
        <v>8.7899999999999992E-3</v>
      </c>
      <c r="T304" s="125">
        <v>8</v>
      </c>
      <c r="U304" s="126">
        <f t="shared" si="67"/>
        <v>2.6579999999999999E-2</v>
      </c>
      <c r="V304" s="124">
        <f t="shared" si="68"/>
        <v>9.4000000000000004E-3</v>
      </c>
    </row>
    <row r="305" spans="1:22" s="3" customFormat="1" x14ac:dyDescent="0.3">
      <c r="A305" s="38">
        <v>1719</v>
      </c>
      <c r="B305" s="122" t="str">
        <f t="shared" si="69"/>
        <v>1719-2020</v>
      </c>
      <c r="C305" s="123">
        <v>302</v>
      </c>
      <c r="D305" s="124">
        <f t="shared" si="70"/>
        <v>5.7540000000000001E-2</v>
      </c>
      <c r="E305" s="125">
        <v>61</v>
      </c>
      <c r="F305" s="126">
        <f t="shared" si="57"/>
        <v>0.20199</v>
      </c>
      <c r="G305" s="124">
        <f t="shared" si="58"/>
        <v>2.5860000000000001E-2</v>
      </c>
      <c r="H305" s="125">
        <v>75</v>
      </c>
      <c r="I305" s="126">
        <f t="shared" si="59"/>
        <v>0.24834000000000001</v>
      </c>
      <c r="J305" s="124">
        <f t="shared" si="60"/>
        <v>2.8670000000000001E-2</v>
      </c>
      <c r="K305" s="125">
        <v>45</v>
      </c>
      <c r="L305" s="126">
        <f t="shared" si="61"/>
        <v>0.14901</v>
      </c>
      <c r="M305" s="124">
        <f t="shared" si="62"/>
        <v>2.2210000000000001E-2</v>
      </c>
      <c r="N305" s="125">
        <v>16</v>
      </c>
      <c r="O305" s="126">
        <f t="shared" si="63"/>
        <v>5.2979999999999999E-2</v>
      </c>
      <c r="P305" s="124">
        <f t="shared" si="64"/>
        <v>1.324E-2</v>
      </c>
      <c r="Q305" s="125">
        <v>7</v>
      </c>
      <c r="R305" s="126">
        <f t="shared" si="65"/>
        <v>2.3179999999999999E-2</v>
      </c>
      <c r="S305" s="124">
        <f t="shared" si="66"/>
        <v>8.7600000000000004E-3</v>
      </c>
      <c r="T305" s="125">
        <v>8</v>
      </c>
      <c r="U305" s="126">
        <f t="shared" si="67"/>
        <v>2.649E-2</v>
      </c>
      <c r="V305" s="124">
        <f t="shared" si="68"/>
        <v>9.3699999999999999E-3</v>
      </c>
    </row>
    <row r="306" spans="1:22" s="3" customFormat="1" x14ac:dyDescent="0.3">
      <c r="A306" s="38">
        <v>1718</v>
      </c>
      <c r="B306" s="122" t="str">
        <f t="shared" si="69"/>
        <v>1718-2020</v>
      </c>
      <c r="C306" s="127">
        <v>303</v>
      </c>
      <c r="D306" s="128">
        <f t="shared" si="70"/>
        <v>5.7450000000000001E-2</v>
      </c>
      <c r="E306" s="125">
        <v>61</v>
      </c>
      <c r="F306" s="126">
        <f t="shared" si="57"/>
        <v>0.20132</v>
      </c>
      <c r="G306" s="124">
        <f t="shared" si="58"/>
        <v>2.5780000000000001E-2</v>
      </c>
      <c r="H306" s="125">
        <v>75</v>
      </c>
      <c r="I306" s="126">
        <f t="shared" si="59"/>
        <v>0.24751999999999999</v>
      </c>
      <c r="J306" s="124">
        <f t="shared" si="60"/>
        <v>2.8580000000000001E-2</v>
      </c>
      <c r="K306" s="125">
        <v>45</v>
      </c>
      <c r="L306" s="126">
        <f t="shared" si="61"/>
        <v>0.14851</v>
      </c>
      <c r="M306" s="124">
        <f t="shared" si="62"/>
        <v>2.214E-2</v>
      </c>
      <c r="N306" s="125">
        <v>16</v>
      </c>
      <c r="O306" s="126">
        <f t="shared" si="63"/>
        <v>5.2810000000000003E-2</v>
      </c>
      <c r="P306" s="124">
        <f t="shared" si="64"/>
        <v>1.32E-2</v>
      </c>
      <c r="Q306" s="125">
        <v>7</v>
      </c>
      <c r="R306" s="126">
        <f t="shared" si="65"/>
        <v>2.3099999999999999E-2</v>
      </c>
      <c r="S306" s="124">
        <f t="shared" si="66"/>
        <v>8.7299999999999999E-3</v>
      </c>
      <c r="T306" s="125">
        <v>8</v>
      </c>
      <c r="U306" s="126">
        <f t="shared" si="67"/>
        <v>2.64E-2</v>
      </c>
      <c r="V306" s="124">
        <f t="shared" si="68"/>
        <v>9.3299999999999998E-3</v>
      </c>
    </row>
    <row r="307" spans="1:22" s="3" customFormat="1" x14ac:dyDescent="0.3">
      <c r="A307" s="38">
        <v>1717</v>
      </c>
      <c r="B307" s="122" t="str">
        <f t="shared" si="69"/>
        <v>1717-2020</v>
      </c>
      <c r="C307" s="123">
        <v>304</v>
      </c>
      <c r="D307" s="124">
        <f t="shared" si="70"/>
        <v>5.7349999999999998E-2</v>
      </c>
      <c r="E307" s="125">
        <v>61</v>
      </c>
      <c r="F307" s="126">
        <f t="shared" si="57"/>
        <v>0.20066000000000001</v>
      </c>
      <c r="G307" s="124">
        <f t="shared" si="58"/>
        <v>2.5690000000000001E-2</v>
      </c>
      <c r="H307" s="125">
        <v>75</v>
      </c>
      <c r="I307" s="126">
        <f t="shared" si="59"/>
        <v>0.24671000000000001</v>
      </c>
      <c r="J307" s="124">
        <f t="shared" si="60"/>
        <v>2.8490000000000001E-2</v>
      </c>
      <c r="K307" s="125">
        <v>45</v>
      </c>
      <c r="L307" s="126">
        <f t="shared" si="61"/>
        <v>0.14802999999999999</v>
      </c>
      <c r="M307" s="124">
        <f t="shared" si="62"/>
        <v>2.2069999999999999E-2</v>
      </c>
      <c r="N307" s="125">
        <v>16</v>
      </c>
      <c r="O307" s="126">
        <f t="shared" si="63"/>
        <v>5.2630000000000003E-2</v>
      </c>
      <c r="P307" s="124">
        <f t="shared" si="64"/>
        <v>1.316E-2</v>
      </c>
      <c r="Q307" s="125">
        <v>7</v>
      </c>
      <c r="R307" s="126">
        <f t="shared" si="65"/>
        <v>2.3029999999999998E-2</v>
      </c>
      <c r="S307" s="124">
        <f t="shared" si="66"/>
        <v>8.6999999999999994E-3</v>
      </c>
      <c r="T307" s="125">
        <v>8</v>
      </c>
      <c r="U307" s="126">
        <f t="shared" si="67"/>
        <v>2.632E-2</v>
      </c>
      <c r="V307" s="124">
        <f t="shared" si="68"/>
        <v>9.2999999999999992E-3</v>
      </c>
    </row>
    <row r="308" spans="1:22" s="3" customFormat="1" x14ac:dyDescent="0.3">
      <c r="A308" s="38">
        <v>1716</v>
      </c>
      <c r="B308" s="122" t="str">
        <f t="shared" si="69"/>
        <v>1716-2020</v>
      </c>
      <c r="C308" s="127">
        <v>305</v>
      </c>
      <c r="D308" s="128">
        <f t="shared" si="70"/>
        <v>5.7259999999999998E-2</v>
      </c>
      <c r="E308" s="125">
        <v>61</v>
      </c>
      <c r="F308" s="126">
        <f t="shared" si="57"/>
        <v>0.2</v>
      </c>
      <c r="G308" s="124">
        <f t="shared" si="58"/>
        <v>2.5610000000000001E-2</v>
      </c>
      <c r="H308" s="125">
        <v>75</v>
      </c>
      <c r="I308" s="126">
        <f t="shared" si="59"/>
        <v>0.24590000000000001</v>
      </c>
      <c r="J308" s="124">
        <f t="shared" si="60"/>
        <v>2.8389999999999999E-2</v>
      </c>
      <c r="K308" s="125">
        <v>45</v>
      </c>
      <c r="L308" s="126">
        <f t="shared" si="61"/>
        <v>0.14754</v>
      </c>
      <c r="M308" s="124">
        <f t="shared" si="62"/>
        <v>2.1989999999999999E-2</v>
      </c>
      <c r="N308" s="125">
        <v>16</v>
      </c>
      <c r="O308" s="126">
        <f t="shared" si="63"/>
        <v>5.246E-2</v>
      </c>
      <c r="P308" s="124">
        <f t="shared" si="64"/>
        <v>1.311E-2</v>
      </c>
      <c r="Q308" s="125">
        <v>7</v>
      </c>
      <c r="R308" s="126">
        <f t="shared" si="65"/>
        <v>2.2950000000000002E-2</v>
      </c>
      <c r="S308" s="124">
        <f t="shared" si="66"/>
        <v>8.6700000000000006E-3</v>
      </c>
      <c r="T308" s="125">
        <v>8</v>
      </c>
      <c r="U308" s="126">
        <f t="shared" si="67"/>
        <v>2.623E-2</v>
      </c>
      <c r="V308" s="124">
        <f t="shared" si="68"/>
        <v>9.2700000000000005E-3</v>
      </c>
    </row>
    <row r="309" spans="1:22" s="3" customFormat="1" x14ac:dyDescent="0.3">
      <c r="A309" s="38">
        <v>1715</v>
      </c>
      <c r="B309" s="122" t="str">
        <f t="shared" si="69"/>
        <v>1715-2020</v>
      </c>
      <c r="C309" s="123">
        <v>306</v>
      </c>
      <c r="D309" s="124">
        <f t="shared" si="70"/>
        <v>5.7169999999999999E-2</v>
      </c>
      <c r="E309" s="125">
        <v>61</v>
      </c>
      <c r="F309" s="126">
        <f t="shared" si="57"/>
        <v>0.19935</v>
      </c>
      <c r="G309" s="124">
        <f t="shared" si="58"/>
        <v>2.5530000000000001E-2</v>
      </c>
      <c r="H309" s="125">
        <v>75</v>
      </c>
      <c r="I309" s="126">
        <f t="shared" si="59"/>
        <v>0.24510000000000001</v>
      </c>
      <c r="J309" s="124">
        <f t="shared" si="60"/>
        <v>2.8299999999999999E-2</v>
      </c>
      <c r="K309" s="125">
        <v>45</v>
      </c>
      <c r="L309" s="126">
        <f t="shared" si="61"/>
        <v>0.14706</v>
      </c>
      <c r="M309" s="124">
        <f t="shared" si="62"/>
        <v>2.1919999999999999E-2</v>
      </c>
      <c r="N309" s="125">
        <v>16</v>
      </c>
      <c r="O309" s="126">
        <f t="shared" si="63"/>
        <v>5.2290000000000003E-2</v>
      </c>
      <c r="P309" s="124">
        <f t="shared" si="64"/>
        <v>1.307E-2</v>
      </c>
      <c r="Q309" s="125">
        <v>7</v>
      </c>
      <c r="R309" s="126">
        <f t="shared" si="65"/>
        <v>2.2880000000000001E-2</v>
      </c>
      <c r="S309" s="124">
        <f t="shared" si="66"/>
        <v>8.6499999999999997E-3</v>
      </c>
      <c r="T309" s="125">
        <v>8</v>
      </c>
      <c r="U309" s="126">
        <f t="shared" si="67"/>
        <v>2.614E-2</v>
      </c>
      <c r="V309" s="124">
        <f t="shared" si="68"/>
        <v>9.2399999999999999E-3</v>
      </c>
    </row>
    <row r="310" spans="1:22" s="3" customFormat="1" x14ac:dyDescent="0.3">
      <c r="A310" s="38">
        <v>1714</v>
      </c>
      <c r="B310" s="122" t="str">
        <f t="shared" si="69"/>
        <v>1714-2020</v>
      </c>
      <c r="C310" s="127">
        <v>307</v>
      </c>
      <c r="D310" s="128">
        <f t="shared" si="70"/>
        <v>5.7070000000000003E-2</v>
      </c>
      <c r="E310" s="125">
        <v>61</v>
      </c>
      <c r="F310" s="126">
        <f t="shared" si="57"/>
        <v>0.19869999999999999</v>
      </c>
      <c r="G310" s="124">
        <f t="shared" si="58"/>
        <v>2.5440000000000001E-2</v>
      </c>
      <c r="H310" s="125">
        <v>75</v>
      </c>
      <c r="I310" s="126">
        <f t="shared" si="59"/>
        <v>0.24429999999999999</v>
      </c>
      <c r="J310" s="124">
        <f t="shared" si="60"/>
        <v>2.8209999999999999E-2</v>
      </c>
      <c r="K310" s="125">
        <v>45</v>
      </c>
      <c r="L310" s="126">
        <f t="shared" si="61"/>
        <v>0.14657999999999999</v>
      </c>
      <c r="M310" s="124">
        <f t="shared" si="62"/>
        <v>2.1850000000000001E-2</v>
      </c>
      <c r="N310" s="125">
        <v>16</v>
      </c>
      <c r="O310" s="126">
        <f t="shared" si="63"/>
        <v>5.212E-2</v>
      </c>
      <c r="P310" s="124">
        <f t="shared" si="64"/>
        <v>1.303E-2</v>
      </c>
      <c r="Q310" s="125">
        <v>7</v>
      </c>
      <c r="R310" s="126">
        <f t="shared" si="65"/>
        <v>2.2800000000000001E-2</v>
      </c>
      <c r="S310" s="124">
        <f t="shared" si="66"/>
        <v>8.6199999999999992E-3</v>
      </c>
      <c r="T310" s="125">
        <v>8</v>
      </c>
      <c r="U310" s="126">
        <f t="shared" si="67"/>
        <v>2.606E-2</v>
      </c>
      <c r="V310" s="124">
        <f t="shared" si="68"/>
        <v>9.2099999999999994E-3</v>
      </c>
    </row>
    <row r="311" spans="1:22" s="3" customFormat="1" x14ac:dyDescent="0.3">
      <c r="A311" s="38">
        <v>1713</v>
      </c>
      <c r="B311" s="122" t="str">
        <f t="shared" si="69"/>
        <v>1713-2020</v>
      </c>
      <c r="C311" s="123">
        <v>308</v>
      </c>
      <c r="D311" s="124">
        <f t="shared" si="70"/>
        <v>5.6980000000000003E-2</v>
      </c>
      <c r="E311" s="125">
        <v>61</v>
      </c>
      <c r="F311" s="126">
        <f t="shared" si="57"/>
        <v>0.19805</v>
      </c>
      <c r="G311" s="124">
        <f t="shared" si="58"/>
        <v>2.5360000000000001E-2</v>
      </c>
      <c r="H311" s="125">
        <v>75</v>
      </c>
      <c r="I311" s="126">
        <f t="shared" si="59"/>
        <v>0.24351</v>
      </c>
      <c r="J311" s="124">
        <f t="shared" si="60"/>
        <v>2.8119999999999999E-2</v>
      </c>
      <c r="K311" s="125">
        <v>45</v>
      </c>
      <c r="L311" s="126">
        <f t="shared" si="61"/>
        <v>0.14610000000000001</v>
      </c>
      <c r="M311" s="124">
        <f t="shared" si="62"/>
        <v>2.1780000000000001E-2</v>
      </c>
      <c r="N311" s="125">
        <v>16</v>
      </c>
      <c r="O311" s="126">
        <f t="shared" si="63"/>
        <v>5.1950000000000003E-2</v>
      </c>
      <c r="P311" s="124">
        <f t="shared" si="64"/>
        <v>1.299E-2</v>
      </c>
      <c r="Q311" s="125">
        <v>7</v>
      </c>
      <c r="R311" s="126">
        <f t="shared" si="65"/>
        <v>2.273E-2</v>
      </c>
      <c r="S311" s="124">
        <f t="shared" si="66"/>
        <v>8.5900000000000004E-3</v>
      </c>
      <c r="T311" s="125">
        <v>8</v>
      </c>
      <c r="U311" s="126">
        <f t="shared" si="67"/>
        <v>2.597E-2</v>
      </c>
      <c r="V311" s="124">
        <f t="shared" si="68"/>
        <v>9.1800000000000007E-3</v>
      </c>
    </row>
    <row r="312" spans="1:22" s="3" customFormat="1" x14ac:dyDescent="0.3">
      <c r="A312" s="38">
        <v>1712</v>
      </c>
      <c r="B312" s="122" t="str">
        <f t="shared" si="69"/>
        <v>1712-2020</v>
      </c>
      <c r="C312" s="127">
        <v>309</v>
      </c>
      <c r="D312" s="128">
        <f t="shared" si="70"/>
        <v>5.6890000000000003E-2</v>
      </c>
      <c r="E312" s="125">
        <v>61</v>
      </c>
      <c r="F312" s="126">
        <f t="shared" si="57"/>
        <v>0.19741</v>
      </c>
      <c r="G312" s="124">
        <f t="shared" si="58"/>
        <v>2.528E-2</v>
      </c>
      <c r="H312" s="125">
        <v>75</v>
      </c>
      <c r="I312" s="126">
        <f t="shared" si="59"/>
        <v>0.24271999999999999</v>
      </c>
      <c r="J312" s="124">
        <f t="shared" si="60"/>
        <v>2.8029999999999999E-2</v>
      </c>
      <c r="K312" s="125">
        <v>45</v>
      </c>
      <c r="L312" s="126">
        <f t="shared" si="61"/>
        <v>0.14563000000000001</v>
      </c>
      <c r="M312" s="124">
        <f t="shared" si="62"/>
        <v>2.171E-2</v>
      </c>
      <c r="N312" s="125">
        <v>16</v>
      </c>
      <c r="O312" s="126">
        <f t="shared" si="63"/>
        <v>5.178E-2</v>
      </c>
      <c r="P312" s="124">
        <f t="shared" si="64"/>
        <v>1.295E-2</v>
      </c>
      <c r="Q312" s="125">
        <v>7</v>
      </c>
      <c r="R312" s="126">
        <f t="shared" si="65"/>
        <v>2.265E-2</v>
      </c>
      <c r="S312" s="124">
        <f t="shared" si="66"/>
        <v>8.5599999999999999E-3</v>
      </c>
      <c r="T312" s="125">
        <v>8</v>
      </c>
      <c r="U312" s="126">
        <f t="shared" si="67"/>
        <v>2.589E-2</v>
      </c>
      <c r="V312" s="124">
        <f t="shared" si="68"/>
        <v>9.1500000000000001E-3</v>
      </c>
    </row>
    <row r="313" spans="1:22" s="3" customFormat="1" x14ac:dyDescent="0.3">
      <c r="A313" s="38">
        <v>1711</v>
      </c>
      <c r="B313" s="122" t="str">
        <f t="shared" si="69"/>
        <v>1711-2020</v>
      </c>
      <c r="C313" s="123">
        <v>310</v>
      </c>
      <c r="D313" s="124">
        <f t="shared" si="70"/>
        <v>5.6800000000000003E-2</v>
      </c>
      <c r="E313" s="125">
        <v>61</v>
      </c>
      <c r="F313" s="126">
        <f t="shared" si="57"/>
        <v>0.19677</v>
      </c>
      <c r="G313" s="124">
        <f t="shared" si="58"/>
        <v>2.52E-2</v>
      </c>
      <c r="H313" s="125">
        <v>75</v>
      </c>
      <c r="I313" s="126">
        <f t="shared" si="59"/>
        <v>0.24193999999999999</v>
      </c>
      <c r="J313" s="124">
        <f t="shared" si="60"/>
        <v>2.794E-2</v>
      </c>
      <c r="K313" s="125">
        <v>45</v>
      </c>
      <c r="L313" s="126">
        <f t="shared" si="61"/>
        <v>0.14516000000000001</v>
      </c>
      <c r="M313" s="124">
        <f t="shared" si="62"/>
        <v>2.164E-2</v>
      </c>
      <c r="N313" s="125">
        <v>16</v>
      </c>
      <c r="O313" s="126">
        <f t="shared" si="63"/>
        <v>5.1610000000000003E-2</v>
      </c>
      <c r="P313" s="124">
        <f t="shared" si="64"/>
        <v>1.29E-2</v>
      </c>
      <c r="Q313" s="125">
        <v>7</v>
      </c>
      <c r="R313" s="126">
        <f t="shared" si="65"/>
        <v>2.2579999999999999E-2</v>
      </c>
      <c r="S313" s="124">
        <f t="shared" si="66"/>
        <v>8.5400000000000007E-3</v>
      </c>
      <c r="T313" s="125">
        <v>8</v>
      </c>
      <c r="U313" s="126">
        <f t="shared" si="67"/>
        <v>2.581E-2</v>
      </c>
      <c r="V313" s="124">
        <f t="shared" si="68"/>
        <v>9.1299999999999992E-3</v>
      </c>
    </row>
    <row r="314" spans="1:22" s="3" customFormat="1" x14ac:dyDescent="0.3">
      <c r="A314" s="38">
        <v>1710</v>
      </c>
      <c r="B314" s="122" t="str">
        <f t="shared" si="69"/>
        <v>1710-2020</v>
      </c>
      <c r="C314" s="127">
        <v>311</v>
      </c>
      <c r="D314" s="128">
        <f t="shared" si="70"/>
        <v>5.67E-2</v>
      </c>
      <c r="E314" s="125">
        <v>61</v>
      </c>
      <c r="F314" s="126">
        <f t="shared" si="57"/>
        <v>0.19614000000000001</v>
      </c>
      <c r="G314" s="124">
        <f t="shared" si="58"/>
        <v>2.511E-2</v>
      </c>
      <c r="H314" s="125">
        <v>75</v>
      </c>
      <c r="I314" s="126">
        <f t="shared" si="59"/>
        <v>0.24116000000000001</v>
      </c>
      <c r="J314" s="124">
        <f t="shared" si="60"/>
        <v>2.784E-2</v>
      </c>
      <c r="K314" s="125">
        <v>45</v>
      </c>
      <c r="L314" s="126">
        <f t="shared" si="61"/>
        <v>0.14469000000000001</v>
      </c>
      <c r="M314" s="124">
        <f t="shared" si="62"/>
        <v>2.1569999999999999E-2</v>
      </c>
      <c r="N314" s="125">
        <v>16</v>
      </c>
      <c r="O314" s="126">
        <f t="shared" si="63"/>
        <v>5.1450000000000003E-2</v>
      </c>
      <c r="P314" s="124">
        <f t="shared" si="64"/>
        <v>1.286E-2</v>
      </c>
      <c r="Q314" s="125">
        <v>7</v>
      </c>
      <c r="R314" s="126">
        <f t="shared" si="65"/>
        <v>2.2509999999999999E-2</v>
      </c>
      <c r="S314" s="124">
        <f t="shared" si="66"/>
        <v>8.5100000000000002E-3</v>
      </c>
      <c r="T314" s="125">
        <v>8</v>
      </c>
      <c r="U314" s="126">
        <f t="shared" si="67"/>
        <v>2.572E-2</v>
      </c>
      <c r="V314" s="124">
        <f t="shared" si="68"/>
        <v>9.0900000000000009E-3</v>
      </c>
    </row>
    <row r="315" spans="1:22" s="3" customFormat="1" x14ac:dyDescent="0.3">
      <c r="A315" s="38">
        <v>1709</v>
      </c>
      <c r="B315" s="122" t="str">
        <f t="shared" si="69"/>
        <v>1709-2020</v>
      </c>
      <c r="C315" s="123">
        <v>312</v>
      </c>
      <c r="D315" s="124">
        <f t="shared" si="70"/>
        <v>5.6610000000000001E-2</v>
      </c>
      <c r="E315" s="125">
        <v>61</v>
      </c>
      <c r="F315" s="126">
        <f t="shared" si="57"/>
        <v>0.19550999999999999</v>
      </c>
      <c r="G315" s="124">
        <f t="shared" si="58"/>
        <v>2.503E-2</v>
      </c>
      <c r="H315" s="125">
        <v>75</v>
      </c>
      <c r="I315" s="126">
        <f t="shared" si="59"/>
        <v>0.24038000000000001</v>
      </c>
      <c r="J315" s="124">
        <f t="shared" si="60"/>
        <v>2.776E-2</v>
      </c>
      <c r="K315" s="125">
        <v>45</v>
      </c>
      <c r="L315" s="126">
        <f t="shared" si="61"/>
        <v>0.14423</v>
      </c>
      <c r="M315" s="124">
        <f t="shared" si="62"/>
        <v>2.1499999999999998E-2</v>
      </c>
      <c r="N315" s="125">
        <v>16</v>
      </c>
      <c r="O315" s="126">
        <f t="shared" si="63"/>
        <v>5.1279999999999999E-2</v>
      </c>
      <c r="P315" s="124">
        <f t="shared" si="64"/>
        <v>1.282E-2</v>
      </c>
      <c r="Q315" s="125">
        <v>7</v>
      </c>
      <c r="R315" s="126">
        <f t="shared" si="65"/>
        <v>2.2440000000000002E-2</v>
      </c>
      <c r="S315" s="124">
        <f t="shared" si="66"/>
        <v>8.4799999999999997E-3</v>
      </c>
      <c r="T315" s="125">
        <v>8</v>
      </c>
      <c r="U315" s="126">
        <f t="shared" si="67"/>
        <v>2.564E-2</v>
      </c>
      <c r="V315" s="124">
        <f t="shared" si="68"/>
        <v>9.0600000000000003E-3</v>
      </c>
    </row>
    <row r="316" spans="1:22" s="3" customFormat="1" x14ac:dyDescent="0.3">
      <c r="A316" s="38">
        <v>1708</v>
      </c>
      <c r="B316" s="122" t="str">
        <f t="shared" si="69"/>
        <v>1708-2020</v>
      </c>
      <c r="C316" s="127">
        <v>313</v>
      </c>
      <c r="D316" s="128">
        <f t="shared" si="70"/>
        <v>5.6520000000000001E-2</v>
      </c>
      <c r="E316" s="125">
        <v>61</v>
      </c>
      <c r="F316" s="126">
        <f t="shared" si="57"/>
        <v>0.19489000000000001</v>
      </c>
      <c r="G316" s="124">
        <f t="shared" si="58"/>
        <v>2.495E-2</v>
      </c>
      <c r="H316" s="125">
        <v>75</v>
      </c>
      <c r="I316" s="126">
        <f t="shared" si="59"/>
        <v>0.23962</v>
      </c>
      <c r="J316" s="124">
        <f t="shared" si="60"/>
        <v>2.767E-2</v>
      </c>
      <c r="K316" s="125">
        <v>45</v>
      </c>
      <c r="L316" s="126">
        <f t="shared" si="61"/>
        <v>0.14377000000000001</v>
      </c>
      <c r="M316" s="124">
        <f t="shared" si="62"/>
        <v>2.1430000000000001E-2</v>
      </c>
      <c r="N316" s="125">
        <v>16</v>
      </c>
      <c r="O316" s="126">
        <f t="shared" si="63"/>
        <v>5.1119999999999999E-2</v>
      </c>
      <c r="P316" s="124">
        <f t="shared" si="64"/>
        <v>1.278E-2</v>
      </c>
      <c r="Q316" s="125">
        <v>7</v>
      </c>
      <c r="R316" s="126">
        <f t="shared" si="65"/>
        <v>2.2360000000000001E-2</v>
      </c>
      <c r="S316" s="124">
        <f t="shared" si="66"/>
        <v>8.4499999999999992E-3</v>
      </c>
      <c r="T316" s="125">
        <v>8</v>
      </c>
      <c r="U316" s="126">
        <f t="shared" si="67"/>
        <v>2.5559999999999999E-2</v>
      </c>
      <c r="V316" s="124">
        <f t="shared" si="68"/>
        <v>9.0399999999999994E-3</v>
      </c>
    </row>
    <row r="317" spans="1:22" s="3" customFormat="1" x14ac:dyDescent="0.3">
      <c r="A317" s="38">
        <v>1707</v>
      </c>
      <c r="B317" s="122" t="str">
        <f t="shared" si="69"/>
        <v>1707-2020</v>
      </c>
      <c r="C317" s="123">
        <v>314</v>
      </c>
      <c r="D317" s="124">
        <f t="shared" si="70"/>
        <v>5.6430000000000001E-2</v>
      </c>
      <c r="E317" s="125">
        <v>61</v>
      </c>
      <c r="F317" s="126">
        <f t="shared" si="57"/>
        <v>0.19427</v>
      </c>
      <c r="G317" s="124">
        <f t="shared" si="58"/>
        <v>2.487E-2</v>
      </c>
      <c r="H317" s="125">
        <v>75</v>
      </c>
      <c r="I317" s="126">
        <f t="shared" si="59"/>
        <v>0.23885000000000001</v>
      </c>
      <c r="J317" s="124">
        <f t="shared" si="60"/>
        <v>2.758E-2</v>
      </c>
      <c r="K317" s="125">
        <v>45</v>
      </c>
      <c r="L317" s="126">
        <f t="shared" si="61"/>
        <v>0.14330999999999999</v>
      </c>
      <c r="M317" s="124">
        <f t="shared" si="62"/>
        <v>2.1360000000000001E-2</v>
      </c>
      <c r="N317" s="125">
        <v>16</v>
      </c>
      <c r="O317" s="126">
        <f t="shared" si="63"/>
        <v>5.0959999999999998E-2</v>
      </c>
      <c r="P317" s="124">
        <f t="shared" si="64"/>
        <v>1.274E-2</v>
      </c>
      <c r="Q317" s="125">
        <v>7</v>
      </c>
      <c r="R317" s="126">
        <f t="shared" si="65"/>
        <v>2.2290000000000001E-2</v>
      </c>
      <c r="S317" s="124">
        <f t="shared" si="66"/>
        <v>8.4200000000000004E-3</v>
      </c>
      <c r="T317" s="125">
        <v>8</v>
      </c>
      <c r="U317" s="126">
        <f t="shared" si="67"/>
        <v>2.5479999999999999E-2</v>
      </c>
      <c r="V317" s="124">
        <f t="shared" si="68"/>
        <v>9.0100000000000006E-3</v>
      </c>
    </row>
    <row r="318" spans="1:22" s="3" customFormat="1" x14ac:dyDescent="0.3">
      <c r="A318" s="38">
        <v>1706</v>
      </c>
      <c r="B318" s="122" t="str">
        <f t="shared" si="69"/>
        <v>1706-2020</v>
      </c>
      <c r="C318" s="127">
        <v>315</v>
      </c>
      <c r="D318" s="128">
        <f t="shared" si="70"/>
        <v>5.6340000000000001E-2</v>
      </c>
      <c r="E318" s="125">
        <v>61</v>
      </c>
      <c r="F318" s="126">
        <f t="shared" si="57"/>
        <v>0.19364999999999999</v>
      </c>
      <c r="G318" s="124">
        <f t="shared" si="58"/>
        <v>2.479E-2</v>
      </c>
      <c r="H318" s="125">
        <v>75</v>
      </c>
      <c r="I318" s="126">
        <f t="shared" si="59"/>
        <v>0.23810000000000001</v>
      </c>
      <c r="J318" s="124">
        <f t="shared" si="60"/>
        <v>2.7490000000000001E-2</v>
      </c>
      <c r="K318" s="125">
        <v>45</v>
      </c>
      <c r="L318" s="126">
        <f t="shared" si="61"/>
        <v>0.14285999999999999</v>
      </c>
      <c r="M318" s="124">
        <f t="shared" si="62"/>
        <v>2.129E-2</v>
      </c>
      <c r="N318" s="125">
        <v>16</v>
      </c>
      <c r="O318" s="126">
        <f t="shared" si="63"/>
        <v>5.0790000000000002E-2</v>
      </c>
      <c r="P318" s="124">
        <f t="shared" si="64"/>
        <v>1.2699999999999999E-2</v>
      </c>
      <c r="Q318" s="125">
        <v>7</v>
      </c>
      <c r="R318" s="126">
        <f t="shared" si="65"/>
        <v>2.222E-2</v>
      </c>
      <c r="S318" s="124">
        <f t="shared" si="66"/>
        <v>8.3999999999999995E-3</v>
      </c>
      <c r="T318" s="125">
        <v>8</v>
      </c>
      <c r="U318" s="126">
        <f t="shared" si="67"/>
        <v>2.5399999999999999E-2</v>
      </c>
      <c r="V318" s="124">
        <f t="shared" si="68"/>
        <v>8.9800000000000001E-3</v>
      </c>
    </row>
    <row r="319" spans="1:22" s="3" customFormat="1" x14ac:dyDescent="0.3">
      <c r="A319" s="38">
        <v>1705</v>
      </c>
      <c r="B319" s="122" t="str">
        <f t="shared" si="69"/>
        <v>1705-2020</v>
      </c>
      <c r="C319" s="123">
        <v>316</v>
      </c>
      <c r="D319" s="124">
        <f t="shared" si="70"/>
        <v>5.6250000000000001E-2</v>
      </c>
      <c r="E319" s="125">
        <v>61</v>
      </c>
      <c r="F319" s="126">
        <f t="shared" si="57"/>
        <v>0.19303999999999999</v>
      </c>
      <c r="G319" s="124">
        <f t="shared" si="58"/>
        <v>2.4709999999999999E-2</v>
      </c>
      <c r="H319" s="125">
        <v>75</v>
      </c>
      <c r="I319" s="126">
        <f t="shared" si="59"/>
        <v>0.23734</v>
      </c>
      <c r="J319" s="124">
        <f t="shared" si="60"/>
        <v>2.7400000000000001E-2</v>
      </c>
      <c r="K319" s="125">
        <v>45</v>
      </c>
      <c r="L319" s="126">
        <f t="shared" si="61"/>
        <v>0.14241000000000001</v>
      </c>
      <c r="M319" s="124">
        <f t="shared" si="62"/>
        <v>2.1229999999999999E-2</v>
      </c>
      <c r="N319" s="125">
        <v>16</v>
      </c>
      <c r="O319" s="126">
        <f t="shared" si="63"/>
        <v>5.0630000000000001E-2</v>
      </c>
      <c r="P319" s="124">
        <f t="shared" si="64"/>
        <v>1.2659999999999999E-2</v>
      </c>
      <c r="Q319" s="125">
        <v>7</v>
      </c>
      <c r="R319" s="126">
        <f t="shared" si="65"/>
        <v>2.215E-2</v>
      </c>
      <c r="S319" s="124">
        <f t="shared" si="66"/>
        <v>8.3700000000000007E-3</v>
      </c>
      <c r="T319" s="125">
        <v>9</v>
      </c>
      <c r="U319" s="126">
        <f t="shared" si="67"/>
        <v>2.8479999999999998E-2</v>
      </c>
      <c r="V319" s="124">
        <f t="shared" si="68"/>
        <v>9.4900000000000002E-3</v>
      </c>
    </row>
    <row r="320" spans="1:22" s="3" customFormat="1" x14ac:dyDescent="0.3">
      <c r="A320" s="38">
        <v>1704</v>
      </c>
      <c r="B320" s="122" t="str">
        <f t="shared" si="69"/>
        <v>1704-2020</v>
      </c>
      <c r="C320" s="127">
        <v>317</v>
      </c>
      <c r="D320" s="128">
        <f t="shared" si="70"/>
        <v>5.6169999999999998E-2</v>
      </c>
      <c r="E320" s="125">
        <v>61</v>
      </c>
      <c r="F320" s="126">
        <f t="shared" si="57"/>
        <v>0.19242999999999999</v>
      </c>
      <c r="G320" s="124">
        <f t="shared" si="58"/>
        <v>2.4639999999999999E-2</v>
      </c>
      <c r="H320" s="125">
        <v>75</v>
      </c>
      <c r="I320" s="126">
        <f t="shared" si="59"/>
        <v>0.23658999999999999</v>
      </c>
      <c r="J320" s="124">
        <f t="shared" si="60"/>
        <v>2.7320000000000001E-2</v>
      </c>
      <c r="K320" s="125">
        <v>45</v>
      </c>
      <c r="L320" s="126">
        <f t="shared" si="61"/>
        <v>0.14196</v>
      </c>
      <c r="M320" s="124">
        <f t="shared" si="62"/>
        <v>2.1160000000000002E-2</v>
      </c>
      <c r="N320" s="125">
        <v>16</v>
      </c>
      <c r="O320" s="126">
        <f t="shared" si="63"/>
        <v>5.0470000000000001E-2</v>
      </c>
      <c r="P320" s="124">
        <f t="shared" si="64"/>
        <v>1.2619999999999999E-2</v>
      </c>
      <c r="Q320" s="125">
        <v>7</v>
      </c>
      <c r="R320" s="126">
        <f t="shared" si="65"/>
        <v>2.2079999999999999E-2</v>
      </c>
      <c r="S320" s="124">
        <f t="shared" si="66"/>
        <v>8.3499999999999998E-3</v>
      </c>
      <c r="T320" s="125">
        <v>9</v>
      </c>
      <c r="U320" s="126">
        <f t="shared" si="67"/>
        <v>2.8389999999999999E-2</v>
      </c>
      <c r="V320" s="124">
        <f t="shared" si="68"/>
        <v>9.4599999999999997E-3</v>
      </c>
    </row>
    <row r="321" spans="1:22" s="3" customFormat="1" x14ac:dyDescent="0.3">
      <c r="A321" s="38">
        <v>1703</v>
      </c>
      <c r="B321" s="122" t="str">
        <f t="shared" si="69"/>
        <v>1703-2020</v>
      </c>
      <c r="C321" s="123">
        <v>318</v>
      </c>
      <c r="D321" s="124">
        <f t="shared" si="70"/>
        <v>5.6079999999999998E-2</v>
      </c>
      <c r="E321" s="125">
        <v>61</v>
      </c>
      <c r="F321" s="126">
        <f t="shared" si="57"/>
        <v>0.19181999999999999</v>
      </c>
      <c r="G321" s="124">
        <f t="shared" si="58"/>
        <v>2.4559999999999998E-2</v>
      </c>
      <c r="H321" s="125">
        <v>75</v>
      </c>
      <c r="I321" s="126">
        <f t="shared" si="59"/>
        <v>0.23585</v>
      </c>
      <c r="J321" s="124">
        <f t="shared" si="60"/>
        <v>2.7230000000000001E-2</v>
      </c>
      <c r="K321" s="125">
        <v>45</v>
      </c>
      <c r="L321" s="126">
        <f t="shared" si="61"/>
        <v>0.14151</v>
      </c>
      <c r="M321" s="124">
        <f t="shared" si="62"/>
        <v>2.1100000000000001E-2</v>
      </c>
      <c r="N321" s="125">
        <v>16</v>
      </c>
      <c r="O321" s="126">
        <f t="shared" si="63"/>
        <v>5.0310000000000001E-2</v>
      </c>
      <c r="P321" s="124">
        <f t="shared" si="64"/>
        <v>1.2579999999999999E-2</v>
      </c>
      <c r="Q321" s="125">
        <v>7</v>
      </c>
      <c r="R321" s="126">
        <f t="shared" si="65"/>
        <v>2.2009999999999998E-2</v>
      </c>
      <c r="S321" s="124">
        <f t="shared" si="66"/>
        <v>8.3199999999999993E-3</v>
      </c>
      <c r="T321" s="125">
        <v>9</v>
      </c>
      <c r="U321" s="126">
        <f t="shared" si="67"/>
        <v>2.8299999999999999E-2</v>
      </c>
      <c r="V321" s="124">
        <f t="shared" si="68"/>
        <v>9.4299999999999991E-3</v>
      </c>
    </row>
    <row r="322" spans="1:22" s="3" customFormat="1" x14ac:dyDescent="0.3">
      <c r="A322" s="38">
        <v>1702</v>
      </c>
      <c r="B322" s="122" t="str">
        <f t="shared" si="69"/>
        <v>1702-2020</v>
      </c>
      <c r="C322" s="127">
        <v>319</v>
      </c>
      <c r="D322" s="128">
        <f t="shared" si="70"/>
        <v>5.5989999999999998E-2</v>
      </c>
      <c r="E322" s="125">
        <v>61</v>
      </c>
      <c r="F322" s="126">
        <f t="shared" si="57"/>
        <v>0.19122</v>
      </c>
      <c r="G322" s="124">
        <f t="shared" si="58"/>
        <v>2.4479999999999998E-2</v>
      </c>
      <c r="H322" s="125">
        <v>75</v>
      </c>
      <c r="I322" s="126">
        <f t="shared" si="59"/>
        <v>0.23511000000000001</v>
      </c>
      <c r="J322" s="124">
        <f t="shared" si="60"/>
        <v>2.7150000000000001E-2</v>
      </c>
      <c r="K322" s="125">
        <v>45</v>
      </c>
      <c r="L322" s="126">
        <f t="shared" si="61"/>
        <v>0.14107</v>
      </c>
      <c r="M322" s="124">
        <f t="shared" si="62"/>
        <v>2.103E-2</v>
      </c>
      <c r="N322" s="125">
        <v>16</v>
      </c>
      <c r="O322" s="126">
        <f t="shared" si="63"/>
        <v>5.0160000000000003E-2</v>
      </c>
      <c r="P322" s="124">
        <f t="shared" si="64"/>
        <v>1.2540000000000001E-2</v>
      </c>
      <c r="Q322" s="125">
        <v>7</v>
      </c>
      <c r="R322" s="126">
        <f t="shared" si="65"/>
        <v>2.1940000000000001E-2</v>
      </c>
      <c r="S322" s="124">
        <f t="shared" si="66"/>
        <v>8.2900000000000005E-3</v>
      </c>
      <c r="T322" s="125">
        <v>9</v>
      </c>
      <c r="U322" s="126">
        <f t="shared" si="67"/>
        <v>2.8209999999999999E-2</v>
      </c>
      <c r="V322" s="124">
        <f t="shared" si="68"/>
        <v>9.4000000000000004E-3</v>
      </c>
    </row>
    <row r="323" spans="1:22" s="3" customFormat="1" x14ac:dyDescent="0.3">
      <c r="A323" s="38">
        <v>1701</v>
      </c>
      <c r="B323" s="122" t="str">
        <f t="shared" si="69"/>
        <v>1701-2020</v>
      </c>
      <c r="C323" s="123">
        <v>320</v>
      </c>
      <c r="D323" s="124">
        <f t="shared" si="70"/>
        <v>5.5899999999999998E-2</v>
      </c>
      <c r="E323" s="125">
        <v>61</v>
      </c>
      <c r="F323" s="126">
        <f t="shared" si="57"/>
        <v>0.19062999999999999</v>
      </c>
      <c r="G323" s="124">
        <f t="shared" si="58"/>
        <v>2.4410000000000001E-2</v>
      </c>
      <c r="H323" s="125">
        <v>75</v>
      </c>
      <c r="I323" s="126">
        <f t="shared" si="59"/>
        <v>0.23438000000000001</v>
      </c>
      <c r="J323" s="124">
        <f t="shared" si="60"/>
        <v>2.7060000000000001E-2</v>
      </c>
      <c r="K323" s="125">
        <v>45</v>
      </c>
      <c r="L323" s="126">
        <f t="shared" si="61"/>
        <v>0.14063000000000001</v>
      </c>
      <c r="M323" s="124">
        <f t="shared" si="62"/>
        <v>2.0959999999999999E-2</v>
      </c>
      <c r="N323" s="125">
        <v>16</v>
      </c>
      <c r="O323" s="126">
        <f t="shared" si="63"/>
        <v>0.05</v>
      </c>
      <c r="P323" s="124">
        <f t="shared" si="64"/>
        <v>1.2500000000000001E-2</v>
      </c>
      <c r="Q323" s="125">
        <v>7</v>
      </c>
      <c r="R323" s="126">
        <f t="shared" si="65"/>
        <v>2.188E-2</v>
      </c>
      <c r="S323" s="124">
        <f t="shared" si="66"/>
        <v>8.2699999999999996E-3</v>
      </c>
      <c r="T323" s="125">
        <v>9</v>
      </c>
      <c r="U323" s="126">
        <f t="shared" si="67"/>
        <v>2.8129999999999999E-2</v>
      </c>
      <c r="V323" s="124">
        <f t="shared" si="68"/>
        <v>9.3799999999999994E-3</v>
      </c>
    </row>
    <row r="324" spans="1:22" s="3" customFormat="1" x14ac:dyDescent="0.3">
      <c r="A324" s="38">
        <v>1700</v>
      </c>
      <c r="B324" s="122" t="str">
        <f t="shared" si="69"/>
        <v>1700-2020</v>
      </c>
      <c r="C324" s="127">
        <v>321</v>
      </c>
      <c r="D324" s="128">
        <f t="shared" si="70"/>
        <v>5.5809999999999998E-2</v>
      </c>
      <c r="E324" s="125">
        <v>61</v>
      </c>
      <c r="F324" s="126">
        <f t="shared" si="57"/>
        <v>0.19003</v>
      </c>
      <c r="G324" s="124">
        <f t="shared" si="58"/>
        <v>2.4330000000000001E-2</v>
      </c>
      <c r="H324" s="125">
        <v>75</v>
      </c>
      <c r="I324" s="126">
        <f t="shared" si="59"/>
        <v>0.23363999999999999</v>
      </c>
      <c r="J324" s="124">
        <f t="shared" si="60"/>
        <v>2.6980000000000001E-2</v>
      </c>
      <c r="K324" s="125">
        <v>45</v>
      </c>
      <c r="L324" s="126">
        <f t="shared" si="61"/>
        <v>0.14019000000000001</v>
      </c>
      <c r="M324" s="124">
        <f t="shared" si="62"/>
        <v>2.0899999999999998E-2</v>
      </c>
      <c r="N324" s="125">
        <v>16</v>
      </c>
      <c r="O324" s="126">
        <f t="shared" si="63"/>
        <v>4.9840000000000002E-2</v>
      </c>
      <c r="P324" s="124">
        <f t="shared" si="64"/>
        <v>1.2460000000000001E-2</v>
      </c>
      <c r="Q324" s="125">
        <v>7</v>
      </c>
      <c r="R324" s="126">
        <f t="shared" si="65"/>
        <v>2.181E-2</v>
      </c>
      <c r="S324" s="124">
        <f t="shared" si="66"/>
        <v>8.2400000000000008E-3</v>
      </c>
      <c r="T324" s="125">
        <v>9</v>
      </c>
      <c r="U324" s="126">
        <f t="shared" si="67"/>
        <v>2.8039999999999999E-2</v>
      </c>
      <c r="V324" s="124">
        <f t="shared" si="68"/>
        <v>9.3500000000000007E-3</v>
      </c>
    </row>
    <row r="325" spans="1:22" s="3" customFormat="1" x14ac:dyDescent="0.3">
      <c r="A325" s="38">
        <v>1699</v>
      </c>
      <c r="B325" s="122" t="str">
        <f t="shared" si="69"/>
        <v>1699-2020</v>
      </c>
      <c r="C325" s="123">
        <v>322</v>
      </c>
      <c r="D325" s="124">
        <f t="shared" si="70"/>
        <v>5.5730000000000002E-2</v>
      </c>
      <c r="E325" s="125">
        <v>61</v>
      </c>
      <c r="F325" s="126">
        <f t="shared" ref="F325:F346" si="71">ROUND(E325/$C325,5)</f>
        <v>0.18944</v>
      </c>
      <c r="G325" s="124">
        <f t="shared" ref="G325:G346" si="72">ROUND(SQRT(F325)*$D325,5)</f>
        <v>2.426E-2</v>
      </c>
      <c r="H325" s="125">
        <v>75</v>
      </c>
      <c r="I325" s="126">
        <f t="shared" ref="I325:I346" si="73">ROUND(H325/$C325,5)</f>
        <v>0.23291999999999999</v>
      </c>
      <c r="J325" s="124">
        <f t="shared" ref="J325:J346" si="74">ROUND(SQRT(I325)*$D325,5)</f>
        <v>2.69E-2</v>
      </c>
      <c r="K325" s="125">
        <v>45</v>
      </c>
      <c r="L325" s="126">
        <f t="shared" ref="L325:L346" si="75">ROUND(K325/$C325,5)</f>
        <v>0.13975000000000001</v>
      </c>
      <c r="M325" s="124">
        <f t="shared" ref="M325:M346" si="76">ROUND(SQRT(L325)*$D325,5)</f>
        <v>2.0830000000000001E-2</v>
      </c>
      <c r="N325" s="125">
        <v>16</v>
      </c>
      <c r="O325" s="126">
        <f t="shared" ref="O325:O346" si="77">ROUND(N325/$C325,5)</f>
        <v>4.9689999999999998E-2</v>
      </c>
      <c r="P325" s="124">
        <f t="shared" ref="P325:P346" si="78">ROUND(SQRT(O325)*$D325,5)</f>
        <v>1.242E-2</v>
      </c>
      <c r="Q325" s="125">
        <v>7</v>
      </c>
      <c r="R325" s="126">
        <f t="shared" ref="R325:R346" si="79">ROUND(Q325/$C325,5)</f>
        <v>2.1739999999999999E-2</v>
      </c>
      <c r="S325" s="124">
        <f t="shared" ref="S325:S346" si="80">ROUND(SQRT(R325)*$D325,5)</f>
        <v>8.2199999999999999E-3</v>
      </c>
      <c r="T325" s="125">
        <v>9</v>
      </c>
      <c r="U325" s="126">
        <f t="shared" ref="U325:U346" si="81">ROUND(T325/$C325,5)</f>
        <v>2.7949999999999999E-2</v>
      </c>
      <c r="V325" s="124">
        <f t="shared" ref="V325:V346" si="82">ROUND(SQRT(U325)*$D325,5)</f>
        <v>9.3200000000000002E-3</v>
      </c>
    </row>
    <row r="326" spans="1:22" s="3" customFormat="1" x14ac:dyDescent="0.3">
      <c r="A326" s="38">
        <v>1698</v>
      </c>
      <c r="B326" s="122" t="str">
        <f t="shared" ref="B326:B346" si="83">A326&amp;"-2020"</f>
        <v>1698-2020</v>
      </c>
      <c r="C326" s="127">
        <v>323</v>
      </c>
      <c r="D326" s="128">
        <f t="shared" si="70"/>
        <v>5.5640000000000002E-2</v>
      </c>
      <c r="E326" s="125">
        <v>61</v>
      </c>
      <c r="F326" s="126">
        <f t="shared" si="71"/>
        <v>0.18884999999999999</v>
      </c>
      <c r="G326" s="124">
        <f t="shared" si="72"/>
        <v>2.418E-2</v>
      </c>
      <c r="H326" s="125">
        <v>75</v>
      </c>
      <c r="I326" s="126">
        <f t="shared" si="73"/>
        <v>0.23219999999999999</v>
      </c>
      <c r="J326" s="124">
        <f t="shared" si="74"/>
        <v>2.681E-2</v>
      </c>
      <c r="K326" s="125">
        <v>45</v>
      </c>
      <c r="L326" s="126">
        <f t="shared" si="75"/>
        <v>0.13932</v>
      </c>
      <c r="M326" s="124">
        <f t="shared" si="76"/>
        <v>2.077E-2</v>
      </c>
      <c r="N326" s="125">
        <v>16</v>
      </c>
      <c r="O326" s="126">
        <f t="shared" si="77"/>
        <v>4.9540000000000001E-2</v>
      </c>
      <c r="P326" s="124">
        <f t="shared" si="78"/>
        <v>1.238E-2</v>
      </c>
      <c r="Q326" s="125">
        <v>7</v>
      </c>
      <c r="R326" s="126">
        <f t="shared" si="79"/>
        <v>2.1669999999999998E-2</v>
      </c>
      <c r="S326" s="124">
        <f t="shared" si="80"/>
        <v>8.1899999999999994E-3</v>
      </c>
      <c r="T326" s="125">
        <v>9</v>
      </c>
      <c r="U326" s="126">
        <f t="shared" si="81"/>
        <v>2.7859999999999999E-2</v>
      </c>
      <c r="V326" s="124">
        <f t="shared" si="82"/>
        <v>9.2899999999999996E-3</v>
      </c>
    </row>
    <row r="327" spans="1:22" s="3" customFormat="1" x14ac:dyDescent="0.3">
      <c r="A327" s="38">
        <v>1697</v>
      </c>
      <c r="B327" s="122" t="str">
        <f t="shared" si="83"/>
        <v>1697-2020</v>
      </c>
      <c r="C327" s="123">
        <v>324</v>
      </c>
      <c r="D327" s="124">
        <f t="shared" ref="D327:D346" si="84">ROUND(1/SQRT(C327),5)</f>
        <v>5.5559999999999998E-2</v>
      </c>
      <c r="E327" s="125">
        <v>61</v>
      </c>
      <c r="F327" s="126">
        <f t="shared" si="71"/>
        <v>0.18826999999999999</v>
      </c>
      <c r="G327" s="124">
        <f t="shared" si="72"/>
        <v>2.4109999999999999E-2</v>
      </c>
      <c r="H327" s="125">
        <v>75</v>
      </c>
      <c r="I327" s="126">
        <f t="shared" si="73"/>
        <v>0.23147999999999999</v>
      </c>
      <c r="J327" s="124">
        <f t="shared" si="74"/>
        <v>2.673E-2</v>
      </c>
      <c r="K327" s="125">
        <v>45</v>
      </c>
      <c r="L327" s="126">
        <f t="shared" si="75"/>
        <v>0.13889000000000001</v>
      </c>
      <c r="M327" s="124">
        <f t="shared" si="76"/>
        <v>2.0709999999999999E-2</v>
      </c>
      <c r="N327" s="125">
        <v>16</v>
      </c>
      <c r="O327" s="126">
        <f t="shared" si="77"/>
        <v>4.938E-2</v>
      </c>
      <c r="P327" s="124">
        <f t="shared" si="78"/>
        <v>1.235E-2</v>
      </c>
      <c r="Q327" s="125">
        <v>7</v>
      </c>
      <c r="R327" s="126">
        <f t="shared" si="79"/>
        <v>2.1600000000000001E-2</v>
      </c>
      <c r="S327" s="124">
        <f t="shared" si="80"/>
        <v>8.1700000000000002E-3</v>
      </c>
      <c r="T327" s="125">
        <v>9</v>
      </c>
      <c r="U327" s="126">
        <f t="shared" si="81"/>
        <v>2.7779999999999999E-2</v>
      </c>
      <c r="V327" s="124">
        <f t="shared" si="82"/>
        <v>9.2599999999999991E-3</v>
      </c>
    </row>
    <row r="328" spans="1:22" s="3" customFormat="1" x14ac:dyDescent="0.3">
      <c r="A328" s="38">
        <v>1696</v>
      </c>
      <c r="B328" s="122" t="str">
        <f t="shared" si="83"/>
        <v>1696-2020</v>
      </c>
      <c r="C328" s="127">
        <v>325</v>
      </c>
      <c r="D328" s="128">
        <f t="shared" si="84"/>
        <v>5.5469999999999998E-2</v>
      </c>
      <c r="E328" s="125">
        <v>61</v>
      </c>
      <c r="F328" s="126">
        <f t="shared" si="71"/>
        <v>0.18769</v>
      </c>
      <c r="G328" s="124">
        <f t="shared" si="72"/>
        <v>2.4029999999999999E-2</v>
      </c>
      <c r="H328" s="125">
        <v>75</v>
      </c>
      <c r="I328" s="126">
        <f t="shared" si="73"/>
        <v>0.23077</v>
      </c>
      <c r="J328" s="124">
        <f t="shared" si="74"/>
        <v>2.665E-2</v>
      </c>
      <c r="K328" s="125">
        <v>45</v>
      </c>
      <c r="L328" s="126">
        <f t="shared" si="75"/>
        <v>0.13846</v>
      </c>
      <c r="M328" s="124">
        <f t="shared" si="76"/>
        <v>2.0639999999999999E-2</v>
      </c>
      <c r="N328" s="125">
        <v>16</v>
      </c>
      <c r="O328" s="126">
        <f t="shared" si="77"/>
        <v>4.9230000000000003E-2</v>
      </c>
      <c r="P328" s="124">
        <f t="shared" si="78"/>
        <v>1.231E-2</v>
      </c>
      <c r="Q328" s="125">
        <v>7</v>
      </c>
      <c r="R328" s="126">
        <f t="shared" si="79"/>
        <v>2.154E-2</v>
      </c>
      <c r="S328" s="124">
        <f t="shared" si="80"/>
        <v>8.1399999999999997E-3</v>
      </c>
      <c r="T328" s="125">
        <v>9</v>
      </c>
      <c r="U328" s="126">
        <f t="shared" si="81"/>
        <v>2.7689999999999999E-2</v>
      </c>
      <c r="V328" s="124">
        <f t="shared" si="82"/>
        <v>9.2300000000000004E-3</v>
      </c>
    </row>
    <row r="329" spans="1:22" s="3" customFormat="1" x14ac:dyDescent="0.3">
      <c r="A329" s="38">
        <v>1695</v>
      </c>
      <c r="B329" s="122" t="str">
        <f t="shared" si="83"/>
        <v>1695-2020</v>
      </c>
      <c r="C329" s="123">
        <v>326</v>
      </c>
      <c r="D329" s="124">
        <f t="shared" si="84"/>
        <v>5.5379999999999999E-2</v>
      </c>
      <c r="E329" s="125">
        <v>61</v>
      </c>
      <c r="F329" s="126">
        <f t="shared" si="71"/>
        <v>0.18712000000000001</v>
      </c>
      <c r="G329" s="124">
        <f t="shared" si="72"/>
        <v>2.3959999999999999E-2</v>
      </c>
      <c r="H329" s="125">
        <v>75</v>
      </c>
      <c r="I329" s="126">
        <f t="shared" si="73"/>
        <v>0.23005999999999999</v>
      </c>
      <c r="J329" s="124">
        <f t="shared" si="74"/>
        <v>2.656E-2</v>
      </c>
      <c r="K329" s="125">
        <v>45</v>
      </c>
      <c r="L329" s="126">
        <f t="shared" si="75"/>
        <v>0.13804</v>
      </c>
      <c r="M329" s="124">
        <f t="shared" si="76"/>
        <v>2.0580000000000001E-2</v>
      </c>
      <c r="N329" s="125">
        <v>16</v>
      </c>
      <c r="O329" s="126">
        <f t="shared" si="77"/>
        <v>4.9079999999999999E-2</v>
      </c>
      <c r="P329" s="124">
        <f t="shared" si="78"/>
        <v>1.227E-2</v>
      </c>
      <c r="Q329" s="125">
        <v>7</v>
      </c>
      <c r="R329" s="126">
        <f t="shared" si="79"/>
        <v>2.147E-2</v>
      </c>
      <c r="S329" s="124">
        <f t="shared" si="80"/>
        <v>8.1099999999999992E-3</v>
      </c>
      <c r="T329" s="125">
        <v>9</v>
      </c>
      <c r="U329" s="126">
        <f t="shared" si="81"/>
        <v>2.7609999999999999E-2</v>
      </c>
      <c r="V329" s="124">
        <f t="shared" si="82"/>
        <v>9.1999999999999998E-3</v>
      </c>
    </row>
    <row r="330" spans="1:22" s="3" customFormat="1" x14ac:dyDescent="0.3">
      <c r="A330" s="38">
        <v>1694</v>
      </c>
      <c r="B330" s="122" t="str">
        <f t="shared" si="83"/>
        <v>1694-2020</v>
      </c>
      <c r="C330" s="127">
        <v>327</v>
      </c>
      <c r="D330" s="128">
        <f t="shared" si="84"/>
        <v>5.5300000000000002E-2</v>
      </c>
      <c r="E330" s="125">
        <v>61</v>
      </c>
      <c r="F330" s="126">
        <f t="shared" si="71"/>
        <v>0.18654000000000001</v>
      </c>
      <c r="G330" s="124">
        <f t="shared" si="72"/>
        <v>2.3879999999999998E-2</v>
      </c>
      <c r="H330" s="125">
        <v>75</v>
      </c>
      <c r="I330" s="126">
        <f t="shared" si="73"/>
        <v>0.22936000000000001</v>
      </c>
      <c r="J330" s="124">
        <f t="shared" si="74"/>
        <v>2.648E-2</v>
      </c>
      <c r="K330" s="125">
        <v>45</v>
      </c>
      <c r="L330" s="126">
        <f t="shared" si="75"/>
        <v>0.13761000000000001</v>
      </c>
      <c r="M330" s="124">
        <f t="shared" si="76"/>
        <v>2.051E-2</v>
      </c>
      <c r="N330" s="125">
        <v>16</v>
      </c>
      <c r="O330" s="126">
        <f t="shared" si="77"/>
        <v>4.8930000000000001E-2</v>
      </c>
      <c r="P330" s="124">
        <f t="shared" si="78"/>
        <v>1.223E-2</v>
      </c>
      <c r="Q330" s="125">
        <v>7</v>
      </c>
      <c r="R330" s="126">
        <f t="shared" si="79"/>
        <v>2.1409999999999998E-2</v>
      </c>
      <c r="S330" s="124">
        <f t="shared" si="80"/>
        <v>8.09E-3</v>
      </c>
      <c r="T330" s="125">
        <v>9</v>
      </c>
      <c r="U330" s="126">
        <f t="shared" si="81"/>
        <v>2.7519999999999999E-2</v>
      </c>
      <c r="V330" s="124">
        <f t="shared" si="82"/>
        <v>9.1699999999999993E-3</v>
      </c>
    </row>
    <row r="331" spans="1:22" s="3" customFormat="1" x14ac:dyDescent="0.3">
      <c r="A331" s="38">
        <v>1693</v>
      </c>
      <c r="B331" s="122" t="str">
        <f t="shared" si="83"/>
        <v>1693-2020</v>
      </c>
      <c r="C331" s="123">
        <v>328</v>
      </c>
      <c r="D331" s="124">
        <f t="shared" si="84"/>
        <v>5.5219999999999998E-2</v>
      </c>
      <c r="E331" s="125">
        <v>61</v>
      </c>
      <c r="F331" s="126">
        <f t="shared" si="71"/>
        <v>0.18598000000000001</v>
      </c>
      <c r="G331" s="124">
        <f t="shared" si="72"/>
        <v>2.3810000000000001E-2</v>
      </c>
      <c r="H331" s="125">
        <v>75</v>
      </c>
      <c r="I331" s="126">
        <f t="shared" si="73"/>
        <v>0.22866</v>
      </c>
      <c r="J331" s="124">
        <f t="shared" si="74"/>
        <v>2.6409999999999999E-2</v>
      </c>
      <c r="K331" s="125">
        <v>45</v>
      </c>
      <c r="L331" s="126">
        <f t="shared" si="75"/>
        <v>0.13719999999999999</v>
      </c>
      <c r="M331" s="124">
        <f t="shared" si="76"/>
        <v>2.0449999999999999E-2</v>
      </c>
      <c r="N331" s="125">
        <v>16</v>
      </c>
      <c r="O331" s="126">
        <f t="shared" si="77"/>
        <v>4.8779999999999997E-2</v>
      </c>
      <c r="P331" s="124">
        <f t="shared" si="78"/>
        <v>1.2200000000000001E-2</v>
      </c>
      <c r="Q331" s="125">
        <v>7</v>
      </c>
      <c r="R331" s="126">
        <f t="shared" si="79"/>
        <v>2.1340000000000001E-2</v>
      </c>
      <c r="S331" s="124">
        <f t="shared" si="80"/>
        <v>8.0700000000000008E-3</v>
      </c>
      <c r="T331" s="125">
        <v>9</v>
      </c>
      <c r="U331" s="126">
        <f t="shared" si="81"/>
        <v>2.7439999999999999E-2</v>
      </c>
      <c r="V331" s="124">
        <f t="shared" si="82"/>
        <v>9.1500000000000001E-3</v>
      </c>
    </row>
    <row r="332" spans="1:22" s="3" customFormat="1" x14ac:dyDescent="0.3">
      <c r="A332" s="38">
        <v>1692</v>
      </c>
      <c r="B332" s="122" t="str">
        <f t="shared" si="83"/>
        <v>1692-2020</v>
      </c>
      <c r="C332" s="127">
        <v>329</v>
      </c>
      <c r="D332" s="128">
        <f t="shared" si="84"/>
        <v>5.5129999999999998E-2</v>
      </c>
      <c r="E332" s="125">
        <v>61</v>
      </c>
      <c r="F332" s="126">
        <f t="shared" si="71"/>
        <v>0.18540999999999999</v>
      </c>
      <c r="G332" s="124">
        <f t="shared" si="72"/>
        <v>2.3740000000000001E-2</v>
      </c>
      <c r="H332" s="125">
        <v>75</v>
      </c>
      <c r="I332" s="126">
        <f t="shared" si="73"/>
        <v>0.22796</v>
      </c>
      <c r="J332" s="124">
        <f t="shared" si="74"/>
        <v>2.632E-2</v>
      </c>
      <c r="K332" s="125">
        <v>45</v>
      </c>
      <c r="L332" s="126">
        <f t="shared" si="75"/>
        <v>0.13678000000000001</v>
      </c>
      <c r="M332" s="124">
        <f t="shared" si="76"/>
        <v>2.0389999999999998E-2</v>
      </c>
      <c r="N332" s="125">
        <v>16</v>
      </c>
      <c r="O332" s="126">
        <f t="shared" si="77"/>
        <v>4.863E-2</v>
      </c>
      <c r="P332" s="124">
        <f t="shared" si="78"/>
        <v>1.2160000000000001E-2</v>
      </c>
      <c r="Q332" s="125">
        <v>7</v>
      </c>
      <c r="R332" s="126">
        <f t="shared" si="79"/>
        <v>2.128E-2</v>
      </c>
      <c r="S332" s="124">
        <f t="shared" si="80"/>
        <v>8.0400000000000003E-3</v>
      </c>
      <c r="T332" s="125">
        <v>9</v>
      </c>
      <c r="U332" s="126">
        <f t="shared" si="81"/>
        <v>2.7359999999999999E-2</v>
      </c>
      <c r="V332" s="124">
        <f t="shared" si="82"/>
        <v>9.1199999999999996E-3</v>
      </c>
    </row>
    <row r="333" spans="1:22" s="3" customFormat="1" x14ac:dyDescent="0.3">
      <c r="A333" s="38">
        <v>1691</v>
      </c>
      <c r="B333" s="122" t="str">
        <f t="shared" si="83"/>
        <v>1691-2020</v>
      </c>
      <c r="C333" s="123">
        <v>330</v>
      </c>
      <c r="D333" s="124">
        <f t="shared" si="84"/>
        <v>5.5050000000000002E-2</v>
      </c>
      <c r="E333" s="125">
        <v>61</v>
      </c>
      <c r="F333" s="126">
        <f t="shared" si="71"/>
        <v>0.18484999999999999</v>
      </c>
      <c r="G333" s="124">
        <f t="shared" si="72"/>
        <v>2.367E-2</v>
      </c>
      <c r="H333" s="125">
        <v>75</v>
      </c>
      <c r="I333" s="126">
        <f t="shared" si="73"/>
        <v>0.22727</v>
      </c>
      <c r="J333" s="124">
        <f t="shared" si="74"/>
        <v>2.6239999999999999E-2</v>
      </c>
      <c r="K333" s="125">
        <v>45</v>
      </c>
      <c r="L333" s="126">
        <f t="shared" si="75"/>
        <v>0.13636000000000001</v>
      </c>
      <c r="M333" s="124">
        <f t="shared" si="76"/>
        <v>2.0330000000000001E-2</v>
      </c>
      <c r="N333" s="125">
        <v>16</v>
      </c>
      <c r="O333" s="126">
        <f t="shared" si="77"/>
        <v>4.8480000000000002E-2</v>
      </c>
      <c r="P333" s="124">
        <f t="shared" si="78"/>
        <v>1.2120000000000001E-2</v>
      </c>
      <c r="Q333" s="125">
        <v>7</v>
      </c>
      <c r="R333" s="126">
        <f t="shared" si="79"/>
        <v>2.121E-2</v>
      </c>
      <c r="S333" s="124">
        <f t="shared" si="80"/>
        <v>8.0199999999999994E-3</v>
      </c>
      <c r="T333" s="125">
        <v>9</v>
      </c>
      <c r="U333" s="126">
        <f t="shared" si="81"/>
        <v>2.7269999999999999E-2</v>
      </c>
      <c r="V333" s="124">
        <f t="shared" si="82"/>
        <v>9.0900000000000009E-3</v>
      </c>
    </row>
    <row r="334" spans="1:22" s="3" customFormat="1" x14ac:dyDescent="0.3">
      <c r="A334" s="38">
        <v>1690</v>
      </c>
      <c r="B334" s="122" t="str">
        <f t="shared" si="83"/>
        <v>1690-2020</v>
      </c>
      <c r="C334" s="127">
        <v>331</v>
      </c>
      <c r="D334" s="128">
        <f t="shared" si="84"/>
        <v>5.4960000000000002E-2</v>
      </c>
      <c r="E334" s="125">
        <v>61</v>
      </c>
      <c r="F334" s="126">
        <f t="shared" si="71"/>
        <v>0.18429000000000001</v>
      </c>
      <c r="G334" s="124">
        <f t="shared" si="72"/>
        <v>2.359E-2</v>
      </c>
      <c r="H334" s="125">
        <v>75</v>
      </c>
      <c r="I334" s="126">
        <f t="shared" si="73"/>
        <v>0.22659000000000001</v>
      </c>
      <c r="J334" s="124">
        <f t="shared" si="74"/>
        <v>2.6159999999999999E-2</v>
      </c>
      <c r="K334" s="125">
        <v>45</v>
      </c>
      <c r="L334" s="126">
        <f t="shared" si="75"/>
        <v>0.13594999999999999</v>
      </c>
      <c r="M334" s="124">
        <f t="shared" si="76"/>
        <v>2.026E-2</v>
      </c>
      <c r="N334" s="125">
        <v>16</v>
      </c>
      <c r="O334" s="126">
        <f t="shared" si="77"/>
        <v>4.8340000000000001E-2</v>
      </c>
      <c r="P334" s="124">
        <f t="shared" si="78"/>
        <v>1.208E-2</v>
      </c>
      <c r="Q334" s="125">
        <v>7</v>
      </c>
      <c r="R334" s="126">
        <f t="shared" si="79"/>
        <v>2.1149999999999999E-2</v>
      </c>
      <c r="S334" s="124">
        <f t="shared" si="80"/>
        <v>7.9900000000000006E-3</v>
      </c>
      <c r="T334" s="125">
        <v>9</v>
      </c>
      <c r="U334" s="126">
        <f t="shared" si="81"/>
        <v>2.7189999999999999E-2</v>
      </c>
      <c r="V334" s="124">
        <f t="shared" si="82"/>
        <v>9.0600000000000003E-3</v>
      </c>
    </row>
    <row r="335" spans="1:22" s="3" customFormat="1" x14ac:dyDescent="0.3">
      <c r="A335" s="38">
        <v>1689</v>
      </c>
      <c r="B335" s="122" t="str">
        <f t="shared" si="83"/>
        <v>1689-2020</v>
      </c>
      <c r="C335" s="123">
        <v>332</v>
      </c>
      <c r="D335" s="124">
        <f t="shared" si="84"/>
        <v>5.4879999999999998E-2</v>
      </c>
      <c r="E335" s="125">
        <v>61</v>
      </c>
      <c r="F335" s="126">
        <f t="shared" si="71"/>
        <v>0.18373</v>
      </c>
      <c r="G335" s="124">
        <f t="shared" si="72"/>
        <v>2.3519999999999999E-2</v>
      </c>
      <c r="H335" s="125">
        <v>75</v>
      </c>
      <c r="I335" s="126">
        <f t="shared" si="73"/>
        <v>0.22589999999999999</v>
      </c>
      <c r="J335" s="124">
        <f t="shared" si="74"/>
        <v>2.6079999999999999E-2</v>
      </c>
      <c r="K335" s="125">
        <v>45</v>
      </c>
      <c r="L335" s="126">
        <f t="shared" si="75"/>
        <v>0.13553999999999999</v>
      </c>
      <c r="M335" s="124">
        <f t="shared" si="76"/>
        <v>2.0199999999999999E-2</v>
      </c>
      <c r="N335" s="125">
        <v>16</v>
      </c>
      <c r="O335" s="126">
        <f t="shared" si="77"/>
        <v>4.8189999999999997E-2</v>
      </c>
      <c r="P335" s="124">
        <f t="shared" si="78"/>
        <v>1.205E-2</v>
      </c>
      <c r="Q335" s="125">
        <v>7</v>
      </c>
      <c r="R335" s="126">
        <f t="shared" si="79"/>
        <v>2.1080000000000002E-2</v>
      </c>
      <c r="S335" s="124">
        <f t="shared" si="80"/>
        <v>7.9699999999999997E-3</v>
      </c>
      <c r="T335" s="125">
        <v>9</v>
      </c>
      <c r="U335" s="126">
        <f t="shared" si="81"/>
        <v>2.7109999999999999E-2</v>
      </c>
      <c r="V335" s="124">
        <f t="shared" si="82"/>
        <v>9.0399999999999994E-3</v>
      </c>
    </row>
    <row r="336" spans="1:22" s="3" customFormat="1" x14ac:dyDescent="0.3">
      <c r="A336" s="38">
        <v>1688</v>
      </c>
      <c r="B336" s="122" t="str">
        <f t="shared" si="83"/>
        <v>1688-2020</v>
      </c>
      <c r="C336" s="127">
        <v>333</v>
      </c>
      <c r="D336" s="128">
        <f t="shared" si="84"/>
        <v>5.4800000000000001E-2</v>
      </c>
      <c r="E336" s="125">
        <v>61</v>
      </c>
      <c r="F336" s="126">
        <f t="shared" si="71"/>
        <v>0.18318000000000001</v>
      </c>
      <c r="G336" s="124">
        <f t="shared" si="72"/>
        <v>2.3449999999999999E-2</v>
      </c>
      <c r="H336" s="125">
        <v>75</v>
      </c>
      <c r="I336" s="126">
        <f t="shared" si="73"/>
        <v>0.22523000000000001</v>
      </c>
      <c r="J336" s="124">
        <f t="shared" si="74"/>
        <v>2.6009999999999998E-2</v>
      </c>
      <c r="K336" s="125">
        <v>45</v>
      </c>
      <c r="L336" s="126">
        <f t="shared" si="75"/>
        <v>0.13514000000000001</v>
      </c>
      <c r="M336" s="124">
        <f t="shared" si="76"/>
        <v>2.0150000000000001E-2</v>
      </c>
      <c r="N336" s="125">
        <v>16</v>
      </c>
      <c r="O336" s="126">
        <f t="shared" si="77"/>
        <v>4.8050000000000002E-2</v>
      </c>
      <c r="P336" s="124">
        <f t="shared" si="78"/>
        <v>1.201E-2</v>
      </c>
      <c r="Q336" s="125">
        <v>7</v>
      </c>
      <c r="R336" s="126">
        <f t="shared" si="79"/>
        <v>2.102E-2</v>
      </c>
      <c r="S336" s="124">
        <f t="shared" si="80"/>
        <v>7.9500000000000005E-3</v>
      </c>
      <c r="T336" s="125">
        <v>9</v>
      </c>
      <c r="U336" s="126">
        <f t="shared" si="81"/>
        <v>2.7029999999999998E-2</v>
      </c>
      <c r="V336" s="124">
        <f t="shared" si="82"/>
        <v>9.0100000000000006E-3</v>
      </c>
    </row>
    <row r="337" spans="1:22" s="3" customFormat="1" x14ac:dyDescent="0.3">
      <c r="A337" s="38">
        <v>1687</v>
      </c>
      <c r="B337" s="122" t="str">
        <f t="shared" si="83"/>
        <v>1687-2020</v>
      </c>
      <c r="C337" s="123">
        <v>334</v>
      </c>
      <c r="D337" s="124">
        <f t="shared" si="84"/>
        <v>5.4719999999999998E-2</v>
      </c>
      <c r="E337" s="125">
        <v>61</v>
      </c>
      <c r="F337" s="126">
        <f t="shared" si="71"/>
        <v>0.18262999999999999</v>
      </c>
      <c r="G337" s="124">
        <f t="shared" si="72"/>
        <v>2.3380000000000001E-2</v>
      </c>
      <c r="H337" s="125">
        <v>75</v>
      </c>
      <c r="I337" s="126">
        <f t="shared" si="73"/>
        <v>0.22455</v>
      </c>
      <c r="J337" s="124">
        <f t="shared" si="74"/>
        <v>2.5930000000000002E-2</v>
      </c>
      <c r="K337" s="125">
        <v>45</v>
      </c>
      <c r="L337" s="126">
        <f t="shared" si="75"/>
        <v>0.13472999999999999</v>
      </c>
      <c r="M337" s="124">
        <f t="shared" si="76"/>
        <v>2.009E-2</v>
      </c>
      <c r="N337" s="125">
        <v>16</v>
      </c>
      <c r="O337" s="126">
        <f t="shared" si="77"/>
        <v>4.7899999999999998E-2</v>
      </c>
      <c r="P337" s="124">
        <f t="shared" si="78"/>
        <v>1.1979999999999999E-2</v>
      </c>
      <c r="Q337" s="125">
        <v>7</v>
      </c>
      <c r="R337" s="126">
        <f t="shared" si="79"/>
        <v>2.0959999999999999E-2</v>
      </c>
      <c r="S337" s="124">
        <f t="shared" si="80"/>
        <v>7.92E-3</v>
      </c>
      <c r="T337" s="125">
        <v>9</v>
      </c>
      <c r="U337" s="126">
        <f t="shared" si="81"/>
        <v>2.6950000000000002E-2</v>
      </c>
      <c r="V337" s="124">
        <f t="shared" si="82"/>
        <v>8.9800000000000001E-3</v>
      </c>
    </row>
    <row r="338" spans="1:22" s="3" customFormat="1" x14ac:dyDescent="0.3">
      <c r="A338" s="38">
        <v>1686</v>
      </c>
      <c r="B338" s="122" t="str">
        <f t="shared" si="83"/>
        <v>1686-2020</v>
      </c>
      <c r="C338" s="127">
        <v>335</v>
      </c>
      <c r="D338" s="128">
        <f t="shared" si="84"/>
        <v>5.4640000000000001E-2</v>
      </c>
      <c r="E338" s="125">
        <v>61</v>
      </c>
      <c r="F338" s="126">
        <f t="shared" si="71"/>
        <v>0.18209</v>
      </c>
      <c r="G338" s="124">
        <f t="shared" si="72"/>
        <v>2.332E-2</v>
      </c>
      <c r="H338" s="125">
        <v>75</v>
      </c>
      <c r="I338" s="126">
        <f t="shared" si="73"/>
        <v>0.22388</v>
      </c>
      <c r="J338" s="124">
        <f t="shared" si="74"/>
        <v>2.5850000000000001E-2</v>
      </c>
      <c r="K338" s="125">
        <v>45</v>
      </c>
      <c r="L338" s="126">
        <f t="shared" si="75"/>
        <v>0.13433</v>
      </c>
      <c r="M338" s="124">
        <f t="shared" si="76"/>
        <v>2.0029999999999999E-2</v>
      </c>
      <c r="N338" s="125">
        <v>16</v>
      </c>
      <c r="O338" s="126">
        <f t="shared" si="77"/>
        <v>4.7759999999999997E-2</v>
      </c>
      <c r="P338" s="124">
        <f t="shared" si="78"/>
        <v>1.1939999999999999E-2</v>
      </c>
      <c r="Q338" s="125">
        <v>7</v>
      </c>
      <c r="R338" s="126">
        <f t="shared" si="79"/>
        <v>2.0899999999999998E-2</v>
      </c>
      <c r="S338" s="124">
        <f t="shared" si="80"/>
        <v>7.9000000000000008E-3</v>
      </c>
      <c r="T338" s="125">
        <v>9</v>
      </c>
      <c r="U338" s="126">
        <f t="shared" si="81"/>
        <v>2.6870000000000002E-2</v>
      </c>
      <c r="V338" s="124">
        <f t="shared" si="82"/>
        <v>8.9599999999999992E-3</v>
      </c>
    </row>
    <row r="339" spans="1:22" s="3" customFormat="1" x14ac:dyDescent="0.3">
      <c r="A339" s="38">
        <v>1685</v>
      </c>
      <c r="B339" s="122" t="str">
        <f t="shared" si="83"/>
        <v>1685-2020</v>
      </c>
      <c r="C339" s="123">
        <v>336</v>
      </c>
      <c r="D339" s="124">
        <f t="shared" si="84"/>
        <v>5.4550000000000001E-2</v>
      </c>
      <c r="E339" s="125">
        <v>61</v>
      </c>
      <c r="F339" s="126">
        <f t="shared" si="71"/>
        <v>0.18154999999999999</v>
      </c>
      <c r="G339" s="124">
        <f t="shared" si="72"/>
        <v>2.324E-2</v>
      </c>
      <c r="H339" s="125">
        <v>75</v>
      </c>
      <c r="I339" s="126">
        <f t="shared" si="73"/>
        <v>0.22320999999999999</v>
      </c>
      <c r="J339" s="124">
        <f t="shared" si="74"/>
        <v>2.5770000000000001E-2</v>
      </c>
      <c r="K339" s="125">
        <v>45</v>
      </c>
      <c r="L339" s="126">
        <f t="shared" si="75"/>
        <v>0.13392999999999999</v>
      </c>
      <c r="M339" s="124">
        <f t="shared" si="76"/>
        <v>1.9959999999999999E-2</v>
      </c>
      <c r="N339" s="125">
        <v>16</v>
      </c>
      <c r="O339" s="126">
        <f t="shared" si="77"/>
        <v>4.7620000000000003E-2</v>
      </c>
      <c r="P339" s="124">
        <f t="shared" si="78"/>
        <v>1.1900000000000001E-2</v>
      </c>
      <c r="Q339" s="125">
        <v>7</v>
      </c>
      <c r="R339" s="126">
        <f t="shared" si="79"/>
        <v>2.0830000000000001E-2</v>
      </c>
      <c r="S339" s="124">
        <f t="shared" si="80"/>
        <v>7.8700000000000003E-3</v>
      </c>
      <c r="T339" s="125">
        <v>9</v>
      </c>
      <c r="U339" s="126">
        <f t="shared" si="81"/>
        <v>2.6790000000000001E-2</v>
      </c>
      <c r="V339" s="124">
        <f t="shared" si="82"/>
        <v>8.9300000000000004E-3</v>
      </c>
    </row>
    <row r="340" spans="1:22" s="3" customFormat="1" x14ac:dyDescent="0.3">
      <c r="A340" s="38">
        <v>1684</v>
      </c>
      <c r="B340" s="122" t="str">
        <f t="shared" si="83"/>
        <v>1684-2020</v>
      </c>
      <c r="C340" s="127">
        <v>337</v>
      </c>
      <c r="D340" s="128">
        <f t="shared" si="84"/>
        <v>5.4469999999999998E-2</v>
      </c>
      <c r="E340" s="125">
        <v>61</v>
      </c>
      <c r="F340" s="126">
        <f t="shared" si="71"/>
        <v>0.18101</v>
      </c>
      <c r="G340" s="124">
        <f t="shared" si="72"/>
        <v>2.317E-2</v>
      </c>
      <c r="H340" s="125">
        <v>75</v>
      </c>
      <c r="I340" s="126">
        <f t="shared" si="73"/>
        <v>0.22255</v>
      </c>
      <c r="J340" s="124">
        <f t="shared" si="74"/>
        <v>2.5700000000000001E-2</v>
      </c>
      <c r="K340" s="125">
        <v>45</v>
      </c>
      <c r="L340" s="126">
        <f t="shared" si="75"/>
        <v>0.13353000000000001</v>
      </c>
      <c r="M340" s="124">
        <f t="shared" si="76"/>
        <v>1.9900000000000001E-2</v>
      </c>
      <c r="N340" s="125">
        <v>16</v>
      </c>
      <c r="O340" s="126">
        <f t="shared" si="77"/>
        <v>4.7480000000000001E-2</v>
      </c>
      <c r="P340" s="124">
        <f t="shared" si="78"/>
        <v>1.187E-2</v>
      </c>
      <c r="Q340" s="125">
        <v>7</v>
      </c>
      <c r="R340" s="126">
        <f t="shared" si="79"/>
        <v>2.077E-2</v>
      </c>
      <c r="S340" s="124">
        <f t="shared" si="80"/>
        <v>7.8499999999999993E-3</v>
      </c>
      <c r="T340" s="125">
        <v>9</v>
      </c>
      <c r="U340" s="126">
        <f t="shared" si="81"/>
        <v>2.6710000000000001E-2</v>
      </c>
      <c r="V340" s="124">
        <f t="shared" si="82"/>
        <v>8.8999999999999999E-3</v>
      </c>
    </row>
    <row r="341" spans="1:22" s="3" customFormat="1" x14ac:dyDescent="0.3">
      <c r="A341" s="38">
        <v>1683</v>
      </c>
      <c r="B341" s="122" t="str">
        <f t="shared" si="83"/>
        <v>1683-2020</v>
      </c>
      <c r="C341" s="123">
        <v>338</v>
      </c>
      <c r="D341" s="124">
        <f t="shared" si="84"/>
        <v>5.4390000000000001E-2</v>
      </c>
      <c r="E341" s="125">
        <v>61</v>
      </c>
      <c r="F341" s="126">
        <f t="shared" si="71"/>
        <v>0.18046999999999999</v>
      </c>
      <c r="G341" s="124">
        <f t="shared" si="72"/>
        <v>2.3109999999999999E-2</v>
      </c>
      <c r="H341" s="125">
        <v>75</v>
      </c>
      <c r="I341" s="126">
        <f t="shared" si="73"/>
        <v>0.22189</v>
      </c>
      <c r="J341" s="124">
        <f t="shared" si="74"/>
        <v>2.562E-2</v>
      </c>
      <c r="K341" s="125">
        <v>45</v>
      </c>
      <c r="L341" s="126">
        <f t="shared" si="75"/>
        <v>0.13314000000000001</v>
      </c>
      <c r="M341" s="124">
        <f t="shared" si="76"/>
        <v>1.985E-2</v>
      </c>
      <c r="N341" s="125">
        <v>16</v>
      </c>
      <c r="O341" s="126">
        <f t="shared" si="77"/>
        <v>4.734E-2</v>
      </c>
      <c r="P341" s="124">
        <f t="shared" si="78"/>
        <v>1.183E-2</v>
      </c>
      <c r="Q341" s="125">
        <v>7</v>
      </c>
      <c r="R341" s="126">
        <f t="shared" si="79"/>
        <v>2.0709999999999999E-2</v>
      </c>
      <c r="S341" s="124">
        <f t="shared" si="80"/>
        <v>7.8300000000000002E-3</v>
      </c>
      <c r="T341" s="125">
        <v>9</v>
      </c>
      <c r="U341" s="126">
        <f t="shared" si="81"/>
        <v>2.6630000000000001E-2</v>
      </c>
      <c r="V341" s="124">
        <f t="shared" si="82"/>
        <v>8.8800000000000007E-3</v>
      </c>
    </row>
    <row r="342" spans="1:22" s="3" customFormat="1" x14ac:dyDescent="0.3">
      <c r="A342" s="38">
        <v>1682</v>
      </c>
      <c r="B342" s="122" t="str">
        <f t="shared" si="83"/>
        <v>1682-2020</v>
      </c>
      <c r="C342" s="127">
        <v>339</v>
      </c>
      <c r="D342" s="128">
        <f t="shared" si="84"/>
        <v>5.4309999999999997E-2</v>
      </c>
      <c r="E342" s="125">
        <v>61</v>
      </c>
      <c r="F342" s="126">
        <f t="shared" si="71"/>
        <v>0.17993999999999999</v>
      </c>
      <c r="G342" s="124">
        <f t="shared" si="72"/>
        <v>2.3040000000000001E-2</v>
      </c>
      <c r="H342" s="125">
        <v>75</v>
      </c>
      <c r="I342" s="126">
        <f t="shared" si="73"/>
        <v>0.22123999999999999</v>
      </c>
      <c r="J342" s="124">
        <f t="shared" si="74"/>
        <v>2.555E-2</v>
      </c>
      <c r="K342" s="125">
        <v>45</v>
      </c>
      <c r="L342" s="126">
        <f t="shared" si="75"/>
        <v>0.13274</v>
      </c>
      <c r="M342" s="124">
        <f t="shared" si="76"/>
        <v>1.9789999999999999E-2</v>
      </c>
      <c r="N342" s="125">
        <v>16</v>
      </c>
      <c r="O342" s="126">
        <f t="shared" si="77"/>
        <v>4.7199999999999999E-2</v>
      </c>
      <c r="P342" s="124">
        <f t="shared" si="78"/>
        <v>1.18E-2</v>
      </c>
      <c r="Q342" s="125">
        <v>7</v>
      </c>
      <c r="R342" s="126">
        <f t="shared" si="79"/>
        <v>2.0650000000000002E-2</v>
      </c>
      <c r="S342" s="124">
        <f t="shared" si="80"/>
        <v>7.7999999999999996E-3</v>
      </c>
      <c r="T342" s="125">
        <v>9</v>
      </c>
      <c r="U342" s="126">
        <f t="shared" si="81"/>
        <v>2.6550000000000001E-2</v>
      </c>
      <c r="V342" s="124">
        <f t="shared" si="82"/>
        <v>8.8500000000000002E-3</v>
      </c>
    </row>
    <row r="343" spans="1:22" s="3" customFormat="1" x14ac:dyDescent="0.3">
      <c r="A343" s="38">
        <v>1681</v>
      </c>
      <c r="B343" s="122" t="str">
        <f t="shared" si="83"/>
        <v>1681-2020</v>
      </c>
      <c r="C343" s="123">
        <v>340</v>
      </c>
      <c r="D343" s="124">
        <f t="shared" si="84"/>
        <v>5.423E-2</v>
      </c>
      <c r="E343" s="125">
        <v>61</v>
      </c>
      <c r="F343" s="126">
        <f t="shared" si="71"/>
        <v>0.17940999999999999</v>
      </c>
      <c r="G343" s="124">
        <f t="shared" si="72"/>
        <v>2.2970000000000001E-2</v>
      </c>
      <c r="H343" s="125">
        <v>75</v>
      </c>
      <c r="I343" s="126">
        <f t="shared" si="73"/>
        <v>0.22059000000000001</v>
      </c>
      <c r="J343" s="124">
        <f t="shared" si="74"/>
        <v>2.547E-2</v>
      </c>
      <c r="K343" s="125">
        <v>45</v>
      </c>
      <c r="L343" s="126">
        <f t="shared" si="75"/>
        <v>0.13235</v>
      </c>
      <c r="M343" s="124">
        <f t="shared" si="76"/>
        <v>1.9730000000000001E-2</v>
      </c>
      <c r="N343" s="125">
        <v>16</v>
      </c>
      <c r="O343" s="126">
        <f t="shared" si="77"/>
        <v>4.7059999999999998E-2</v>
      </c>
      <c r="P343" s="124">
        <f t="shared" si="78"/>
        <v>1.176E-2</v>
      </c>
      <c r="Q343" s="125">
        <v>7</v>
      </c>
      <c r="R343" s="126">
        <f t="shared" si="79"/>
        <v>2.0590000000000001E-2</v>
      </c>
      <c r="S343" s="124">
        <f t="shared" si="80"/>
        <v>7.7799999999999996E-3</v>
      </c>
      <c r="T343" s="125">
        <v>9</v>
      </c>
      <c r="U343" s="126">
        <f t="shared" si="81"/>
        <v>2.647E-2</v>
      </c>
      <c r="V343" s="124">
        <f t="shared" si="82"/>
        <v>8.8199999999999997E-3</v>
      </c>
    </row>
    <row r="344" spans="1:22" s="3" customFormat="1" x14ac:dyDescent="0.3">
      <c r="A344" s="38">
        <v>1680</v>
      </c>
      <c r="B344" s="122" t="str">
        <f t="shared" si="83"/>
        <v>1680-2020</v>
      </c>
      <c r="C344" s="127">
        <v>341</v>
      </c>
      <c r="D344" s="128">
        <f t="shared" si="84"/>
        <v>5.4149999999999997E-2</v>
      </c>
      <c r="E344" s="125">
        <v>61</v>
      </c>
      <c r="F344" s="126">
        <f t="shared" si="71"/>
        <v>0.17888999999999999</v>
      </c>
      <c r="G344" s="124">
        <f t="shared" si="72"/>
        <v>2.29E-2</v>
      </c>
      <c r="H344" s="125">
        <v>75</v>
      </c>
      <c r="I344" s="126">
        <f t="shared" si="73"/>
        <v>0.21994</v>
      </c>
      <c r="J344" s="124">
        <f t="shared" si="74"/>
        <v>2.5399999999999999E-2</v>
      </c>
      <c r="K344" s="125">
        <v>45</v>
      </c>
      <c r="L344" s="126">
        <f t="shared" si="75"/>
        <v>0.13195999999999999</v>
      </c>
      <c r="M344" s="124">
        <f t="shared" si="76"/>
        <v>1.967E-2</v>
      </c>
      <c r="N344" s="125">
        <v>16</v>
      </c>
      <c r="O344" s="126">
        <f t="shared" si="77"/>
        <v>4.6920000000000003E-2</v>
      </c>
      <c r="P344" s="124">
        <f t="shared" si="78"/>
        <v>1.1730000000000001E-2</v>
      </c>
      <c r="Q344" s="125">
        <v>7</v>
      </c>
      <c r="R344" s="126">
        <f t="shared" si="79"/>
        <v>2.053E-2</v>
      </c>
      <c r="S344" s="124">
        <f t="shared" si="80"/>
        <v>7.7600000000000004E-3</v>
      </c>
      <c r="T344" s="125">
        <v>9</v>
      </c>
      <c r="U344" s="126">
        <f t="shared" si="81"/>
        <v>2.639E-2</v>
      </c>
      <c r="V344" s="124">
        <f t="shared" si="82"/>
        <v>8.8000000000000005E-3</v>
      </c>
    </row>
    <row r="345" spans="1:22" s="3" customFormat="1" x14ac:dyDescent="0.3">
      <c r="A345" s="38">
        <v>1679</v>
      </c>
      <c r="B345" s="122" t="str">
        <f t="shared" si="83"/>
        <v>1679-2020</v>
      </c>
      <c r="C345" s="123">
        <v>342</v>
      </c>
      <c r="D345" s="124">
        <f t="shared" si="84"/>
        <v>5.407E-2</v>
      </c>
      <c r="E345" s="125">
        <v>61</v>
      </c>
      <c r="F345" s="126">
        <f t="shared" si="71"/>
        <v>0.17835999999999999</v>
      </c>
      <c r="G345" s="124">
        <f t="shared" si="72"/>
        <v>2.2839999999999999E-2</v>
      </c>
      <c r="H345" s="125">
        <v>75</v>
      </c>
      <c r="I345" s="126">
        <f t="shared" si="73"/>
        <v>0.21929999999999999</v>
      </c>
      <c r="J345" s="124">
        <f t="shared" si="74"/>
        <v>2.5319999999999999E-2</v>
      </c>
      <c r="K345" s="125">
        <v>45</v>
      </c>
      <c r="L345" s="126">
        <f t="shared" si="75"/>
        <v>0.13158</v>
      </c>
      <c r="M345" s="124">
        <f t="shared" si="76"/>
        <v>1.9609999999999999E-2</v>
      </c>
      <c r="N345" s="125">
        <v>16</v>
      </c>
      <c r="O345" s="126">
        <f t="shared" si="77"/>
        <v>4.6780000000000002E-2</v>
      </c>
      <c r="P345" s="124">
        <f t="shared" si="78"/>
        <v>1.1690000000000001E-2</v>
      </c>
      <c r="Q345" s="125">
        <v>7</v>
      </c>
      <c r="R345" s="126">
        <f t="shared" si="79"/>
        <v>2.0469999999999999E-2</v>
      </c>
      <c r="S345" s="124">
        <f t="shared" si="80"/>
        <v>7.7400000000000004E-3</v>
      </c>
      <c r="T345" s="125">
        <v>9</v>
      </c>
      <c r="U345" s="126">
        <f t="shared" si="81"/>
        <v>2.632E-2</v>
      </c>
      <c r="V345" s="124">
        <f t="shared" si="82"/>
        <v>8.77E-3</v>
      </c>
    </row>
    <row r="346" spans="1:22" s="3" customFormat="1" ht="15" thickBot="1" x14ac:dyDescent="0.35">
      <c r="A346" s="38">
        <v>1678</v>
      </c>
      <c r="B346" s="122" t="str">
        <f t="shared" si="83"/>
        <v>1678-2020</v>
      </c>
      <c r="C346" s="129">
        <v>343</v>
      </c>
      <c r="D346" s="130">
        <f t="shared" si="84"/>
        <v>5.3990000000000003E-2</v>
      </c>
      <c r="E346" s="131">
        <v>61</v>
      </c>
      <c r="F346" s="132">
        <f t="shared" si="71"/>
        <v>0.17784</v>
      </c>
      <c r="G346" s="133">
        <f t="shared" si="72"/>
        <v>2.2769999999999999E-2</v>
      </c>
      <c r="H346" s="131">
        <v>75</v>
      </c>
      <c r="I346" s="132">
        <f t="shared" si="73"/>
        <v>0.21865999999999999</v>
      </c>
      <c r="J346" s="133">
        <f t="shared" si="74"/>
        <v>2.5250000000000002E-2</v>
      </c>
      <c r="K346" s="131">
        <v>45</v>
      </c>
      <c r="L346" s="132">
        <f t="shared" si="75"/>
        <v>0.13120000000000001</v>
      </c>
      <c r="M346" s="133">
        <f t="shared" si="76"/>
        <v>1.9560000000000001E-2</v>
      </c>
      <c r="N346" s="131">
        <v>17</v>
      </c>
      <c r="O346" s="132">
        <f t="shared" si="77"/>
        <v>4.956E-2</v>
      </c>
      <c r="P346" s="133">
        <f t="shared" si="78"/>
        <v>1.2019999999999999E-2</v>
      </c>
      <c r="Q346" s="131">
        <v>7</v>
      </c>
      <c r="R346" s="132">
        <f t="shared" si="79"/>
        <v>2.0410000000000001E-2</v>
      </c>
      <c r="S346" s="133">
        <f t="shared" si="80"/>
        <v>7.7099999999999998E-3</v>
      </c>
      <c r="T346" s="131">
        <v>9</v>
      </c>
      <c r="U346" s="132">
        <f t="shared" si="81"/>
        <v>2.6239999999999999E-2</v>
      </c>
      <c r="V346" s="133">
        <f t="shared" si="82"/>
        <v>8.7500000000000008E-3</v>
      </c>
    </row>
  </sheetData>
  <mergeCells count="9">
    <mergeCell ref="Q2:S2"/>
    <mergeCell ref="T2:V2"/>
    <mergeCell ref="H2:J2"/>
    <mergeCell ref="K2:M2"/>
    <mergeCell ref="B2:B3"/>
    <mergeCell ref="C2:C3"/>
    <mergeCell ref="D2:D3"/>
    <mergeCell ref="E2:G2"/>
    <mergeCell ref="N2:P2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15"/>
  <sheetViews>
    <sheetView tabSelected="1" workbookViewId="0">
      <selection activeCell="G2" sqref="G2"/>
    </sheetView>
  </sheetViews>
  <sheetFormatPr defaultRowHeight="14.4" x14ac:dyDescent="0.3"/>
  <sheetData>
    <row r="1" spans="1:13" x14ac:dyDescent="0.3">
      <c r="A1" s="1" t="s">
        <v>30</v>
      </c>
      <c r="B1" s="1" t="s">
        <v>61</v>
      </c>
      <c r="C1" s="1" t="s">
        <v>62</v>
      </c>
      <c r="D1" s="1" t="s">
        <v>31</v>
      </c>
      <c r="E1" s="1" t="s">
        <v>63</v>
      </c>
      <c r="F1" s="1" t="s">
        <v>64</v>
      </c>
      <c r="G1" s="1" t="s">
        <v>1</v>
      </c>
      <c r="H1" s="1" t="s">
        <v>5</v>
      </c>
      <c r="I1" s="1" t="s">
        <v>0</v>
      </c>
      <c r="J1" s="1" t="s">
        <v>65</v>
      </c>
      <c r="K1" s="1" t="s">
        <v>66</v>
      </c>
      <c r="L1" s="1" t="s">
        <v>67</v>
      </c>
      <c r="M1" s="1" t="s">
        <v>135</v>
      </c>
    </row>
    <row r="2" spans="1:13" x14ac:dyDescent="0.3">
      <c r="A2" s="17">
        <v>156</v>
      </c>
      <c r="B2" s="15">
        <v>71.73</v>
      </c>
      <c r="C2" s="15">
        <v>26.43</v>
      </c>
      <c r="D2" s="16">
        <v>2008</v>
      </c>
      <c r="E2" s="16">
        <v>10</v>
      </c>
      <c r="F2" s="16">
        <v>29</v>
      </c>
      <c r="G2" s="2">
        <v>6.8</v>
      </c>
      <c r="H2" s="3" t="s">
        <v>26</v>
      </c>
      <c r="I2" s="16">
        <v>0</v>
      </c>
      <c r="J2" s="16">
        <v>11</v>
      </c>
      <c r="K2" s="16">
        <v>32</v>
      </c>
      <c r="L2" s="11">
        <v>1</v>
      </c>
      <c r="M2" s="63">
        <v>7</v>
      </c>
    </row>
    <row r="3" spans="1:13" x14ac:dyDescent="0.3">
      <c r="A3" s="17">
        <v>34</v>
      </c>
      <c r="B3" s="15">
        <v>71.8</v>
      </c>
      <c r="C3" s="15">
        <v>26.99</v>
      </c>
      <c r="D3" s="16">
        <v>1974</v>
      </c>
      <c r="E3" s="16">
        <v>5</v>
      </c>
      <c r="F3" s="16">
        <v>18</v>
      </c>
      <c r="G3" s="2">
        <v>4.8</v>
      </c>
      <c r="H3" s="3" t="s">
        <v>26</v>
      </c>
      <c r="I3" s="16">
        <v>0</v>
      </c>
      <c r="J3" s="16">
        <v>2</v>
      </c>
      <c r="K3" s="16">
        <v>34</v>
      </c>
      <c r="L3" s="11">
        <v>2</v>
      </c>
      <c r="M3" s="63">
        <v>7</v>
      </c>
    </row>
    <row r="4" spans="1:13" x14ac:dyDescent="0.3">
      <c r="A4" s="17">
        <v>66</v>
      </c>
      <c r="B4" s="15">
        <v>71.8</v>
      </c>
      <c r="C4" s="15">
        <v>27.1</v>
      </c>
      <c r="D4" s="16">
        <v>1998</v>
      </c>
      <c r="E4" s="16">
        <v>5</v>
      </c>
      <c r="F4" s="16">
        <v>11</v>
      </c>
      <c r="G4" s="2">
        <v>5.2</v>
      </c>
      <c r="H4" s="3" t="s">
        <v>26</v>
      </c>
      <c r="I4" s="16">
        <v>0</v>
      </c>
      <c r="J4" s="16">
        <v>10</v>
      </c>
      <c r="K4" s="16">
        <v>13</v>
      </c>
      <c r="L4" s="11">
        <v>2</v>
      </c>
      <c r="M4" s="63">
        <v>7</v>
      </c>
    </row>
    <row r="5" spans="1:13" x14ac:dyDescent="0.3">
      <c r="A5" s="17">
        <v>103</v>
      </c>
      <c r="B5" s="4">
        <v>71.81</v>
      </c>
      <c r="C5" s="4">
        <v>24.18</v>
      </c>
      <c r="D5" s="63">
        <v>2001</v>
      </c>
      <c r="E5" s="63">
        <v>3</v>
      </c>
      <c r="F5" s="63">
        <v>15</v>
      </c>
      <c r="G5" s="2">
        <v>3.9314</v>
      </c>
      <c r="H5" s="3" t="s">
        <v>26</v>
      </c>
      <c r="I5" s="63">
        <v>15</v>
      </c>
      <c r="J5" s="63">
        <v>8</v>
      </c>
      <c r="K5" s="63">
        <v>33</v>
      </c>
      <c r="L5" s="3" t="s">
        <v>27</v>
      </c>
      <c r="M5" s="63">
        <v>7</v>
      </c>
    </row>
    <row r="6" spans="1:13" x14ac:dyDescent="0.3">
      <c r="A6" s="17">
        <v>24</v>
      </c>
      <c r="B6" s="15">
        <v>73</v>
      </c>
      <c r="C6" s="15">
        <v>25</v>
      </c>
      <c r="D6" s="16">
        <v>1906</v>
      </c>
      <c r="E6" s="16">
        <v>8</v>
      </c>
      <c r="F6" s="16">
        <v>15</v>
      </c>
      <c r="G6" s="2">
        <v>5</v>
      </c>
      <c r="H6" s="3" t="s">
        <v>26</v>
      </c>
      <c r="I6" s="16">
        <v>0</v>
      </c>
      <c r="J6" s="16">
        <v>0</v>
      </c>
      <c r="K6" s="16">
        <v>0</v>
      </c>
      <c r="L6" s="11">
        <v>2</v>
      </c>
      <c r="M6" s="63">
        <v>8</v>
      </c>
    </row>
    <row r="7" spans="1:13" x14ac:dyDescent="0.3">
      <c r="A7" s="17">
        <v>62</v>
      </c>
      <c r="B7" s="4">
        <v>73.599999999999994</v>
      </c>
      <c r="C7" s="4">
        <v>25</v>
      </c>
      <c r="D7" s="63">
        <v>1997</v>
      </c>
      <c r="E7" s="63">
        <v>7</v>
      </c>
      <c r="F7" s="63">
        <v>29</v>
      </c>
      <c r="G7" s="2">
        <v>4.5999999999999996</v>
      </c>
      <c r="H7" s="3" t="s">
        <v>26</v>
      </c>
      <c r="I7" s="63">
        <v>33</v>
      </c>
      <c r="J7" s="63">
        <v>15</v>
      </c>
      <c r="K7" s="63">
        <v>13</v>
      </c>
      <c r="L7" s="3" t="s">
        <v>27</v>
      </c>
      <c r="M7" s="63">
        <v>8</v>
      </c>
    </row>
    <row r="8" spans="1:13" x14ac:dyDescent="0.3">
      <c r="A8" s="17">
        <v>142</v>
      </c>
      <c r="B8" s="4">
        <v>73.680000000000007</v>
      </c>
      <c r="C8" s="4">
        <v>25.12</v>
      </c>
      <c r="D8" s="63">
        <v>2005</v>
      </c>
      <c r="E8" s="63">
        <v>11</v>
      </c>
      <c r="F8" s="63">
        <v>29</v>
      </c>
      <c r="G8" s="2">
        <v>3.8618000000000001</v>
      </c>
      <c r="H8" s="3" t="s">
        <v>26</v>
      </c>
      <c r="I8" s="63">
        <v>3</v>
      </c>
      <c r="J8" s="63">
        <v>1</v>
      </c>
      <c r="K8" s="63">
        <v>57</v>
      </c>
      <c r="L8" s="3" t="s">
        <v>27</v>
      </c>
      <c r="M8" s="63">
        <v>8</v>
      </c>
    </row>
    <row r="9" spans="1:13" x14ac:dyDescent="0.3">
      <c r="A9" s="17">
        <v>112</v>
      </c>
      <c r="B9" s="4">
        <v>72.459999999999994</v>
      </c>
      <c r="C9" s="4">
        <v>25.19</v>
      </c>
      <c r="D9" s="63">
        <v>2002</v>
      </c>
      <c r="E9" s="63">
        <v>3</v>
      </c>
      <c r="F9" s="63">
        <v>14</v>
      </c>
      <c r="G9" s="2">
        <v>4.3490000000000002</v>
      </c>
      <c r="H9" s="3" t="s">
        <v>26</v>
      </c>
      <c r="I9" s="63">
        <v>15</v>
      </c>
      <c r="J9" s="63">
        <v>1</v>
      </c>
      <c r="K9" s="63">
        <v>6</v>
      </c>
      <c r="L9" s="3" t="s">
        <v>27</v>
      </c>
      <c r="M9" s="63">
        <v>8</v>
      </c>
    </row>
    <row r="10" spans="1:13" x14ac:dyDescent="0.3">
      <c r="A10" s="17">
        <v>16</v>
      </c>
      <c r="B10" s="15">
        <v>73.2</v>
      </c>
      <c r="C10" s="15">
        <v>25.2</v>
      </c>
      <c r="D10" s="16">
        <v>1849</v>
      </c>
      <c r="E10" s="16">
        <v>6</v>
      </c>
      <c r="F10" s="16">
        <v>2</v>
      </c>
      <c r="G10" s="2">
        <v>4.7</v>
      </c>
      <c r="H10" s="3" t="s">
        <v>26</v>
      </c>
      <c r="I10" s="16">
        <v>0</v>
      </c>
      <c r="J10" s="16">
        <v>0</v>
      </c>
      <c r="K10" s="16">
        <v>0</v>
      </c>
      <c r="L10" s="11">
        <v>11</v>
      </c>
      <c r="M10" s="63">
        <v>8</v>
      </c>
    </row>
    <row r="11" spans="1:13" x14ac:dyDescent="0.3">
      <c r="A11" s="17">
        <v>15</v>
      </c>
      <c r="B11" s="15">
        <v>73.2</v>
      </c>
      <c r="C11" s="15">
        <v>25.2</v>
      </c>
      <c r="D11" s="16">
        <v>1849</v>
      </c>
      <c r="E11" s="16">
        <v>1</v>
      </c>
      <c r="F11" s="16">
        <v>2</v>
      </c>
      <c r="G11" s="2">
        <v>4.0999999999999996</v>
      </c>
      <c r="H11" s="3" t="s">
        <v>26</v>
      </c>
      <c r="I11" s="16">
        <v>0</v>
      </c>
      <c r="J11" s="16">
        <v>0</v>
      </c>
      <c r="K11" s="16">
        <v>0</v>
      </c>
      <c r="L11" s="11">
        <v>18</v>
      </c>
      <c r="M11" s="63">
        <v>8</v>
      </c>
    </row>
    <row r="12" spans="1:13" x14ac:dyDescent="0.3">
      <c r="A12" s="17">
        <v>165</v>
      </c>
      <c r="B12" s="4">
        <v>73.649000000000001</v>
      </c>
      <c r="C12" s="4">
        <v>25.23</v>
      </c>
      <c r="D12" s="63">
        <v>2010</v>
      </c>
      <c r="E12" s="63">
        <v>11</v>
      </c>
      <c r="F12" s="63">
        <v>9</v>
      </c>
      <c r="G12" s="2">
        <v>5.1114800000000002</v>
      </c>
      <c r="H12" s="3" t="s">
        <v>26</v>
      </c>
      <c r="I12" s="63">
        <v>13.5</v>
      </c>
      <c r="J12" s="63">
        <v>22</v>
      </c>
      <c r="K12" s="63">
        <v>46</v>
      </c>
      <c r="L12" s="3" t="s">
        <v>25</v>
      </c>
      <c r="M12" s="63">
        <v>8</v>
      </c>
    </row>
    <row r="13" spans="1:13" x14ac:dyDescent="0.3">
      <c r="A13" s="17">
        <v>127</v>
      </c>
      <c r="B13" s="4">
        <v>72.66</v>
      </c>
      <c r="C13" s="4">
        <v>25.3</v>
      </c>
      <c r="D13" s="63">
        <v>2004</v>
      </c>
      <c r="E13" s="63">
        <v>2</v>
      </c>
      <c r="F13" s="63">
        <v>19</v>
      </c>
      <c r="G13" s="2">
        <v>4.6273999999999997</v>
      </c>
      <c r="H13" s="3" t="s">
        <v>26</v>
      </c>
      <c r="I13" s="63">
        <v>7</v>
      </c>
      <c r="J13" s="63">
        <v>8</v>
      </c>
      <c r="K13" s="63">
        <v>10</v>
      </c>
      <c r="L13" s="3" t="s">
        <v>27</v>
      </c>
      <c r="M13" s="63">
        <v>8</v>
      </c>
    </row>
    <row r="14" spans="1:13" x14ac:dyDescent="0.3">
      <c r="A14" s="17">
        <v>139</v>
      </c>
      <c r="B14" s="4">
        <v>73.55</v>
      </c>
      <c r="C14" s="4">
        <v>25.3</v>
      </c>
      <c r="D14" s="63">
        <v>2005</v>
      </c>
      <c r="E14" s="63">
        <v>6</v>
      </c>
      <c r="F14" s="63">
        <v>1</v>
      </c>
      <c r="G14" s="2">
        <v>4.4185999999999996</v>
      </c>
      <c r="H14" s="3" t="s">
        <v>26</v>
      </c>
      <c r="I14" s="63">
        <v>10</v>
      </c>
      <c r="J14" s="63">
        <v>16</v>
      </c>
      <c r="K14" s="63">
        <v>58</v>
      </c>
      <c r="L14" s="3" t="s">
        <v>27</v>
      </c>
      <c r="M14" s="63">
        <v>8</v>
      </c>
    </row>
    <row r="15" spans="1:13" x14ac:dyDescent="0.3">
      <c r="A15" s="17">
        <v>190</v>
      </c>
      <c r="B15" s="4">
        <v>74.239999999999995</v>
      </c>
      <c r="C15" s="4">
        <v>25.73</v>
      </c>
      <c r="D15" s="63">
        <v>2016</v>
      </c>
      <c r="E15" s="63">
        <v>12</v>
      </c>
      <c r="F15" s="63">
        <v>26</v>
      </c>
      <c r="G15" s="2">
        <v>4.0705999999999998</v>
      </c>
      <c r="H15" s="3" t="s">
        <v>26</v>
      </c>
      <c r="I15" s="63">
        <v>10</v>
      </c>
      <c r="J15" s="63">
        <v>21</v>
      </c>
      <c r="K15" s="63">
        <v>47</v>
      </c>
      <c r="L15" s="3" t="s">
        <v>27</v>
      </c>
      <c r="M15" s="63">
        <v>8</v>
      </c>
    </row>
    <row r="16" spans="1:13" x14ac:dyDescent="0.3">
      <c r="A16" s="17">
        <v>155</v>
      </c>
      <c r="B16" s="4">
        <v>74.23</v>
      </c>
      <c r="C16" s="4">
        <v>25.76</v>
      </c>
      <c r="D16" s="63">
        <v>2008</v>
      </c>
      <c r="E16" s="63">
        <v>7</v>
      </c>
      <c r="F16" s="63">
        <v>5</v>
      </c>
      <c r="G16" s="2">
        <v>4.2793999999999999</v>
      </c>
      <c r="H16" s="3" t="s">
        <v>26</v>
      </c>
      <c r="I16" s="63">
        <v>9</v>
      </c>
      <c r="J16" s="63">
        <v>17</v>
      </c>
      <c r="K16" s="63">
        <v>29</v>
      </c>
      <c r="L16" s="3" t="s">
        <v>27</v>
      </c>
      <c r="M16" s="63">
        <v>8</v>
      </c>
    </row>
    <row r="17" spans="1:13" x14ac:dyDescent="0.3">
      <c r="A17" s="17">
        <v>154</v>
      </c>
      <c r="B17" s="4">
        <v>73.63</v>
      </c>
      <c r="C17" s="4">
        <v>25.8</v>
      </c>
      <c r="D17" s="63">
        <v>2008</v>
      </c>
      <c r="E17" s="63">
        <v>6</v>
      </c>
      <c r="F17" s="63">
        <v>27</v>
      </c>
      <c r="G17" s="2">
        <v>4.3490000000000002</v>
      </c>
      <c r="H17" s="3" t="s">
        <v>26</v>
      </c>
      <c r="I17" s="63">
        <v>12</v>
      </c>
      <c r="J17" s="63">
        <v>13</v>
      </c>
      <c r="K17" s="63">
        <v>23</v>
      </c>
      <c r="L17" s="3" t="s">
        <v>27</v>
      </c>
      <c r="M17" s="63">
        <v>8</v>
      </c>
    </row>
    <row r="18" spans="1:13" x14ac:dyDescent="0.3">
      <c r="A18" s="17">
        <v>186</v>
      </c>
      <c r="B18" s="4">
        <v>73.209999999999994</v>
      </c>
      <c r="C18" s="4">
        <v>25.81</v>
      </c>
      <c r="D18" s="63">
        <v>2016</v>
      </c>
      <c r="E18" s="63">
        <v>3</v>
      </c>
      <c r="F18" s="63">
        <v>18</v>
      </c>
      <c r="G18" s="2">
        <v>4.2793999999999999</v>
      </c>
      <c r="H18" s="3" t="s">
        <v>26</v>
      </c>
      <c r="I18" s="63">
        <v>7</v>
      </c>
      <c r="J18" s="63">
        <v>9</v>
      </c>
      <c r="K18" s="63">
        <v>7</v>
      </c>
      <c r="L18" s="3" t="s">
        <v>27</v>
      </c>
      <c r="M18" s="63">
        <v>8</v>
      </c>
    </row>
    <row r="19" spans="1:13" x14ac:dyDescent="0.3">
      <c r="A19" s="17">
        <v>193</v>
      </c>
      <c r="B19" s="4">
        <v>73.86</v>
      </c>
      <c r="C19" s="4">
        <v>26.29</v>
      </c>
      <c r="D19" s="63">
        <v>2017</v>
      </c>
      <c r="E19" s="63">
        <v>11</v>
      </c>
      <c r="F19" s="63">
        <v>18</v>
      </c>
      <c r="G19" s="2">
        <v>4.4882</v>
      </c>
      <c r="H19" s="3" t="s">
        <v>26</v>
      </c>
      <c r="I19" s="63">
        <v>12</v>
      </c>
      <c r="J19" s="63">
        <v>15</v>
      </c>
      <c r="K19" s="63">
        <v>21</v>
      </c>
      <c r="L19" s="3" t="s">
        <v>27</v>
      </c>
      <c r="M19" s="63">
        <v>8</v>
      </c>
    </row>
    <row r="20" spans="1:13" x14ac:dyDescent="0.3">
      <c r="A20" s="17">
        <v>162</v>
      </c>
      <c r="B20" s="4">
        <v>74.34</v>
      </c>
      <c r="C20" s="4">
        <v>26.43</v>
      </c>
      <c r="D20" s="63">
        <v>2010</v>
      </c>
      <c r="E20" s="63">
        <v>8</v>
      </c>
      <c r="F20" s="63">
        <v>15</v>
      </c>
      <c r="G20" s="2">
        <v>4.5578000000000003</v>
      </c>
      <c r="H20" s="3" t="s">
        <v>26</v>
      </c>
      <c r="I20" s="63">
        <v>10</v>
      </c>
      <c r="J20" s="63">
        <v>11</v>
      </c>
      <c r="K20" s="63">
        <v>38</v>
      </c>
      <c r="L20" s="3" t="s">
        <v>27</v>
      </c>
      <c r="M20" s="63">
        <v>8</v>
      </c>
    </row>
    <row r="21" spans="1:13" x14ac:dyDescent="0.3">
      <c r="A21" s="17">
        <v>146</v>
      </c>
      <c r="B21" s="4">
        <v>73.980599999999995</v>
      </c>
      <c r="C21" s="4">
        <v>26.745000000000001</v>
      </c>
      <c r="D21" s="63">
        <v>2006</v>
      </c>
      <c r="E21" s="63">
        <v>7</v>
      </c>
      <c r="F21" s="63">
        <v>19</v>
      </c>
      <c r="G21" s="2">
        <v>4.6426999999999996</v>
      </c>
      <c r="H21" s="3" t="s">
        <v>26</v>
      </c>
      <c r="I21" s="63">
        <v>0</v>
      </c>
      <c r="J21" s="63">
        <v>16</v>
      </c>
      <c r="K21" s="63">
        <v>41</v>
      </c>
      <c r="L21" s="3" t="s">
        <v>22</v>
      </c>
      <c r="M21" s="63">
        <v>8</v>
      </c>
    </row>
    <row r="22" spans="1:13" x14ac:dyDescent="0.3">
      <c r="A22" s="17">
        <v>55</v>
      </c>
      <c r="B22" s="15">
        <v>72.62</v>
      </c>
      <c r="C22" s="15">
        <v>26.82</v>
      </c>
      <c r="D22" s="16">
        <v>1996</v>
      </c>
      <c r="E22" s="16">
        <v>2</v>
      </c>
      <c r="F22" s="16">
        <v>27</v>
      </c>
      <c r="G22" s="2">
        <v>4.3</v>
      </c>
      <c r="H22" s="3" t="s">
        <v>26</v>
      </c>
      <c r="I22" s="16">
        <v>0</v>
      </c>
      <c r="J22" s="16">
        <v>9</v>
      </c>
      <c r="K22" s="16">
        <v>4</v>
      </c>
      <c r="L22" s="11">
        <v>1</v>
      </c>
      <c r="M22" s="63">
        <v>8</v>
      </c>
    </row>
    <row r="23" spans="1:13" x14ac:dyDescent="0.3">
      <c r="A23" s="17">
        <v>27</v>
      </c>
      <c r="B23" s="4">
        <v>77.5</v>
      </c>
      <c r="C23" s="4">
        <v>25</v>
      </c>
      <c r="D23" s="63">
        <v>1929</v>
      </c>
      <c r="E23" s="63">
        <v>4</v>
      </c>
      <c r="F23" s="63">
        <v>11</v>
      </c>
      <c r="G23" s="2">
        <v>5.5</v>
      </c>
      <c r="H23" s="3" t="s">
        <v>26</v>
      </c>
      <c r="I23" s="63">
        <v>0</v>
      </c>
      <c r="J23" s="63">
        <v>5</v>
      </c>
      <c r="K23" s="63">
        <v>23</v>
      </c>
      <c r="L23" s="3" t="s">
        <v>27</v>
      </c>
      <c r="M23" s="63">
        <v>9</v>
      </c>
    </row>
    <row r="24" spans="1:13" x14ac:dyDescent="0.3">
      <c r="A24" s="17">
        <v>26</v>
      </c>
      <c r="B24" s="15">
        <v>77.5</v>
      </c>
      <c r="C24" s="15">
        <v>25</v>
      </c>
      <c r="D24" s="16">
        <v>1926</v>
      </c>
      <c r="E24" s="16">
        <v>12</v>
      </c>
      <c r="F24" s="16">
        <v>31</v>
      </c>
      <c r="G24" s="2">
        <v>5.5</v>
      </c>
      <c r="H24" s="3" t="s">
        <v>26</v>
      </c>
      <c r="I24" s="16">
        <v>0</v>
      </c>
      <c r="J24" s="16">
        <v>16</v>
      </c>
      <c r="K24" s="16">
        <v>53</v>
      </c>
      <c r="L24" s="11">
        <v>2</v>
      </c>
      <c r="M24" s="63">
        <v>9</v>
      </c>
    </row>
    <row r="25" spans="1:13" x14ac:dyDescent="0.3">
      <c r="A25" s="17">
        <v>171</v>
      </c>
      <c r="B25" s="4">
        <v>76.599999999999994</v>
      </c>
      <c r="C25" s="4">
        <v>26.19</v>
      </c>
      <c r="D25" s="63">
        <v>2013</v>
      </c>
      <c r="E25" s="63">
        <v>2</v>
      </c>
      <c r="F25" s="63">
        <v>24</v>
      </c>
      <c r="G25" s="2">
        <v>4.6273999999999997</v>
      </c>
      <c r="H25" s="3" t="s">
        <v>26</v>
      </c>
      <c r="I25" s="63">
        <v>10</v>
      </c>
      <c r="J25" s="63">
        <v>6</v>
      </c>
      <c r="K25" s="63">
        <v>27</v>
      </c>
      <c r="L25" s="3" t="s">
        <v>27</v>
      </c>
      <c r="M25" s="63">
        <v>9</v>
      </c>
    </row>
    <row r="26" spans="1:13" x14ac:dyDescent="0.3">
      <c r="A26" s="17">
        <v>81</v>
      </c>
      <c r="B26" s="4">
        <v>76.45</v>
      </c>
      <c r="C26" s="4">
        <v>26.4</v>
      </c>
      <c r="D26" s="63">
        <v>1999</v>
      </c>
      <c r="E26" s="63">
        <v>7</v>
      </c>
      <c r="F26" s="63">
        <v>3</v>
      </c>
      <c r="G26" s="2">
        <v>4.2097999999999995</v>
      </c>
      <c r="H26" s="3" t="s">
        <v>26</v>
      </c>
      <c r="I26" s="63">
        <v>10</v>
      </c>
      <c r="J26" s="63">
        <v>21</v>
      </c>
      <c r="K26" s="63">
        <v>29</v>
      </c>
      <c r="L26" s="3" t="s">
        <v>27</v>
      </c>
      <c r="M26" s="63">
        <v>9</v>
      </c>
    </row>
    <row r="27" spans="1:13" x14ac:dyDescent="0.3">
      <c r="A27" s="17">
        <v>57</v>
      </c>
      <c r="B27" s="4">
        <v>77.2</v>
      </c>
      <c r="C27" s="4">
        <v>26.5</v>
      </c>
      <c r="D27" s="63">
        <v>1996</v>
      </c>
      <c r="E27" s="63">
        <v>7</v>
      </c>
      <c r="F27" s="63">
        <v>29</v>
      </c>
      <c r="G27" s="2">
        <v>3.5</v>
      </c>
      <c r="H27" s="3" t="s">
        <v>26</v>
      </c>
      <c r="I27" s="63">
        <v>0</v>
      </c>
      <c r="J27" s="63">
        <v>2</v>
      </c>
      <c r="K27" s="63">
        <v>24</v>
      </c>
      <c r="L27" s="3" t="s">
        <v>27</v>
      </c>
      <c r="M27" s="63">
        <v>9</v>
      </c>
    </row>
    <row r="28" spans="1:13" x14ac:dyDescent="0.3">
      <c r="A28" s="17">
        <v>40</v>
      </c>
      <c r="B28" s="4">
        <v>77.165999999999997</v>
      </c>
      <c r="C28" s="4">
        <v>26.532800000000002</v>
      </c>
      <c r="D28" s="63">
        <v>1986</v>
      </c>
      <c r="E28" s="63">
        <v>11</v>
      </c>
      <c r="F28" s="63">
        <v>2</v>
      </c>
      <c r="G28" s="2">
        <v>4.6273999999999997</v>
      </c>
      <c r="H28" s="3" t="s">
        <v>26</v>
      </c>
      <c r="I28" s="63">
        <v>10</v>
      </c>
      <c r="J28" s="63">
        <v>6</v>
      </c>
      <c r="K28" s="63">
        <v>16</v>
      </c>
      <c r="L28" s="3" t="s">
        <v>12</v>
      </c>
      <c r="M28" s="63">
        <v>9</v>
      </c>
    </row>
    <row r="29" spans="1:13" x14ac:dyDescent="0.3">
      <c r="A29" s="17">
        <v>175</v>
      </c>
      <c r="B29" s="4">
        <v>75.52</v>
      </c>
      <c r="C29" s="4">
        <v>26.62</v>
      </c>
      <c r="D29" s="63">
        <v>2013</v>
      </c>
      <c r="E29" s="63">
        <v>9</v>
      </c>
      <c r="F29" s="63">
        <v>5</v>
      </c>
      <c r="G29" s="2">
        <v>3.9314</v>
      </c>
      <c r="H29" s="3" t="s">
        <v>26</v>
      </c>
      <c r="I29" s="63">
        <v>11</v>
      </c>
      <c r="J29" s="63">
        <v>16</v>
      </c>
      <c r="K29" s="63">
        <v>59</v>
      </c>
      <c r="L29" s="3" t="s">
        <v>27</v>
      </c>
      <c r="M29" s="63">
        <v>9</v>
      </c>
    </row>
    <row r="30" spans="1:13" x14ac:dyDescent="0.3">
      <c r="A30" s="17">
        <v>148</v>
      </c>
      <c r="B30" s="4">
        <v>76.153999999999996</v>
      </c>
      <c r="C30" s="4">
        <v>26.881</v>
      </c>
      <c r="D30" s="63">
        <v>2006</v>
      </c>
      <c r="E30" s="63">
        <v>12</v>
      </c>
      <c r="F30" s="63">
        <v>24</v>
      </c>
      <c r="G30" s="2">
        <v>4.7989600000000001</v>
      </c>
      <c r="H30" s="3" t="s">
        <v>26</v>
      </c>
      <c r="I30" s="63">
        <v>10</v>
      </c>
      <c r="J30" s="63">
        <v>22</v>
      </c>
      <c r="K30" s="63">
        <v>43</v>
      </c>
      <c r="L30" s="3" t="s">
        <v>25</v>
      </c>
      <c r="M30" s="63">
        <v>9</v>
      </c>
    </row>
    <row r="31" spans="1:13" x14ac:dyDescent="0.3">
      <c r="A31" s="17">
        <v>187</v>
      </c>
      <c r="B31" s="4">
        <v>75.25</v>
      </c>
      <c r="C31" s="4">
        <v>26.94</v>
      </c>
      <c r="D31" s="63">
        <v>2016</v>
      </c>
      <c r="E31" s="63">
        <v>4</v>
      </c>
      <c r="F31" s="63">
        <v>8</v>
      </c>
      <c r="G31" s="2">
        <v>4.1402000000000001</v>
      </c>
      <c r="H31" s="3" t="s">
        <v>26</v>
      </c>
      <c r="I31" s="63">
        <v>10</v>
      </c>
      <c r="J31" s="63">
        <v>1</v>
      </c>
      <c r="K31" s="63">
        <v>33</v>
      </c>
      <c r="L31" s="3" t="s">
        <v>27</v>
      </c>
      <c r="M31" s="63">
        <v>9</v>
      </c>
    </row>
    <row r="32" spans="1:13" x14ac:dyDescent="0.3">
      <c r="A32" s="17">
        <v>184</v>
      </c>
      <c r="B32" s="4">
        <v>75.400000000000006</v>
      </c>
      <c r="C32" s="4">
        <v>27.12</v>
      </c>
      <c r="D32" s="63">
        <v>2016</v>
      </c>
      <c r="E32" s="63">
        <v>1</v>
      </c>
      <c r="F32" s="63">
        <v>29</v>
      </c>
      <c r="G32" s="2">
        <v>4.3490000000000002</v>
      </c>
      <c r="H32" s="3" t="s">
        <v>26</v>
      </c>
      <c r="I32" s="63">
        <v>10</v>
      </c>
      <c r="J32" s="63">
        <v>4</v>
      </c>
      <c r="K32" s="63">
        <v>17</v>
      </c>
      <c r="L32" s="3" t="s">
        <v>27</v>
      </c>
      <c r="M32" s="63">
        <v>9</v>
      </c>
    </row>
    <row r="33" spans="1:13" x14ac:dyDescent="0.3">
      <c r="A33" s="17">
        <v>138</v>
      </c>
      <c r="B33" s="4">
        <v>75.403000000000006</v>
      </c>
      <c r="C33" s="4">
        <v>27.148</v>
      </c>
      <c r="D33" s="63">
        <v>2005</v>
      </c>
      <c r="E33" s="63">
        <v>4</v>
      </c>
      <c r="F33" s="63">
        <v>24</v>
      </c>
      <c r="G33" s="2">
        <v>4.0705999999999998</v>
      </c>
      <c r="H33" s="3" t="s">
        <v>26</v>
      </c>
      <c r="I33" s="63">
        <v>3.8</v>
      </c>
      <c r="J33" s="63">
        <v>14</v>
      </c>
      <c r="K33" s="63">
        <v>12</v>
      </c>
      <c r="L33" s="3" t="s">
        <v>12</v>
      </c>
      <c r="M33" s="63">
        <v>9</v>
      </c>
    </row>
    <row r="34" spans="1:13" x14ac:dyDescent="0.3">
      <c r="A34" s="17">
        <v>7</v>
      </c>
      <c r="B34" s="15">
        <v>80.3</v>
      </c>
      <c r="C34" s="15">
        <v>25.5</v>
      </c>
      <c r="D34" s="16">
        <v>1808</v>
      </c>
      <c r="E34" s="16">
        <v>6</v>
      </c>
      <c r="F34" s="16">
        <v>4</v>
      </c>
      <c r="G34" s="2">
        <v>4.3</v>
      </c>
      <c r="H34" s="3" t="s">
        <v>26</v>
      </c>
      <c r="I34" s="16">
        <v>0</v>
      </c>
      <c r="J34" s="16">
        <v>0</v>
      </c>
      <c r="K34" s="16">
        <v>0</v>
      </c>
      <c r="L34" s="11">
        <v>15</v>
      </c>
      <c r="M34" s="63">
        <v>10</v>
      </c>
    </row>
    <row r="35" spans="1:13" x14ac:dyDescent="0.3">
      <c r="A35" s="17">
        <v>95</v>
      </c>
      <c r="B35" s="4">
        <v>79.2</v>
      </c>
      <c r="C35" s="4">
        <v>25.69</v>
      </c>
      <c r="D35" s="63">
        <v>2000</v>
      </c>
      <c r="E35" s="63">
        <v>10</v>
      </c>
      <c r="F35" s="63">
        <v>7</v>
      </c>
      <c r="G35" s="2">
        <v>4.1402000000000001</v>
      </c>
      <c r="H35" s="3" t="s">
        <v>26</v>
      </c>
      <c r="I35" s="63">
        <v>33</v>
      </c>
      <c r="J35" s="63">
        <v>21</v>
      </c>
      <c r="K35" s="63">
        <v>2</v>
      </c>
      <c r="L35" s="3" t="s">
        <v>27</v>
      </c>
      <c r="M35" s="63">
        <v>10</v>
      </c>
    </row>
    <row r="36" spans="1:13" x14ac:dyDescent="0.3">
      <c r="A36" s="17">
        <v>50</v>
      </c>
      <c r="B36" s="4">
        <v>78.566000000000003</v>
      </c>
      <c r="C36" s="4">
        <v>25.850999999999999</v>
      </c>
      <c r="D36" s="63">
        <v>1994</v>
      </c>
      <c r="E36" s="63">
        <v>8</v>
      </c>
      <c r="F36" s="63">
        <v>31</v>
      </c>
      <c r="G36" s="2">
        <v>5.1896100000000001</v>
      </c>
      <c r="H36" s="3" t="s">
        <v>26</v>
      </c>
      <c r="I36" s="63">
        <v>33</v>
      </c>
      <c r="J36" s="63">
        <v>23</v>
      </c>
      <c r="K36" s="63">
        <v>29</v>
      </c>
      <c r="L36" s="3" t="s">
        <v>25</v>
      </c>
      <c r="M36" s="63">
        <v>10</v>
      </c>
    </row>
    <row r="37" spans="1:13" x14ac:dyDescent="0.3">
      <c r="A37" s="17">
        <v>134</v>
      </c>
      <c r="B37" s="15">
        <v>79.38</v>
      </c>
      <c r="C37" s="15">
        <v>26.36</v>
      </c>
      <c r="D37" s="16">
        <v>2005</v>
      </c>
      <c r="E37" s="16">
        <v>1</v>
      </c>
      <c r="F37" s="16">
        <v>14</v>
      </c>
      <c r="G37" s="2">
        <v>4.2</v>
      </c>
      <c r="H37" s="3" t="s">
        <v>26</v>
      </c>
      <c r="I37" s="16">
        <v>33</v>
      </c>
      <c r="J37" s="16">
        <v>5</v>
      </c>
      <c r="K37" s="16">
        <v>16</v>
      </c>
      <c r="L37" s="11">
        <v>2</v>
      </c>
      <c r="M37" s="63">
        <v>10</v>
      </c>
    </row>
    <row r="38" spans="1:13" x14ac:dyDescent="0.3">
      <c r="A38" s="17">
        <v>98</v>
      </c>
      <c r="B38" s="15">
        <v>80.22</v>
      </c>
      <c r="C38" s="15">
        <v>26.71</v>
      </c>
      <c r="D38" s="16">
        <v>2001</v>
      </c>
      <c r="E38" s="16">
        <v>1</v>
      </c>
      <c r="F38" s="16">
        <v>8</v>
      </c>
      <c r="G38" s="2">
        <v>3.9</v>
      </c>
      <c r="H38" s="3" t="s">
        <v>26</v>
      </c>
      <c r="I38" s="16">
        <v>33</v>
      </c>
      <c r="J38" s="16">
        <v>15</v>
      </c>
      <c r="K38" s="16">
        <v>44</v>
      </c>
      <c r="L38" s="11">
        <v>2</v>
      </c>
      <c r="M38" s="63">
        <v>10</v>
      </c>
    </row>
    <row r="39" spans="1:13" x14ac:dyDescent="0.3">
      <c r="A39" s="17">
        <v>9</v>
      </c>
      <c r="B39" s="15">
        <v>78</v>
      </c>
      <c r="C39" s="15">
        <v>27</v>
      </c>
      <c r="D39" s="16">
        <v>1842</v>
      </c>
      <c r="E39" s="16">
        <v>1</v>
      </c>
      <c r="F39" s="16">
        <v>16</v>
      </c>
      <c r="G39" s="2">
        <v>5.5</v>
      </c>
      <c r="H39" s="3" t="s">
        <v>26</v>
      </c>
      <c r="I39" s="16">
        <v>0</v>
      </c>
      <c r="J39" s="16">
        <v>0</v>
      </c>
      <c r="K39" s="16">
        <v>0</v>
      </c>
      <c r="L39" s="11">
        <v>2</v>
      </c>
      <c r="M39" s="63">
        <v>10</v>
      </c>
    </row>
    <row r="40" spans="1:13" x14ac:dyDescent="0.3">
      <c r="A40" s="17">
        <v>106</v>
      </c>
      <c r="B40" s="4">
        <v>70.97</v>
      </c>
      <c r="C40" s="4">
        <v>22.89</v>
      </c>
      <c r="D40" s="63">
        <v>2001</v>
      </c>
      <c r="E40" s="63">
        <v>8</v>
      </c>
      <c r="F40" s="63">
        <v>7</v>
      </c>
      <c r="G40" s="2">
        <v>4.0009999999999994</v>
      </c>
      <c r="H40" s="3" t="s">
        <v>26</v>
      </c>
      <c r="I40" s="63">
        <v>4</v>
      </c>
      <c r="J40" s="63">
        <v>16</v>
      </c>
      <c r="K40" s="63">
        <v>44</v>
      </c>
      <c r="L40" s="3" t="s">
        <v>27</v>
      </c>
      <c r="M40" s="63">
        <v>18</v>
      </c>
    </row>
    <row r="41" spans="1:13" x14ac:dyDescent="0.3">
      <c r="A41" s="17">
        <v>212</v>
      </c>
      <c r="B41" s="4">
        <v>70.992800000000003</v>
      </c>
      <c r="C41" s="4">
        <v>22.255800000000001</v>
      </c>
      <c r="D41" s="63">
        <v>2020</v>
      </c>
      <c r="E41" s="63">
        <v>7</v>
      </c>
      <c r="F41" s="63">
        <v>16</v>
      </c>
      <c r="G41" s="2">
        <v>4.7208299999999994</v>
      </c>
      <c r="H41" s="3" t="s">
        <v>26</v>
      </c>
      <c r="I41" s="63">
        <v>10</v>
      </c>
      <c r="J41" s="63">
        <v>2</v>
      </c>
      <c r="K41" s="63">
        <v>10</v>
      </c>
      <c r="L41" s="3" t="s">
        <v>25</v>
      </c>
      <c r="M41" s="63">
        <v>18</v>
      </c>
    </row>
    <row r="42" spans="1:13" x14ac:dyDescent="0.3">
      <c r="A42" s="17">
        <v>173</v>
      </c>
      <c r="B42" s="4">
        <v>71.019099999999995</v>
      </c>
      <c r="C42" s="4">
        <v>23.416899999999998</v>
      </c>
      <c r="D42" s="63">
        <v>2013</v>
      </c>
      <c r="E42" s="63">
        <v>4</v>
      </c>
      <c r="F42" s="63">
        <v>25</v>
      </c>
      <c r="G42" s="2">
        <v>4.2520500000000006</v>
      </c>
      <c r="H42" s="3" t="s">
        <v>26</v>
      </c>
      <c r="I42" s="63">
        <v>10</v>
      </c>
      <c r="J42" s="63">
        <v>5</v>
      </c>
      <c r="K42" s="63">
        <v>57</v>
      </c>
      <c r="L42" s="3" t="s">
        <v>10</v>
      </c>
      <c r="M42" s="63">
        <v>18</v>
      </c>
    </row>
    <row r="43" spans="1:13" x14ac:dyDescent="0.3">
      <c r="A43" s="17">
        <v>100</v>
      </c>
      <c r="B43" s="4">
        <v>71.165000000000006</v>
      </c>
      <c r="C43" s="4">
        <v>23.222999999999999</v>
      </c>
      <c r="D43" s="63">
        <v>2001</v>
      </c>
      <c r="E43" s="63">
        <v>1</v>
      </c>
      <c r="F43" s="63">
        <v>26</v>
      </c>
      <c r="G43" s="2">
        <v>5.1896100000000001</v>
      </c>
      <c r="H43" s="3" t="s">
        <v>26</v>
      </c>
      <c r="I43" s="63">
        <v>10</v>
      </c>
      <c r="J43" s="63">
        <v>8</v>
      </c>
      <c r="K43" s="63">
        <v>42</v>
      </c>
      <c r="L43" s="3" t="s">
        <v>25</v>
      </c>
      <c r="M43" s="63">
        <v>18</v>
      </c>
    </row>
    <row r="44" spans="1:13" x14ac:dyDescent="0.3">
      <c r="A44" s="17">
        <v>25</v>
      </c>
      <c r="B44" s="4">
        <v>71.2</v>
      </c>
      <c r="C44" s="4">
        <v>21.7</v>
      </c>
      <c r="D44" s="63">
        <v>1919</v>
      </c>
      <c r="E44" s="63">
        <v>4</v>
      </c>
      <c r="F44" s="63">
        <v>21</v>
      </c>
      <c r="G44" s="2">
        <v>6</v>
      </c>
      <c r="H44" s="3" t="s">
        <v>26</v>
      </c>
      <c r="I44" s="63">
        <v>0</v>
      </c>
      <c r="J44" s="63">
        <v>9</v>
      </c>
      <c r="K44" s="63">
        <v>53</v>
      </c>
      <c r="L44" s="3" t="s">
        <v>27</v>
      </c>
      <c r="M44" s="63">
        <v>18</v>
      </c>
    </row>
    <row r="45" spans="1:13" x14ac:dyDescent="0.3">
      <c r="A45" s="17">
        <v>104</v>
      </c>
      <c r="B45" s="4">
        <v>71.400000000000006</v>
      </c>
      <c r="C45" s="4">
        <v>23.74</v>
      </c>
      <c r="D45" s="63">
        <v>2001</v>
      </c>
      <c r="E45" s="63">
        <v>3</v>
      </c>
      <c r="F45" s="63">
        <v>30</v>
      </c>
      <c r="G45" s="2">
        <v>3.9314</v>
      </c>
      <c r="H45" s="3" t="s">
        <v>26</v>
      </c>
      <c r="I45" s="63">
        <v>15</v>
      </c>
      <c r="J45" s="63">
        <v>19</v>
      </c>
      <c r="K45" s="63">
        <v>17</v>
      </c>
      <c r="L45" s="3" t="s">
        <v>27</v>
      </c>
      <c r="M45" s="63">
        <v>18</v>
      </c>
    </row>
    <row r="46" spans="1:13" x14ac:dyDescent="0.3">
      <c r="A46" s="17">
        <v>46</v>
      </c>
      <c r="B46" s="4">
        <v>71.543300000000002</v>
      </c>
      <c r="C46" s="4">
        <v>20.7271</v>
      </c>
      <c r="D46" s="63">
        <v>1993</v>
      </c>
      <c r="E46" s="63">
        <v>8</v>
      </c>
      <c r="F46" s="63">
        <v>24</v>
      </c>
      <c r="G46" s="2">
        <v>5.4239999999999995</v>
      </c>
      <c r="H46" s="3" t="s">
        <v>26</v>
      </c>
      <c r="I46" s="63">
        <v>23.9</v>
      </c>
      <c r="J46" s="63">
        <v>17</v>
      </c>
      <c r="K46" s="63">
        <v>47</v>
      </c>
      <c r="L46" s="3" t="s">
        <v>10</v>
      </c>
      <c r="M46" s="63">
        <v>18</v>
      </c>
    </row>
    <row r="47" spans="1:13" x14ac:dyDescent="0.3">
      <c r="A47" s="17">
        <v>189</v>
      </c>
      <c r="B47" s="4">
        <v>71.552599999999998</v>
      </c>
      <c r="C47" s="4">
        <v>21.427600000000002</v>
      </c>
      <c r="D47" s="63">
        <v>2016</v>
      </c>
      <c r="E47" s="63">
        <v>7</v>
      </c>
      <c r="F47" s="63">
        <v>17</v>
      </c>
      <c r="G47" s="2">
        <v>4.7208299999999994</v>
      </c>
      <c r="H47" s="3" t="s">
        <v>26</v>
      </c>
      <c r="I47" s="63">
        <v>10</v>
      </c>
      <c r="J47" s="63">
        <v>3</v>
      </c>
      <c r="K47" s="63">
        <v>54</v>
      </c>
      <c r="L47" s="3" t="s">
        <v>25</v>
      </c>
      <c r="M47" s="63">
        <v>18</v>
      </c>
    </row>
    <row r="48" spans="1:13" x14ac:dyDescent="0.3">
      <c r="A48" s="17">
        <v>130</v>
      </c>
      <c r="B48" s="4">
        <v>71.569999999999993</v>
      </c>
      <c r="C48" s="4">
        <v>23.905000000000001</v>
      </c>
      <c r="D48" s="63">
        <v>2004</v>
      </c>
      <c r="E48" s="63">
        <v>7</v>
      </c>
      <c r="F48" s="63">
        <v>17</v>
      </c>
      <c r="G48" s="2">
        <v>4.48644</v>
      </c>
      <c r="H48" s="3" t="s">
        <v>26</v>
      </c>
      <c r="I48" s="63">
        <v>10</v>
      </c>
      <c r="J48" s="63">
        <v>18</v>
      </c>
      <c r="K48" s="63">
        <v>21</v>
      </c>
      <c r="L48" s="3" t="s">
        <v>25</v>
      </c>
      <c r="M48" s="63">
        <v>18</v>
      </c>
    </row>
    <row r="49" spans="1:13" x14ac:dyDescent="0.3">
      <c r="A49" s="17">
        <v>102</v>
      </c>
      <c r="B49" s="4">
        <v>71.58</v>
      </c>
      <c r="C49" s="4">
        <v>21.4</v>
      </c>
      <c r="D49" s="63">
        <v>2001</v>
      </c>
      <c r="E49" s="63">
        <v>2</v>
      </c>
      <c r="F49" s="63">
        <v>27</v>
      </c>
      <c r="G49" s="2">
        <v>4.0922100000000006</v>
      </c>
      <c r="H49" s="3" t="s">
        <v>26</v>
      </c>
      <c r="I49" s="63">
        <v>7</v>
      </c>
      <c r="J49" s="63">
        <v>7</v>
      </c>
      <c r="K49" s="63">
        <v>56</v>
      </c>
      <c r="L49" s="3" t="s">
        <v>27</v>
      </c>
      <c r="M49" s="63">
        <v>18</v>
      </c>
    </row>
    <row r="50" spans="1:13" x14ac:dyDescent="0.3">
      <c r="A50" s="17">
        <v>44</v>
      </c>
      <c r="B50" s="15">
        <v>71.599999999999994</v>
      </c>
      <c r="C50" s="15">
        <v>18.350000000000001</v>
      </c>
      <c r="D50" s="16">
        <v>1991</v>
      </c>
      <c r="E50" s="16">
        <v>8</v>
      </c>
      <c r="F50" s="16">
        <v>12</v>
      </c>
      <c r="G50" s="2">
        <v>3.9</v>
      </c>
      <c r="H50" s="3" t="s">
        <v>26</v>
      </c>
      <c r="I50" s="16">
        <v>33</v>
      </c>
      <c r="J50" s="16">
        <v>16</v>
      </c>
      <c r="K50" s="16">
        <v>41</v>
      </c>
      <c r="L50" s="11">
        <v>2</v>
      </c>
      <c r="M50" s="63">
        <v>18</v>
      </c>
    </row>
    <row r="51" spans="1:13" x14ac:dyDescent="0.3">
      <c r="A51" s="17">
        <v>75</v>
      </c>
      <c r="B51" s="4">
        <v>71.599999999999994</v>
      </c>
      <c r="C51" s="4">
        <v>21.94</v>
      </c>
      <c r="D51" s="63">
        <v>1998</v>
      </c>
      <c r="E51" s="63">
        <v>11</v>
      </c>
      <c r="F51" s="63">
        <v>28</v>
      </c>
      <c r="G51" s="2">
        <v>4.0009999999999994</v>
      </c>
      <c r="H51" s="3" t="s">
        <v>26</v>
      </c>
      <c r="I51" s="63">
        <v>15</v>
      </c>
      <c r="J51" s="63">
        <v>22</v>
      </c>
      <c r="K51" s="63">
        <v>29</v>
      </c>
      <c r="L51" s="3" t="s">
        <v>27</v>
      </c>
      <c r="M51" s="63">
        <v>18</v>
      </c>
    </row>
    <row r="52" spans="1:13" x14ac:dyDescent="0.3">
      <c r="A52" s="17">
        <v>133</v>
      </c>
      <c r="B52" s="4">
        <v>71.650000000000006</v>
      </c>
      <c r="C52" s="4">
        <v>22.81</v>
      </c>
      <c r="D52" s="63">
        <v>2005</v>
      </c>
      <c r="E52" s="63">
        <v>1</v>
      </c>
      <c r="F52" s="63">
        <v>3</v>
      </c>
      <c r="G52" s="2">
        <v>3.9314</v>
      </c>
      <c r="H52" s="3" t="s">
        <v>26</v>
      </c>
      <c r="I52" s="63">
        <v>20</v>
      </c>
      <c r="J52" s="63">
        <v>6</v>
      </c>
      <c r="K52" s="63">
        <v>6</v>
      </c>
      <c r="L52" s="3" t="s">
        <v>27</v>
      </c>
      <c r="M52" s="63">
        <v>18</v>
      </c>
    </row>
    <row r="53" spans="1:13" x14ac:dyDescent="0.3">
      <c r="A53" s="17">
        <v>163</v>
      </c>
      <c r="B53" s="4">
        <v>71.897999999999996</v>
      </c>
      <c r="C53" s="4">
        <v>23.625</v>
      </c>
      <c r="D53" s="63">
        <v>2010</v>
      </c>
      <c r="E53" s="63">
        <v>9</v>
      </c>
      <c r="F53" s="63">
        <v>2</v>
      </c>
      <c r="G53" s="2">
        <v>4.6426999999999996</v>
      </c>
      <c r="H53" s="3" t="s">
        <v>26</v>
      </c>
      <c r="I53" s="63">
        <v>10</v>
      </c>
      <c r="J53" s="63">
        <v>3</v>
      </c>
      <c r="K53" s="63">
        <v>9</v>
      </c>
      <c r="L53" s="3" t="s">
        <v>25</v>
      </c>
      <c r="M53" s="63">
        <v>18</v>
      </c>
    </row>
    <row r="54" spans="1:13" x14ac:dyDescent="0.3">
      <c r="A54" s="17">
        <v>83</v>
      </c>
      <c r="B54" s="4">
        <v>71.930000000000007</v>
      </c>
      <c r="C54" s="4">
        <v>21.81</v>
      </c>
      <c r="D54" s="63">
        <v>1999</v>
      </c>
      <c r="E54" s="63">
        <v>9</v>
      </c>
      <c r="F54" s="63">
        <v>21</v>
      </c>
      <c r="G54" s="2">
        <v>3.8618000000000001</v>
      </c>
      <c r="H54" s="3" t="s">
        <v>26</v>
      </c>
      <c r="I54" s="63">
        <v>2</v>
      </c>
      <c r="J54" s="63">
        <v>11</v>
      </c>
      <c r="K54" s="63">
        <v>53</v>
      </c>
      <c r="L54" s="3" t="s">
        <v>27</v>
      </c>
      <c r="M54" s="63">
        <v>18</v>
      </c>
    </row>
    <row r="55" spans="1:13" x14ac:dyDescent="0.3">
      <c r="A55" s="17">
        <v>49</v>
      </c>
      <c r="B55" s="4">
        <v>72.739999999999995</v>
      </c>
      <c r="C55" s="4">
        <v>21.117000000000001</v>
      </c>
      <c r="D55" s="63">
        <v>1993</v>
      </c>
      <c r="E55" s="63">
        <v>12</v>
      </c>
      <c r="F55" s="63">
        <v>31</v>
      </c>
      <c r="G55" s="2">
        <v>4.48644</v>
      </c>
      <c r="H55" s="3" t="s">
        <v>26</v>
      </c>
      <c r="I55" s="63">
        <v>33</v>
      </c>
      <c r="J55" s="63">
        <v>13</v>
      </c>
      <c r="K55" s="63">
        <v>32</v>
      </c>
      <c r="L55" s="3" t="s">
        <v>25</v>
      </c>
      <c r="M55" s="63">
        <v>19</v>
      </c>
    </row>
    <row r="56" spans="1:13" x14ac:dyDescent="0.3">
      <c r="A56" s="17">
        <v>114</v>
      </c>
      <c r="B56" s="4">
        <v>72.89</v>
      </c>
      <c r="C56" s="4">
        <v>21.14</v>
      </c>
      <c r="D56" s="63">
        <v>2002</v>
      </c>
      <c r="E56" s="63">
        <v>5</v>
      </c>
      <c r="F56" s="63">
        <v>5</v>
      </c>
      <c r="G56" s="2">
        <v>3.7225999999999999</v>
      </c>
      <c r="H56" s="3" t="s">
        <v>26</v>
      </c>
      <c r="I56" s="63">
        <v>15</v>
      </c>
      <c r="J56" s="63">
        <v>16</v>
      </c>
      <c r="K56" s="63">
        <v>2</v>
      </c>
      <c r="L56" s="3" t="s">
        <v>27</v>
      </c>
      <c r="M56" s="63">
        <v>19</v>
      </c>
    </row>
    <row r="57" spans="1:13" x14ac:dyDescent="0.3">
      <c r="A57" s="17">
        <v>168</v>
      </c>
      <c r="B57" s="4">
        <v>72.8</v>
      </c>
      <c r="C57" s="4">
        <v>21.23</v>
      </c>
      <c r="D57" s="63">
        <v>2012</v>
      </c>
      <c r="E57" s="63">
        <v>7</v>
      </c>
      <c r="F57" s="63">
        <v>30</v>
      </c>
      <c r="G57" s="2">
        <v>4.0009999999999994</v>
      </c>
      <c r="H57" s="3" t="s">
        <v>26</v>
      </c>
      <c r="I57" s="63">
        <v>11</v>
      </c>
      <c r="J57" s="63">
        <v>13</v>
      </c>
      <c r="K57" s="63">
        <v>33</v>
      </c>
      <c r="L57" s="3" t="s">
        <v>27</v>
      </c>
      <c r="M57" s="63">
        <v>19</v>
      </c>
    </row>
    <row r="58" spans="1:13" x14ac:dyDescent="0.3">
      <c r="A58" s="17">
        <v>152</v>
      </c>
      <c r="B58" s="4">
        <v>72.932699999999997</v>
      </c>
      <c r="C58" s="4">
        <v>21.289400000000001</v>
      </c>
      <c r="D58" s="63">
        <v>2008</v>
      </c>
      <c r="E58" s="63">
        <v>5</v>
      </c>
      <c r="F58" s="63">
        <v>2</v>
      </c>
      <c r="G58" s="2">
        <v>4.2520500000000006</v>
      </c>
      <c r="H58" s="3" t="s">
        <v>26</v>
      </c>
      <c r="I58" s="63">
        <v>35</v>
      </c>
      <c r="J58" s="63">
        <v>21</v>
      </c>
      <c r="K58" s="63">
        <v>53</v>
      </c>
      <c r="L58" s="3" t="s">
        <v>10</v>
      </c>
      <c r="M58" s="63">
        <v>19</v>
      </c>
    </row>
    <row r="59" spans="1:13" x14ac:dyDescent="0.3">
      <c r="A59" s="17">
        <v>177</v>
      </c>
      <c r="B59" s="4">
        <v>73.420199999999994</v>
      </c>
      <c r="C59" s="4">
        <v>21.4255</v>
      </c>
      <c r="D59" s="63">
        <v>2014</v>
      </c>
      <c r="E59" s="63">
        <v>6</v>
      </c>
      <c r="F59" s="63">
        <v>21</v>
      </c>
      <c r="G59" s="2">
        <v>4.4083100000000002</v>
      </c>
      <c r="H59" s="3" t="s">
        <v>26</v>
      </c>
      <c r="I59" s="63">
        <v>35</v>
      </c>
      <c r="J59" s="63">
        <v>15</v>
      </c>
      <c r="K59" s="63">
        <v>59</v>
      </c>
      <c r="L59" s="3" t="s">
        <v>10</v>
      </c>
      <c r="M59" s="63">
        <v>19</v>
      </c>
    </row>
    <row r="60" spans="1:13" x14ac:dyDescent="0.3">
      <c r="A60" s="17">
        <v>59</v>
      </c>
      <c r="B60" s="4">
        <v>73.042000000000002</v>
      </c>
      <c r="C60" s="4">
        <v>21.471</v>
      </c>
      <c r="D60" s="63">
        <v>1996</v>
      </c>
      <c r="E60" s="63">
        <v>11</v>
      </c>
      <c r="F60" s="63">
        <v>17</v>
      </c>
      <c r="G60" s="2">
        <v>4.7989600000000001</v>
      </c>
      <c r="H60" s="3" t="s">
        <v>26</v>
      </c>
      <c r="I60" s="63">
        <v>10</v>
      </c>
      <c r="J60" s="63">
        <v>18</v>
      </c>
      <c r="K60" s="63">
        <v>12</v>
      </c>
      <c r="L60" s="3" t="s">
        <v>25</v>
      </c>
      <c r="M60" s="63">
        <v>19</v>
      </c>
    </row>
    <row r="61" spans="1:13" x14ac:dyDescent="0.3">
      <c r="A61" s="17">
        <v>153</v>
      </c>
      <c r="B61" s="4">
        <v>72.84</v>
      </c>
      <c r="C61" s="4">
        <v>21.5</v>
      </c>
      <c r="D61" s="63">
        <v>2008</v>
      </c>
      <c r="E61" s="63">
        <v>5</v>
      </c>
      <c r="F61" s="63">
        <v>20</v>
      </c>
      <c r="G61" s="2">
        <v>3.9314</v>
      </c>
      <c r="H61" s="3" t="s">
        <v>26</v>
      </c>
      <c r="I61" s="63">
        <v>10</v>
      </c>
      <c r="J61" s="63">
        <v>14</v>
      </c>
      <c r="K61" s="63">
        <v>27</v>
      </c>
      <c r="L61" s="3" t="s">
        <v>27</v>
      </c>
      <c r="M61" s="63">
        <v>19</v>
      </c>
    </row>
    <row r="62" spans="1:13" x14ac:dyDescent="0.3">
      <c r="A62" s="17">
        <v>213</v>
      </c>
      <c r="B62" s="4">
        <v>73.218999999999994</v>
      </c>
      <c r="C62" s="4">
        <v>21.5017</v>
      </c>
      <c r="D62" s="63">
        <v>2020</v>
      </c>
      <c r="E62" s="63">
        <v>11</v>
      </c>
      <c r="F62" s="63">
        <v>7</v>
      </c>
      <c r="G62" s="2">
        <v>4.5645699999999998</v>
      </c>
      <c r="H62" s="3" t="s">
        <v>26</v>
      </c>
      <c r="I62" s="63">
        <v>10</v>
      </c>
      <c r="J62" s="63">
        <v>10</v>
      </c>
      <c r="K62" s="63">
        <v>9</v>
      </c>
      <c r="L62" s="3" t="s">
        <v>25</v>
      </c>
      <c r="M62" s="63">
        <v>19</v>
      </c>
    </row>
    <row r="63" spans="1:13" x14ac:dyDescent="0.3">
      <c r="A63" s="17">
        <v>33</v>
      </c>
      <c r="B63" s="4">
        <v>73.052400000000006</v>
      </c>
      <c r="C63" s="4">
        <v>21.586200000000002</v>
      </c>
      <c r="D63" s="63">
        <v>1970</v>
      </c>
      <c r="E63" s="63">
        <v>3</v>
      </c>
      <c r="F63" s="63">
        <v>23</v>
      </c>
      <c r="G63" s="2">
        <v>5.6583899999999998</v>
      </c>
      <c r="H63" s="3" t="s">
        <v>26</v>
      </c>
      <c r="I63" s="63">
        <v>13.9</v>
      </c>
      <c r="J63" s="63">
        <v>1</v>
      </c>
      <c r="K63" s="63">
        <v>53</v>
      </c>
      <c r="L63" s="3" t="s">
        <v>10</v>
      </c>
      <c r="M63" s="63">
        <v>19</v>
      </c>
    </row>
    <row r="64" spans="1:13" x14ac:dyDescent="0.3">
      <c r="A64" s="17">
        <v>196</v>
      </c>
      <c r="B64" s="4">
        <v>73.17</v>
      </c>
      <c r="C64" s="4">
        <v>21.59</v>
      </c>
      <c r="D64" s="63">
        <v>2018</v>
      </c>
      <c r="E64" s="63">
        <v>4</v>
      </c>
      <c r="F64" s="63">
        <v>21</v>
      </c>
      <c r="G64" s="2">
        <v>3.8</v>
      </c>
      <c r="H64" s="3" t="s">
        <v>26</v>
      </c>
      <c r="I64" s="63">
        <v>6</v>
      </c>
      <c r="J64" s="63">
        <v>16</v>
      </c>
      <c r="K64" s="63">
        <v>56</v>
      </c>
      <c r="L64" s="3" t="s">
        <v>27</v>
      </c>
      <c r="M64" s="63">
        <v>19</v>
      </c>
    </row>
    <row r="65" spans="1:13" x14ac:dyDescent="0.3">
      <c r="A65" s="17">
        <v>94</v>
      </c>
      <c r="B65" s="4">
        <v>72.150000000000006</v>
      </c>
      <c r="C65" s="4">
        <v>21.7</v>
      </c>
      <c r="D65" s="63">
        <v>2000</v>
      </c>
      <c r="E65" s="63">
        <v>9</v>
      </c>
      <c r="F65" s="63">
        <v>13</v>
      </c>
      <c r="G65" s="2">
        <v>4.0009999999999994</v>
      </c>
      <c r="H65" s="3" t="s">
        <v>26</v>
      </c>
      <c r="I65" s="63">
        <v>5</v>
      </c>
      <c r="J65" s="63">
        <v>18</v>
      </c>
      <c r="K65" s="63">
        <v>10</v>
      </c>
      <c r="L65" s="3" t="s">
        <v>27</v>
      </c>
      <c r="M65" s="63">
        <v>19</v>
      </c>
    </row>
    <row r="66" spans="1:13" x14ac:dyDescent="0.3">
      <c r="A66" s="17">
        <v>22</v>
      </c>
      <c r="B66" s="15">
        <v>72.2</v>
      </c>
      <c r="C66" s="15">
        <v>21.7</v>
      </c>
      <c r="D66" s="16">
        <v>1872</v>
      </c>
      <c r="E66" s="16">
        <v>4</v>
      </c>
      <c r="F66" s="16">
        <v>14</v>
      </c>
      <c r="G66" s="2">
        <v>4.7</v>
      </c>
      <c r="H66" s="3" t="s">
        <v>26</v>
      </c>
      <c r="I66" s="16">
        <v>0</v>
      </c>
      <c r="J66" s="16">
        <v>0</v>
      </c>
      <c r="K66" s="16">
        <v>0</v>
      </c>
      <c r="L66" s="11">
        <v>15</v>
      </c>
      <c r="M66" s="63">
        <v>19</v>
      </c>
    </row>
    <row r="67" spans="1:13" x14ac:dyDescent="0.3">
      <c r="A67" s="17">
        <v>2</v>
      </c>
      <c r="B67" s="15">
        <v>72.150000000000006</v>
      </c>
      <c r="C67" s="15">
        <v>21.75</v>
      </c>
      <c r="D67" s="16">
        <v>1705</v>
      </c>
      <c r="E67" s="16">
        <v>2</v>
      </c>
      <c r="F67" s="16">
        <v>4</v>
      </c>
      <c r="G67" s="2">
        <v>7</v>
      </c>
      <c r="H67" s="3" t="s">
        <v>26</v>
      </c>
      <c r="I67" s="16">
        <v>0</v>
      </c>
      <c r="J67" s="16">
        <v>0</v>
      </c>
      <c r="K67" s="16">
        <v>0</v>
      </c>
      <c r="L67" s="11">
        <v>5</v>
      </c>
      <c r="M67" s="63">
        <v>19</v>
      </c>
    </row>
    <row r="68" spans="1:13" x14ac:dyDescent="0.3">
      <c r="A68" s="17">
        <v>92</v>
      </c>
      <c r="B68" s="4">
        <v>72.19</v>
      </c>
      <c r="C68" s="4">
        <v>21.81</v>
      </c>
      <c r="D68" s="63">
        <v>2000</v>
      </c>
      <c r="E68" s="63">
        <v>8</v>
      </c>
      <c r="F68" s="63">
        <v>13</v>
      </c>
      <c r="G68" s="2">
        <v>3.9314</v>
      </c>
      <c r="H68" s="3" t="s">
        <v>26</v>
      </c>
      <c r="I68" s="63">
        <v>27</v>
      </c>
      <c r="J68" s="63">
        <v>9</v>
      </c>
      <c r="K68" s="63">
        <v>54</v>
      </c>
      <c r="L68" s="3" t="s">
        <v>27</v>
      </c>
      <c r="M68" s="63">
        <v>19</v>
      </c>
    </row>
    <row r="69" spans="1:13" x14ac:dyDescent="0.3">
      <c r="A69" s="17">
        <v>123</v>
      </c>
      <c r="B69" s="4">
        <v>74.344999999999999</v>
      </c>
      <c r="C69" s="4">
        <v>21.830500000000001</v>
      </c>
      <c r="D69" s="63">
        <v>2003</v>
      </c>
      <c r="E69" s="63">
        <v>7</v>
      </c>
      <c r="F69" s="63">
        <v>27</v>
      </c>
      <c r="G69" s="2">
        <v>4.5645699999999998</v>
      </c>
      <c r="H69" s="3" t="s">
        <v>26</v>
      </c>
      <c r="I69" s="63">
        <v>19.5</v>
      </c>
      <c r="J69" s="63">
        <v>4</v>
      </c>
      <c r="K69" s="63">
        <v>35</v>
      </c>
      <c r="L69" s="3" t="s">
        <v>10</v>
      </c>
      <c r="M69" s="63">
        <v>19</v>
      </c>
    </row>
    <row r="70" spans="1:13" x14ac:dyDescent="0.3">
      <c r="A70" s="17">
        <v>82</v>
      </c>
      <c r="B70" s="4">
        <v>74.16</v>
      </c>
      <c r="C70" s="4">
        <v>21.84</v>
      </c>
      <c r="D70" s="63">
        <v>1999</v>
      </c>
      <c r="E70" s="63">
        <v>7</v>
      </c>
      <c r="F70" s="63">
        <v>18</v>
      </c>
      <c r="G70" s="2">
        <v>3.8618000000000001</v>
      </c>
      <c r="H70" s="3" t="s">
        <v>26</v>
      </c>
      <c r="I70" s="63">
        <v>5</v>
      </c>
      <c r="J70" s="63">
        <v>3</v>
      </c>
      <c r="K70" s="63">
        <v>18</v>
      </c>
      <c r="L70" s="3" t="s">
        <v>27</v>
      </c>
      <c r="M70" s="63">
        <v>19</v>
      </c>
    </row>
    <row r="71" spans="1:13" x14ac:dyDescent="0.3">
      <c r="A71" s="17">
        <v>86</v>
      </c>
      <c r="B71" s="4">
        <v>74.510000000000005</v>
      </c>
      <c r="C71" s="4">
        <v>21.86</v>
      </c>
      <c r="D71" s="63">
        <v>2000</v>
      </c>
      <c r="E71" s="63">
        <v>4</v>
      </c>
      <c r="F71" s="63">
        <v>15</v>
      </c>
      <c r="G71" s="2">
        <v>3.7747199999999999</v>
      </c>
      <c r="H71" s="3" t="s">
        <v>26</v>
      </c>
      <c r="I71" s="63">
        <v>10</v>
      </c>
      <c r="J71" s="63">
        <v>3</v>
      </c>
      <c r="K71" s="63">
        <v>11</v>
      </c>
      <c r="L71" s="3" t="s">
        <v>27</v>
      </c>
      <c r="M71" s="63">
        <v>19</v>
      </c>
    </row>
    <row r="72" spans="1:13" x14ac:dyDescent="0.3">
      <c r="A72" s="17">
        <v>174</v>
      </c>
      <c r="B72" s="4">
        <v>74.83</v>
      </c>
      <c r="C72" s="4">
        <v>21.99</v>
      </c>
      <c r="D72" s="63">
        <v>2013</v>
      </c>
      <c r="E72" s="63">
        <v>6</v>
      </c>
      <c r="F72" s="63">
        <v>30</v>
      </c>
      <c r="G72" s="2">
        <v>4.0705999999999998</v>
      </c>
      <c r="H72" s="3" t="s">
        <v>26</v>
      </c>
      <c r="I72" s="63">
        <v>19</v>
      </c>
      <c r="J72" s="63">
        <v>8</v>
      </c>
      <c r="K72" s="63">
        <v>14</v>
      </c>
      <c r="L72" s="3" t="s">
        <v>27</v>
      </c>
      <c r="M72" s="63">
        <v>19</v>
      </c>
    </row>
    <row r="73" spans="1:13" x14ac:dyDescent="0.3">
      <c r="A73" s="17">
        <v>56</v>
      </c>
      <c r="B73" s="4">
        <v>74.5</v>
      </c>
      <c r="C73" s="4">
        <v>22.1</v>
      </c>
      <c r="D73" s="63">
        <v>1996</v>
      </c>
      <c r="E73" s="63">
        <v>3</v>
      </c>
      <c r="F73" s="63">
        <v>12</v>
      </c>
      <c r="G73" s="2">
        <v>3.5</v>
      </c>
      <c r="H73" s="3" t="s">
        <v>26</v>
      </c>
      <c r="I73" s="63">
        <v>33</v>
      </c>
      <c r="J73" s="63">
        <v>9</v>
      </c>
      <c r="K73" s="63">
        <v>38</v>
      </c>
      <c r="L73" s="3" t="s">
        <v>27</v>
      </c>
      <c r="M73" s="63">
        <v>19</v>
      </c>
    </row>
    <row r="74" spans="1:13" x14ac:dyDescent="0.3">
      <c r="A74" s="17">
        <v>126</v>
      </c>
      <c r="B74" s="4">
        <v>74.55</v>
      </c>
      <c r="C74" s="4">
        <v>22.1</v>
      </c>
      <c r="D74" s="63">
        <v>2003</v>
      </c>
      <c r="E74" s="63">
        <v>12</v>
      </c>
      <c r="F74" s="63">
        <v>24</v>
      </c>
      <c r="G74" s="2">
        <v>4.1402000000000001</v>
      </c>
      <c r="H74" s="3" t="s">
        <v>26</v>
      </c>
      <c r="I74" s="63">
        <v>5</v>
      </c>
      <c r="J74" s="63">
        <v>0</v>
      </c>
      <c r="K74" s="63">
        <v>39</v>
      </c>
      <c r="L74" s="3" t="s">
        <v>27</v>
      </c>
      <c r="M74" s="63">
        <v>19</v>
      </c>
    </row>
    <row r="75" spans="1:13" x14ac:dyDescent="0.3">
      <c r="A75" s="17">
        <v>10</v>
      </c>
      <c r="B75" s="15">
        <v>73.2</v>
      </c>
      <c r="C75" s="15">
        <v>22.3</v>
      </c>
      <c r="D75" s="16">
        <v>1842</v>
      </c>
      <c r="E75" s="16">
        <v>10</v>
      </c>
      <c r="F75" s="16">
        <v>9</v>
      </c>
      <c r="G75" s="2">
        <v>4.3</v>
      </c>
      <c r="H75" s="3" t="s">
        <v>26</v>
      </c>
      <c r="I75" s="16">
        <v>0</v>
      </c>
      <c r="J75" s="16">
        <v>0</v>
      </c>
      <c r="K75" s="16">
        <v>0</v>
      </c>
      <c r="L75" s="11">
        <v>11</v>
      </c>
      <c r="M75" s="63">
        <v>19</v>
      </c>
    </row>
    <row r="76" spans="1:13" x14ac:dyDescent="0.3">
      <c r="A76" s="17">
        <v>157</v>
      </c>
      <c r="B76" s="4">
        <v>72</v>
      </c>
      <c r="C76" s="4">
        <v>23</v>
      </c>
      <c r="D76" s="63">
        <v>2008</v>
      </c>
      <c r="E76" s="63">
        <v>12</v>
      </c>
      <c r="F76" s="63">
        <v>27</v>
      </c>
      <c r="G76" s="2">
        <v>4.0009999999999994</v>
      </c>
      <c r="H76" s="3" t="s">
        <v>26</v>
      </c>
      <c r="I76" s="63">
        <v>10</v>
      </c>
      <c r="J76" s="63">
        <v>7</v>
      </c>
      <c r="K76" s="63">
        <v>42</v>
      </c>
      <c r="L76" s="3" t="s">
        <v>27</v>
      </c>
      <c r="M76" s="63">
        <v>19</v>
      </c>
    </row>
    <row r="77" spans="1:13" x14ac:dyDescent="0.3">
      <c r="A77" s="17">
        <v>11</v>
      </c>
      <c r="B77" s="15">
        <v>72.7</v>
      </c>
      <c r="C77" s="15">
        <v>23</v>
      </c>
      <c r="D77" s="16">
        <v>1843</v>
      </c>
      <c r="E77" s="16">
        <v>2</v>
      </c>
      <c r="F77" s="16">
        <v>8</v>
      </c>
      <c r="G77" s="2">
        <v>4.2</v>
      </c>
      <c r="H77" s="3" t="s">
        <v>26</v>
      </c>
      <c r="I77" s="16">
        <v>0</v>
      </c>
      <c r="J77" s="16">
        <v>0</v>
      </c>
      <c r="K77" s="16">
        <v>0</v>
      </c>
      <c r="L77" s="11">
        <v>18</v>
      </c>
      <c r="M77" s="63">
        <v>19</v>
      </c>
    </row>
    <row r="78" spans="1:13" x14ac:dyDescent="0.3">
      <c r="A78" s="17">
        <v>8</v>
      </c>
      <c r="B78" s="15">
        <v>72.7</v>
      </c>
      <c r="C78" s="15">
        <v>23</v>
      </c>
      <c r="D78" s="16">
        <v>1840</v>
      </c>
      <c r="E78" s="16">
        <v>11</v>
      </c>
      <c r="F78" s="16">
        <v>10</v>
      </c>
      <c r="G78" s="2">
        <v>4.3</v>
      </c>
      <c r="H78" s="3" t="s">
        <v>26</v>
      </c>
      <c r="I78" s="16">
        <v>0</v>
      </c>
      <c r="J78" s="16">
        <v>0</v>
      </c>
      <c r="K78" s="16">
        <v>0</v>
      </c>
      <c r="L78" s="11">
        <v>11</v>
      </c>
      <c r="M78" s="63">
        <v>19</v>
      </c>
    </row>
    <row r="79" spans="1:13" x14ac:dyDescent="0.3">
      <c r="A79" s="17">
        <v>36</v>
      </c>
      <c r="B79" s="4">
        <v>74</v>
      </c>
      <c r="C79" s="4">
        <v>23.4</v>
      </c>
      <c r="D79" s="63">
        <v>1982</v>
      </c>
      <c r="E79" s="63">
        <v>4</v>
      </c>
      <c r="F79" s="63">
        <v>26</v>
      </c>
      <c r="G79" s="2">
        <v>5.1145999999999994</v>
      </c>
      <c r="H79" s="3" t="s">
        <v>26</v>
      </c>
      <c r="I79" s="63">
        <v>0</v>
      </c>
      <c r="J79" s="63">
        <v>6</v>
      </c>
      <c r="K79" s="63">
        <v>6</v>
      </c>
      <c r="L79" s="3" t="s">
        <v>12</v>
      </c>
      <c r="M79" s="63">
        <v>19</v>
      </c>
    </row>
    <row r="80" spans="1:13" x14ac:dyDescent="0.3">
      <c r="A80" s="17">
        <v>45</v>
      </c>
      <c r="B80" s="4">
        <v>74.099999999999994</v>
      </c>
      <c r="C80" s="4">
        <v>24.1</v>
      </c>
      <c r="D80" s="63">
        <v>1992</v>
      </c>
      <c r="E80" s="63">
        <v>5</v>
      </c>
      <c r="F80" s="63">
        <v>31</v>
      </c>
      <c r="G80" s="2">
        <v>4.5</v>
      </c>
      <c r="H80" s="3" t="s">
        <v>26</v>
      </c>
      <c r="I80" s="63">
        <v>33</v>
      </c>
      <c r="J80" s="63">
        <v>1</v>
      </c>
      <c r="K80" s="63">
        <v>47</v>
      </c>
      <c r="L80" s="3" t="s">
        <v>27</v>
      </c>
      <c r="M80" s="63">
        <v>19</v>
      </c>
    </row>
    <row r="81" spans="1:13" x14ac:dyDescent="0.3">
      <c r="A81" s="17">
        <v>21</v>
      </c>
      <c r="B81" s="15">
        <v>72.2</v>
      </c>
      <c r="C81" s="15">
        <v>24.2</v>
      </c>
      <c r="D81" s="16">
        <v>1871</v>
      </c>
      <c r="E81" s="16">
        <v>1</v>
      </c>
      <c r="F81" s="16">
        <v>1</v>
      </c>
      <c r="G81" s="2">
        <v>4.2</v>
      </c>
      <c r="H81" s="3" t="s">
        <v>26</v>
      </c>
      <c r="I81" s="16">
        <v>0</v>
      </c>
      <c r="J81" s="16">
        <v>0</v>
      </c>
      <c r="K81" s="16">
        <v>0</v>
      </c>
      <c r="L81" s="11">
        <v>15</v>
      </c>
      <c r="M81" s="63">
        <v>19</v>
      </c>
    </row>
    <row r="82" spans="1:13" x14ac:dyDescent="0.3">
      <c r="A82" s="17">
        <v>145</v>
      </c>
      <c r="B82" s="4">
        <v>72.27</v>
      </c>
      <c r="C82" s="4">
        <v>24.2</v>
      </c>
      <c r="D82" s="63">
        <v>2006</v>
      </c>
      <c r="E82" s="63">
        <v>5</v>
      </c>
      <c r="F82" s="63">
        <v>7</v>
      </c>
      <c r="G82" s="2">
        <v>4.4185999999999996</v>
      </c>
      <c r="H82" s="3" t="s">
        <v>26</v>
      </c>
      <c r="I82" s="63">
        <v>5</v>
      </c>
      <c r="J82" s="63">
        <v>10</v>
      </c>
      <c r="K82" s="63">
        <v>54</v>
      </c>
      <c r="L82" s="3" t="s">
        <v>27</v>
      </c>
      <c r="M82" s="63">
        <v>19</v>
      </c>
    </row>
    <row r="83" spans="1:13" x14ac:dyDescent="0.3">
      <c r="A83" s="17">
        <v>181</v>
      </c>
      <c r="B83" s="4">
        <v>72.72</v>
      </c>
      <c r="C83" s="4">
        <v>24.2</v>
      </c>
      <c r="D83" s="63">
        <v>2015</v>
      </c>
      <c r="E83" s="63">
        <v>3</v>
      </c>
      <c r="F83" s="63">
        <v>19</v>
      </c>
      <c r="G83" s="2">
        <v>4.2793999999999999</v>
      </c>
      <c r="H83" s="3" t="s">
        <v>26</v>
      </c>
      <c r="I83" s="63">
        <v>10</v>
      </c>
      <c r="J83" s="63">
        <v>15</v>
      </c>
      <c r="K83" s="63">
        <v>11</v>
      </c>
      <c r="L83" s="3" t="s">
        <v>27</v>
      </c>
      <c r="M83" s="63">
        <v>19</v>
      </c>
    </row>
    <row r="84" spans="1:13" x14ac:dyDescent="0.3">
      <c r="A84" s="17">
        <v>31</v>
      </c>
      <c r="B84" s="4">
        <v>73</v>
      </c>
      <c r="C84" s="4">
        <v>24.2</v>
      </c>
      <c r="D84" s="63">
        <v>1962</v>
      </c>
      <c r="E84" s="63">
        <v>9</v>
      </c>
      <c r="F84" s="63">
        <v>2</v>
      </c>
      <c r="G84" s="2">
        <v>5</v>
      </c>
      <c r="H84" s="3" t="s">
        <v>26</v>
      </c>
      <c r="I84" s="63">
        <v>0</v>
      </c>
      <c r="J84" s="63">
        <v>4</v>
      </c>
      <c r="K84" s="63">
        <v>21</v>
      </c>
      <c r="L84" s="3" t="s">
        <v>27</v>
      </c>
      <c r="M84" s="63">
        <v>19</v>
      </c>
    </row>
    <row r="85" spans="1:13" x14ac:dyDescent="0.3">
      <c r="A85" s="17">
        <v>38</v>
      </c>
      <c r="B85" s="4">
        <v>74.84</v>
      </c>
      <c r="C85" s="4">
        <v>24.33</v>
      </c>
      <c r="D85" s="63">
        <v>1984</v>
      </c>
      <c r="E85" s="63">
        <v>12</v>
      </c>
      <c r="F85" s="63">
        <v>9</v>
      </c>
      <c r="G85" s="2">
        <v>4.3</v>
      </c>
      <c r="H85" s="3" t="s">
        <v>26</v>
      </c>
      <c r="I85" s="63">
        <v>107</v>
      </c>
      <c r="J85" s="63">
        <v>5</v>
      </c>
      <c r="K85" s="63">
        <v>17</v>
      </c>
      <c r="L85" s="3" t="s">
        <v>27</v>
      </c>
      <c r="M85" s="63">
        <v>19</v>
      </c>
    </row>
    <row r="86" spans="1:13" x14ac:dyDescent="0.3">
      <c r="A86" s="17">
        <v>188</v>
      </c>
      <c r="B86" s="4">
        <v>72.58</v>
      </c>
      <c r="C86" s="4">
        <v>24.36</v>
      </c>
      <c r="D86" s="63">
        <v>2016</v>
      </c>
      <c r="E86" s="63">
        <v>5</v>
      </c>
      <c r="F86" s="63">
        <v>12</v>
      </c>
      <c r="G86" s="2">
        <v>3.9314</v>
      </c>
      <c r="H86" s="3" t="s">
        <v>26</v>
      </c>
      <c r="I86" s="63">
        <v>39</v>
      </c>
      <c r="J86" s="63">
        <v>22</v>
      </c>
      <c r="K86" s="63">
        <v>29</v>
      </c>
      <c r="L86" s="3" t="s">
        <v>27</v>
      </c>
      <c r="M86" s="63">
        <v>19</v>
      </c>
    </row>
    <row r="87" spans="1:13" x14ac:dyDescent="0.3">
      <c r="A87" s="17">
        <v>14</v>
      </c>
      <c r="B87" s="15">
        <v>72.7</v>
      </c>
      <c r="C87" s="15">
        <v>24.4</v>
      </c>
      <c r="D87" s="16">
        <v>1848</v>
      </c>
      <c r="E87" s="16">
        <v>4</v>
      </c>
      <c r="F87" s="16">
        <v>26</v>
      </c>
      <c r="G87" s="2">
        <v>6</v>
      </c>
      <c r="H87" s="3" t="s">
        <v>26</v>
      </c>
      <c r="I87" s="16">
        <v>0</v>
      </c>
      <c r="J87" s="16">
        <v>0</v>
      </c>
      <c r="K87" s="16">
        <v>0</v>
      </c>
      <c r="L87" s="11">
        <v>2</v>
      </c>
      <c r="M87" s="63">
        <v>19</v>
      </c>
    </row>
    <row r="88" spans="1:13" x14ac:dyDescent="0.3">
      <c r="A88" s="17">
        <v>180</v>
      </c>
      <c r="B88" s="4">
        <v>72.400000000000006</v>
      </c>
      <c r="C88" s="4">
        <v>24.41</v>
      </c>
      <c r="D88" s="63">
        <v>2014</v>
      </c>
      <c r="E88" s="63">
        <v>11</v>
      </c>
      <c r="F88" s="63">
        <v>19</v>
      </c>
      <c r="G88" s="2">
        <v>4.2097999999999995</v>
      </c>
      <c r="H88" s="3" t="s">
        <v>26</v>
      </c>
      <c r="I88" s="63">
        <v>10</v>
      </c>
      <c r="J88" s="63">
        <v>20</v>
      </c>
      <c r="K88" s="63">
        <v>56</v>
      </c>
      <c r="L88" s="3" t="s">
        <v>27</v>
      </c>
      <c r="M88" s="63">
        <v>19</v>
      </c>
    </row>
    <row r="89" spans="1:13" x14ac:dyDescent="0.3">
      <c r="A89" s="17">
        <v>204</v>
      </c>
      <c r="B89" s="4">
        <v>72.735699999999994</v>
      </c>
      <c r="C89" s="4">
        <v>24.536999999999999</v>
      </c>
      <c r="D89" s="63">
        <v>2019</v>
      </c>
      <c r="E89" s="63">
        <v>6</v>
      </c>
      <c r="F89" s="63">
        <v>5</v>
      </c>
      <c r="G89" s="2">
        <v>4.6426999999999996</v>
      </c>
      <c r="H89" s="3" t="s">
        <v>26</v>
      </c>
      <c r="I89" s="63">
        <v>10</v>
      </c>
      <c r="J89" s="63">
        <v>17</v>
      </c>
      <c r="K89" s="63">
        <v>1</v>
      </c>
      <c r="L89" s="3" t="s">
        <v>25</v>
      </c>
      <c r="M89" s="63">
        <v>19</v>
      </c>
    </row>
    <row r="90" spans="1:13" x14ac:dyDescent="0.3">
      <c r="A90" s="17">
        <v>191</v>
      </c>
      <c r="B90" s="4">
        <v>72.900000000000006</v>
      </c>
      <c r="C90" s="4">
        <v>24.54</v>
      </c>
      <c r="D90" s="63">
        <v>2017</v>
      </c>
      <c r="E90" s="63">
        <v>3</v>
      </c>
      <c r="F90" s="63">
        <v>13</v>
      </c>
      <c r="G90" s="2">
        <v>4.7665999999999995</v>
      </c>
      <c r="H90" s="3" t="s">
        <v>26</v>
      </c>
      <c r="I90" s="63">
        <v>10</v>
      </c>
      <c r="J90" s="63">
        <v>15</v>
      </c>
      <c r="K90" s="63">
        <v>52</v>
      </c>
      <c r="L90" s="3" t="s">
        <v>27</v>
      </c>
      <c r="M90" s="63">
        <v>19</v>
      </c>
    </row>
    <row r="91" spans="1:13" x14ac:dyDescent="0.3">
      <c r="A91" s="17">
        <v>41</v>
      </c>
      <c r="B91" s="4">
        <v>73.453900000000004</v>
      </c>
      <c r="C91" s="4">
        <v>24.545400000000001</v>
      </c>
      <c r="D91" s="63">
        <v>1986</v>
      </c>
      <c r="E91" s="63">
        <v>11</v>
      </c>
      <c r="F91" s="63">
        <v>15</v>
      </c>
      <c r="G91" s="2">
        <v>5.1145999999999994</v>
      </c>
      <c r="H91" s="3" t="s">
        <v>26</v>
      </c>
      <c r="I91" s="63">
        <v>10</v>
      </c>
      <c r="J91" s="63">
        <v>0</v>
      </c>
      <c r="K91" s="63">
        <v>25</v>
      </c>
      <c r="L91" s="3" t="s">
        <v>12</v>
      </c>
      <c r="M91" s="63">
        <v>19</v>
      </c>
    </row>
    <row r="92" spans="1:13" x14ac:dyDescent="0.3">
      <c r="A92" s="17">
        <v>164</v>
      </c>
      <c r="B92" s="4">
        <v>72.53</v>
      </c>
      <c r="C92" s="4">
        <v>24.61</v>
      </c>
      <c r="D92" s="63">
        <v>2010</v>
      </c>
      <c r="E92" s="63">
        <v>11</v>
      </c>
      <c r="F92" s="63">
        <v>5</v>
      </c>
      <c r="G92" s="2">
        <v>3.8618000000000001</v>
      </c>
      <c r="H92" s="3" t="s">
        <v>26</v>
      </c>
      <c r="I92" s="63">
        <v>10</v>
      </c>
      <c r="J92" s="63">
        <v>21</v>
      </c>
      <c r="K92" s="63">
        <v>27</v>
      </c>
      <c r="L92" s="3" t="s">
        <v>27</v>
      </c>
      <c r="M92" s="63">
        <v>19</v>
      </c>
    </row>
    <row r="93" spans="1:13" x14ac:dyDescent="0.3">
      <c r="A93" s="17">
        <v>117</v>
      </c>
      <c r="B93" s="4">
        <v>73.709999999999994</v>
      </c>
      <c r="C93" s="4">
        <v>24.68</v>
      </c>
      <c r="D93" s="63">
        <v>2002</v>
      </c>
      <c r="E93" s="63">
        <v>9</v>
      </c>
      <c r="F93" s="63">
        <v>13</v>
      </c>
      <c r="G93" s="2">
        <v>4.1402000000000001</v>
      </c>
      <c r="H93" s="3" t="s">
        <v>26</v>
      </c>
      <c r="I93" s="63">
        <v>10</v>
      </c>
      <c r="J93" s="63">
        <v>19</v>
      </c>
      <c r="K93" s="63">
        <v>5</v>
      </c>
      <c r="L93" s="3" t="s">
        <v>27</v>
      </c>
      <c r="M93" s="63">
        <v>19</v>
      </c>
    </row>
    <row r="94" spans="1:13" x14ac:dyDescent="0.3">
      <c r="A94" s="17">
        <v>52</v>
      </c>
      <c r="B94" s="4">
        <v>73.3</v>
      </c>
      <c r="C94" s="4">
        <v>24.7</v>
      </c>
      <c r="D94" s="63">
        <v>1996</v>
      </c>
      <c r="E94" s="63">
        <v>1</v>
      </c>
      <c r="F94" s="63">
        <v>4</v>
      </c>
      <c r="G94" s="2">
        <v>4.3</v>
      </c>
      <c r="H94" s="3" t="s">
        <v>26</v>
      </c>
      <c r="I94" s="63">
        <v>33</v>
      </c>
      <c r="J94" s="63">
        <v>13</v>
      </c>
      <c r="K94" s="63">
        <v>0</v>
      </c>
      <c r="L94" s="3" t="s">
        <v>27</v>
      </c>
      <c r="M94" s="63">
        <v>19</v>
      </c>
    </row>
    <row r="95" spans="1:13" x14ac:dyDescent="0.3">
      <c r="A95" s="17">
        <v>32</v>
      </c>
      <c r="B95" s="4">
        <v>72.495599999999996</v>
      </c>
      <c r="C95" s="4">
        <v>24.768999999999998</v>
      </c>
      <c r="D95" s="63">
        <v>1969</v>
      </c>
      <c r="E95" s="63">
        <v>10</v>
      </c>
      <c r="F95" s="63">
        <v>24</v>
      </c>
      <c r="G95" s="2">
        <v>5.3458699999999997</v>
      </c>
      <c r="H95" s="3" t="s">
        <v>26</v>
      </c>
      <c r="I95" s="63">
        <v>30.2</v>
      </c>
      <c r="J95" s="63">
        <v>11</v>
      </c>
      <c r="K95" s="63">
        <v>45</v>
      </c>
      <c r="L95" s="3" t="s">
        <v>10</v>
      </c>
      <c r="M95" s="63">
        <v>19</v>
      </c>
    </row>
    <row r="96" spans="1:13" x14ac:dyDescent="0.3">
      <c r="A96" s="17">
        <v>185</v>
      </c>
      <c r="B96" s="4">
        <v>72.19</v>
      </c>
      <c r="C96" s="4">
        <v>24.84</v>
      </c>
      <c r="D96" s="63">
        <v>2016</v>
      </c>
      <c r="E96" s="63">
        <v>2</v>
      </c>
      <c r="F96" s="63">
        <v>24</v>
      </c>
      <c r="G96" s="2">
        <v>4.0705999999999998</v>
      </c>
      <c r="H96" s="3" t="s">
        <v>26</v>
      </c>
      <c r="I96" s="63">
        <v>10</v>
      </c>
      <c r="J96" s="63">
        <v>7</v>
      </c>
      <c r="K96" s="63">
        <v>36</v>
      </c>
      <c r="L96" s="3" t="s">
        <v>27</v>
      </c>
      <c r="M96" s="63">
        <v>19</v>
      </c>
    </row>
    <row r="97" spans="1:13" x14ac:dyDescent="0.3">
      <c r="A97" s="17">
        <v>76</v>
      </c>
      <c r="B97" s="4">
        <v>73.64</v>
      </c>
      <c r="C97" s="4">
        <v>24.88</v>
      </c>
      <c r="D97" s="63">
        <v>1998</v>
      </c>
      <c r="E97" s="63">
        <v>12</v>
      </c>
      <c r="F97" s="63">
        <v>27</v>
      </c>
      <c r="G97" s="2">
        <v>4.0705999999999998</v>
      </c>
      <c r="H97" s="3" t="s">
        <v>26</v>
      </c>
      <c r="I97" s="63">
        <v>5</v>
      </c>
      <c r="J97" s="63">
        <v>1</v>
      </c>
      <c r="K97" s="63">
        <v>44</v>
      </c>
      <c r="L97" s="3" t="s">
        <v>27</v>
      </c>
      <c r="M97" s="63">
        <v>19</v>
      </c>
    </row>
    <row r="98" spans="1:13" x14ac:dyDescent="0.3">
      <c r="A98" s="17">
        <v>109</v>
      </c>
      <c r="B98" s="4">
        <v>73.568600000000004</v>
      </c>
      <c r="C98" s="4">
        <v>24.917999999999999</v>
      </c>
      <c r="D98" s="63">
        <v>2002</v>
      </c>
      <c r="E98" s="63">
        <v>1</v>
      </c>
      <c r="F98" s="63">
        <v>22</v>
      </c>
      <c r="G98" s="2">
        <v>4.5155299999999992</v>
      </c>
      <c r="H98" s="3" t="s">
        <v>26</v>
      </c>
      <c r="I98" s="63">
        <v>10</v>
      </c>
      <c r="J98" s="63">
        <v>11</v>
      </c>
      <c r="K98" s="63">
        <v>29</v>
      </c>
      <c r="L98" s="3" t="s">
        <v>12</v>
      </c>
      <c r="M98" s="63">
        <v>19</v>
      </c>
    </row>
    <row r="99" spans="1:13" x14ac:dyDescent="0.3">
      <c r="A99" s="17">
        <v>129</v>
      </c>
      <c r="B99" s="4">
        <v>73.61</v>
      </c>
      <c r="C99" s="4">
        <v>24.94</v>
      </c>
      <c r="D99" s="63">
        <v>2004</v>
      </c>
      <c r="E99" s="63">
        <v>6</v>
      </c>
      <c r="F99" s="63">
        <v>17</v>
      </c>
      <c r="G99" s="2">
        <v>4.4882</v>
      </c>
      <c r="H99" s="3" t="s">
        <v>26</v>
      </c>
      <c r="I99" s="63">
        <v>6</v>
      </c>
      <c r="J99" s="63">
        <v>14</v>
      </c>
      <c r="K99" s="63">
        <v>11</v>
      </c>
      <c r="L99" s="3" t="s">
        <v>27</v>
      </c>
      <c r="M99" s="63">
        <v>19</v>
      </c>
    </row>
    <row r="100" spans="1:13" x14ac:dyDescent="0.3">
      <c r="A100" s="17">
        <v>13</v>
      </c>
      <c r="B100" s="15">
        <v>75</v>
      </c>
      <c r="C100" s="15">
        <v>21.4</v>
      </c>
      <c r="D100" s="16">
        <v>1847</v>
      </c>
      <c r="E100" s="16">
        <v>5</v>
      </c>
      <c r="F100" s="16">
        <v>27</v>
      </c>
      <c r="G100" s="2">
        <v>6.5</v>
      </c>
      <c r="H100" s="3" t="s">
        <v>26</v>
      </c>
      <c r="I100" s="16">
        <v>0</v>
      </c>
      <c r="J100" s="16">
        <v>0</v>
      </c>
      <c r="K100" s="16">
        <v>0</v>
      </c>
      <c r="L100" s="11">
        <v>2</v>
      </c>
      <c r="M100" s="63">
        <v>19</v>
      </c>
    </row>
    <row r="101" spans="1:13" x14ac:dyDescent="0.3">
      <c r="A101" s="17">
        <v>19</v>
      </c>
      <c r="B101" s="15">
        <v>75</v>
      </c>
      <c r="C101" s="15">
        <v>22</v>
      </c>
      <c r="D101" s="16">
        <v>1863</v>
      </c>
      <c r="E101" s="16">
        <v>11</v>
      </c>
      <c r="F101" s="16">
        <v>18</v>
      </c>
      <c r="G101" s="2">
        <v>5</v>
      </c>
      <c r="H101" s="3" t="s">
        <v>26</v>
      </c>
      <c r="I101" s="16">
        <v>0</v>
      </c>
      <c r="J101" s="16">
        <v>0</v>
      </c>
      <c r="K101" s="16">
        <v>0</v>
      </c>
      <c r="L101" s="11">
        <v>2</v>
      </c>
      <c r="M101" s="63">
        <v>19</v>
      </c>
    </row>
    <row r="102" spans="1:13" x14ac:dyDescent="0.3">
      <c r="A102" s="17">
        <v>120</v>
      </c>
      <c r="B102" s="4">
        <v>76.36</v>
      </c>
      <c r="C102" s="4">
        <v>21.28</v>
      </c>
      <c r="D102" s="63">
        <v>2002</v>
      </c>
      <c r="E102" s="63">
        <v>11</v>
      </c>
      <c r="F102" s="63">
        <v>3</v>
      </c>
      <c r="G102" s="2">
        <v>3.7921999999999998</v>
      </c>
      <c r="H102" s="3" t="s">
        <v>26</v>
      </c>
      <c r="I102" s="63">
        <v>10</v>
      </c>
      <c r="J102" s="63">
        <v>3</v>
      </c>
      <c r="K102" s="63">
        <v>27</v>
      </c>
      <c r="L102" s="3" t="s">
        <v>27</v>
      </c>
      <c r="M102" s="63">
        <v>20</v>
      </c>
    </row>
    <row r="103" spans="1:13" x14ac:dyDescent="0.3">
      <c r="A103" s="17">
        <v>169</v>
      </c>
      <c r="B103" s="4">
        <v>76.510000000000005</v>
      </c>
      <c r="C103" s="4">
        <v>21.3</v>
      </c>
      <c r="D103" s="63">
        <v>2012</v>
      </c>
      <c r="E103" s="63">
        <v>9</v>
      </c>
      <c r="F103" s="63">
        <v>12</v>
      </c>
      <c r="G103" s="2">
        <v>3.8618000000000001</v>
      </c>
      <c r="H103" s="3" t="s">
        <v>26</v>
      </c>
      <c r="I103" s="63">
        <v>20</v>
      </c>
      <c r="J103" s="63">
        <v>22</v>
      </c>
      <c r="K103" s="63">
        <v>4</v>
      </c>
      <c r="L103" s="3" t="s">
        <v>27</v>
      </c>
      <c r="M103" s="63">
        <v>20</v>
      </c>
    </row>
    <row r="104" spans="1:13" x14ac:dyDescent="0.3">
      <c r="A104" s="17">
        <v>115</v>
      </c>
      <c r="B104" s="4">
        <v>75.209999999999994</v>
      </c>
      <c r="C104" s="4">
        <v>21.37</v>
      </c>
      <c r="D104" s="63">
        <v>2002</v>
      </c>
      <c r="E104" s="63">
        <v>5</v>
      </c>
      <c r="F104" s="63">
        <v>20</v>
      </c>
      <c r="G104" s="2">
        <v>4.3490000000000002</v>
      </c>
      <c r="H104" s="3" t="s">
        <v>26</v>
      </c>
      <c r="I104" s="63">
        <v>15</v>
      </c>
      <c r="J104" s="63">
        <v>0</v>
      </c>
      <c r="K104" s="63">
        <v>55</v>
      </c>
      <c r="L104" s="3" t="s">
        <v>27</v>
      </c>
      <c r="M104" s="63">
        <v>20</v>
      </c>
    </row>
    <row r="105" spans="1:13" x14ac:dyDescent="0.3">
      <c r="A105" s="17">
        <v>116</v>
      </c>
      <c r="B105" s="4">
        <v>75.66</v>
      </c>
      <c r="C105" s="4">
        <v>21.37</v>
      </c>
      <c r="D105" s="63">
        <v>2002</v>
      </c>
      <c r="E105" s="63">
        <v>8</v>
      </c>
      <c r="F105" s="63">
        <v>31</v>
      </c>
      <c r="G105" s="2">
        <v>3.8618000000000001</v>
      </c>
      <c r="H105" s="3" t="s">
        <v>26</v>
      </c>
      <c r="I105" s="63">
        <v>10</v>
      </c>
      <c r="J105" s="63">
        <v>17</v>
      </c>
      <c r="K105" s="63">
        <v>12</v>
      </c>
      <c r="L105" s="3" t="s">
        <v>27</v>
      </c>
      <c r="M105" s="63">
        <v>20</v>
      </c>
    </row>
    <row r="106" spans="1:13" x14ac:dyDescent="0.3">
      <c r="A106" s="17">
        <v>122</v>
      </c>
      <c r="B106" s="4">
        <v>77.264499999999998</v>
      </c>
      <c r="C106" s="4">
        <v>21.372299999999999</v>
      </c>
      <c r="D106" s="63">
        <v>2003</v>
      </c>
      <c r="E106" s="63">
        <v>3</v>
      </c>
      <c r="F106" s="63">
        <v>10</v>
      </c>
      <c r="G106" s="2">
        <v>4.6426999999999996</v>
      </c>
      <c r="H106" s="3" t="s">
        <v>26</v>
      </c>
      <c r="I106" s="63">
        <v>23.9</v>
      </c>
      <c r="J106" s="63">
        <v>22</v>
      </c>
      <c r="K106" s="63">
        <v>45</v>
      </c>
      <c r="L106" s="3" t="s">
        <v>10</v>
      </c>
      <c r="M106" s="63">
        <v>20</v>
      </c>
    </row>
    <row r="107" spans="1:13" x14ac:dyDescent="0.3">
      <c r="A107" s="17">
        <v>136</v>
      </c>
      <c r="B107" s="4">
        <v>76.28</v>
      </c>
      <c r="C107" s="4">
        <v>21.46</v>
      </c>
      <c r="D107" s="63">
        <v>2005</v>
      </c>
      <c r="E107" s="63">
        <v>4</v>
      </c>
      <c r="F107" s="63">
        <v>1</v>
      </c>
      <c r="G107" s="2">
        <v>4.0009999999999994</v>
      </c>
      <c r="H107" s="3" t="s">
        <v>26</v>
      </c>
      <c r="I107" s="63">
        <v>17</v>
      </c>
      <c r="J107" s="63">
        <v>22</v>
      </c>
      <c r="K107" s="63">
        <v>10</v>
      </c>
      <c r="L107" s="3" t="s">
        <v>27</v>
      </c>
      <c r="M107" s="63">
        <v>20</v>
      </c>
    </row>
    <row r="108" spans="1:13" x14ac:dyDescent="0.3">
      <c r="A108" s="17">
        <v>29</v>
      </c>
      <c r="B108" s="15">
        <v>75.75</v>
      </c>
      <c r="C108" s="15">
        <v>21.5</v>
      </c>
      <c r="D108" s="16">
        <v>1938</v>
      </c>
      <c r="E108" s="16">
        <v>3</v>
      </c>
      <c r="F108" s="16">
        <v>14</v>
      </c>
      <c r="G108" s="2">
        <v>6.2</v>
      </c>
      <c r="H108" s="3" t="s">
        <v>26</v>
      </c>
      <c r="I108" s="16">
        <v>50</v>
      </c>
      <c r="J108" s="16">
        <v>0</v>
      </c>
      <c r="K108" s="16">
        <v>48</v>
      </c>
      <c r="L108" s="11">
        <v>1</v>
      </c>
      <c r="M108" s="63">
        <v>20</v>
      </c>
    </row>
    <row r="109" spans="1:13" x14ac:dyDescent="0.3">
      <c r="A109" s="17">
        <v>90</v>
      </c>
      <c r="B109" s="4">
        <v>75.510000000000005</v>
      </c>
      <c r="C109" s="4">
        <v>21.51</v>
      </c>
      <c r="D109" s="63">
        <v>2000</v>
      </c>
      <c r="E109" s="63">
        <v>7</v>
      </c>
      <c r="F109" s="63">
        <v>10</v>
      </c>
      <c r="G109" s="2">
        <v>4.0705999999999998</v>
      </c>
      <c r="H109" s="3" t="s">
        <v>26</v>
      </c>
      <c r="I109" s="63">
        <v>20</v>
      </c>
      <c r="J109" s="63">
        <v>17</v>
      </c>
      <c r="K109" s="63">
        <v>36</v>
      </c>
      <c r="L109" s="3" t="s">
        <v>27</v>
      </c>
      <c r="M109" s="63">
        <v>20</v>
      </c>
    </row>
    <row r="110" spans="1:13" x14ac:dyDescent="0.3">
      <c r="A110" s="17">
        <v>63</v>
      </c>
      <c r="B110" s="4">
        <v>75.25</v>
      </c>
      <c r="C110" s="4">
        <v>21.55</v>
      </c>
      <c r="D110" s="63">
        <v>1997</v>
      </c>
      <c r="E110" s="63">
        <v>11</v>
      </c>
      <c r="F110" s="63">
        <v>13</v>
      </c>
      <c r="G110" s="2">
        <v>4.8770899999999999</v>
      </c>
      <c r="H110" s="3" t="s">
        <v>26</v>
      </c>
      <c r="I110" s="63">
        <v>8</v>
      </c>
      <c r="J110" s="63">
        <v>20</v>
      </c>
      <c r="K110" s="63">
        <v>17</v>
      </c>
      <c r="L110" s="3" t="s">
        <v>12</v>
      </c>
      <c r="M110" s="63">
        <v>20</v>
      </c>
    </row>
    <row r="111" spans="1:13" x14ac:dyDescent="0.3">
      <c r="A111" s="17">
        <v>160</v>
      </c>
      <c r="B111" s="4">
        <v>76.930000000000007</v>
      </c>
      <c r="C111" s="4">
        <v>21.56</v>
      </c>
      <c r="D111" s="63">
        <v>2010</v>
      </c>
      <c r="E111" s="63">
        <v>1</v>
      </c>
      <c r="F111" s="63">
        <v>25</v>
      </c>
      <c r="G111" s="2">
        <v>4.0009999999999994</v>
      </c>
      <c r="H111" s="3" t="s">
        <v>26</v>
      </c>
      <c r="I111" s="63">
        <v>10</v>
      </c>
      <c r="J111" s="63">
        <v>22</v>
      </c>
      <c r="K111" s="63">
        <v>30</v>
      </c>
      <c r="L111" s="3" t="s">
        <v>27</v>
      </c>
      <c r="M111" s="63">
        <v>20</v>
      </c>
    </row>
    <row r="112" spans="1:13" x14ac:dyDescent="0.3">
      <c r="A112" s="17">
        <v>124</v>
      </c>
      <c r="B112" s="4">
        <v>76.038600000000002</v>
      </c>
      <c r="C112" s="4">
        <v>21.5685</v>
      </c>
      <c r="D112" s="63">
        <v>2003</v>
      </c>
      <c r="E112" s="63">
        <v>11</v>
      </c>
      <c r="F112" s="63">
        <v>22</v>
      </c>
      <c r="G112" s="2">
        <v>4.3301800000000004</v>
      </c>
      <c r="H112" s="3" t="s">
        <v>26</v>
      </c>
      <c r="I112" s="63">
        <v>35</v>
      </c>
      <c r="J112" s="63">
        <v>0</v>
      </c>
      <c r="K112" s="63">
        <v>18</v>
      </c>
      <c r="L112" s="3" t="s">
        <v>10</v>
      </c>
      <c r="M112" s="63">
        <v>20</v>
      </c>
    </row>
    <row r="113" spans="1:13" x14ac:dyDescent="0.3">
      <c r="A113" s="17">
        <v>158</v>
      </c>
      <c r="B113" s="4">
        <v>75.331999999999994</v>
      </c>
      <c r="C113" s="4">
        <v>21.585000000000001</v>
      </c>
      <c r="D113" s="63">
        <v>2009</v>
      </c>
      <c r="E113" s="63">
        <v>1</v>
      </c>
      <c r="F113" s="63">
        <v>4</v>
      </c>
      <c r="G113" s="2">
        <v>4.7208299999999994</v>
      </c>
      <c r="H113" s="3" t="s">
        <v>26</v>
      </c>
      <c r="I113" s="63">
        <v>10</v>
      </c>
      <c r="J113" s="63">
        <v>5</v>
      </c>
      <c r="K113" s="63">
        <v>20</v>
      </c>
      <c r="L113" s="3" t="s">
        <v>25</v>
      </c>
      <c r="M113" s="63">
        <v>20</v>
      </c>
    </row>
    <row r="114" spans="1:13" x14ac:dyDescent="0.3">
      <c r="A114" s="17">
        <v>74</v>
      </c>
      <c r="B114" s="4">
        <v>76.38</v>
      </c>
      <c r="C114" s="4">
        <v>21.63</v>
      </c>
      <c r="D114" s="63">
        <v>1998</v>
      </c>
      <c r="E114" s="63">
        <v>11</v>
      </c>
      <c r="F114" s="63">
        <v>5</v>
      </c>
      <c r="G114" s="2">
        <v>4.0705999999999998</v>
      </c>
      <c r="H114" s="3" t="s">
        <v>26</v>
      </c>
      <c r="I114" s="63">
        <v>10</v>
      </c>
      <c r="J114" s="63">
        <v>11</v>
      </c>
      <c r="K114" s="63">
        <v>12</v>
      </c>
      <c r="L114" s="3" t="s">
        <v>27</v>
      </c>
      <c r="M114" s="63">
        <v>20</v>
      </c>
    </row>
    <row r="115" spans="1:13" x14ac:dyDescent="0.3">
      <c r="A115" s="17">
        <v>128</v>
      </c>
      <c r="B115" s="4">
        <v>75.8</v>
      </c>
      <c r="C115" s="4">
        <v>21.69</v>
      </c>
      <c r="D115" s="63">
        <v>2004</v>
      </c>
      <c r="E115" s="63">
        <v>3</v>
      </c>
      <c r="F115" s="63">
        <v>1</v>
      </c>
      <c r="G115" s="2">
        <v>3.8618000000000001</v>
      </c>
      <c r="H115" s="3" t="s">
        <v>26</v>
      </c>
      <c r="I115" s="63">
        <v>10</v>
      </c>
      <c r="J115" s="63">
        <v>12</v>
      </c>
      <c r="K115" s="63">
        <v>8</v>
      </c>
      <c r="L115" s="3" t="s">
        <v>27</v>
      </c>
      <c r="M115" s="63">
        <v>20</v>
      </c>
    </row>
    <row r="116" spans="1:13" x14ac:dyDescent="0.3">
      <c r="A116" s="17">
        <v>73</v>
      </c>
      <c r="B116" s="4">
        <v>76.900000000000006</v>
      </c>
      <c r="C116" s="4">
        <v>21.69</v>
      </c>
      <c r="D116" s="63">
        <v>1998</v>
      </c>
      <c r="E116" s="63">
        <v>10</v>
      </c>
      <c r="F116" s="63">
        <v>20</v>
      </c>
      <c r="G116" s="2">
        <v>4.1402000000000001</v>
      </c>
      <c r="H116" s="3" t="s">
        <v>26</v>
      </c>
      <c r="I116" s="63">
        <v>2</v>
      </c>
      <c r="J116" s="63">
        <v>14</v>
      </c>
      <c r="K116" s="63">
        <v>35</v>
      </c>
      <c r="L116" s="3" t="s">
        <v>27</v>
      </c>
      <c r="M116" s="63">
        <v>20</v>
      </c>
    </row>
    <row r="117" spans="1:13" x14ac:dyDescent="0.3">
      <c r="A117" s="17">
        <v>91</v>
      </c>
      <c r="B117" s="4">
        <v>75.17</v>
      </c>
      <c r="C117" s="4">
        <v>21.72</v>
      </c>
      <c r="D117" s="63">
        <v>2000</v>
      </c>
      <c r="E117" s="63">
        <v>7</v>
      </c>
      <c r="F117" s="63">
        <v>24</v>
      </c>
      <c r="G117" s="2">
        <v>3.8618000000000001</v>
      </c>
      <c r="H117" s="3" t="s">
        <v>26</v>
      </c>
      <c r="I117" s="63">
        <v>15</v>
      </c>
      <c r="J117" s="63">
        <v>14</v>
      </c>
      <c r="K117" s="63">
        <v>49</v>
      </c>
      <c r="L117" s="3" t="s">
        <v>27</v>
      </c>
      <c r="M117" s="63">
        <v>20</v>
      </c>
    </row>
    <row r="118" spans="1:13" x14ac:dyDescent="0.3">
      <c r="A118" s="17">
        <v>18</v>
      </c>
      <c r="B118" s="15">
        <v>75.3</v>
      </c>
      <c r="C118" s="15">
        <v>21.8</v>
      </c>
      <c r="D118" s="16">
        <v>1863</v>
      </c>
      <c r="E118" s="16">
        <v>11</v>
      </c>
      <c r="F118" s="16">
        <v>8</v>
      </c>
      <c r="G118" s="2">
        <v>5.7</v>
      </c>
      <c r="H118" s="3" t="s">
        <v>26</v>
      </c>
      <c r="I118" s="16">
        <v>0</v>
      </c>
      <c r="J118" s="16">
        <v>0</v>
      </c>
      <c r="K118" s="16">
        <v>0</v>
      </c>
      <c r="L118" s="11">
        <v>11</v>
      </c>
      <c r="M118" s="63">
        <v>20</v>
      </c>
    </row>
    <row r="119" spans="1:13" x14ac:dyDescent="0.3">
      <c r="A119" s="17">
        <v>131</v>
      </c>
      <c r="B119" s="4">
        <v>75.323999999999998</v>
      </c>
      <c r="C119" s="4">
        <v>21.858000000000001</v>
      </c>
      <c r="D119" s="63">
        <v>2004</v>
      </c>
      <c r="E119" s="63">
        <v>10</v>
      </c>
      <c r="F119" s="63">
        <v>28</v>
      </c>
      <c r="G119" s="2">
        <v>3.5630600000000001</v>
      </c>
      <c r="H119" s="3" t="s">
        <v>26</v>
      </c>
      <c r="I119" s="63">
        <v>13.4</v>
      </c>
      <c r="J119" s="63">
        <v>23</v>
      </c>
      <c r="K119" s="63">
        <v>41</v>
      </c>
      <c r="L119" s="3" t="s">
        <v>12</v>
      </c>
      <c r="M119" s="63">
        <v>20</v>
      </c>
    </row>
    <row r="120" spans="1:13" x14ac:dyDescent="0.3">
      <c r="A120" s="17">
        <v>178</v>
      </c>
      <c r="B120" s="4">
        <v>75.14</v>
      </c>
      <c r="C120" s="4">
        <v>21.87</v>
      </c>
      <c r="D120" s="63">
        <v>2014</v>
      </c>
      <c r="E120" s="63">
        <v>8</v>
      </c>
      <c r="F120" s="63">
        <v>20</v>
      </c>
      <c r="G120" s="2">
        <v>4.2097999999999995</v>
      </c>
      <c r="H120" s="3" t="s">
        <v>26</v>
      </c>
      <c r="I120" s="63">
        <v>6</v>
      </c>
      <c r="J120" s="63">
        <v>6</v>
      </c>
      <c r="K120" s="63">
        <v>59</v>
      </c>
      <c r="L120" s="3" t="s">
        <v>27</v>
      </c>
      <c r="M120" s="63">
        <v>20</v>
      </c>
    </row>
    <row r="121" spans="1:13" x14ac:dyDescent="0.3">
      <c r="A121" s="17">
        <v>72</v>
      </c>
      <c r="B121" s="4">
        <v>75.92</v>
      </c>
      <c r="C121" s="4">
        <v>21.87</v>
      </c>
      <c r="D121" s="63">
        <v>1998</v>
      </c>
      <c r="E121" s="63">
        <v>10</v>
      </c>
      <c r="F121" s="63">
        <v>11</v>
      </c>
      <c r="G121" s="2">
        <v>3.8618000000000001</v>
      </c>
      <c r="H121" s="3" t="s">
        <v>26</v>
      </c>
      <c r="I121" s="63">
        <v>1</v>
      </c>
      <c r="J121" s="63">
        <v>17</v>
      </c>
      <c r="K121" s="63">
        <v>51</v>
      </c>
      <c r="L121" s="3" t="s">
        <v>27</v>
      </c>
      <c r="M121" s="63">
        <v>20</v>
      </c>
    </row>
    <row r="122" spans="1:13" x14ac:dyDescent="0.3">
      <c r="A122" s="17">
        <v>71</v>
      </c>
      <c r="B122" s="4">
        <v>75.75</v>
      </c>
      <c r="C122" s="4">
        <v>22.11</v>
      </c>
      <c r="D122" s="63">
        <v>1998</v>
      </c>
      <c r="E122" s="63">
        <v>9</v>
      </c>
      <c r="F122" s="63">
        <v>14</v>
      </c>
      <c r="G122" s="2">
        <v>3.6688899999999998</v>
      </c>
      <c r="H122" s="3" t="s">
        <v>26</v>
      </c>
      <c r="I122" s="63">
        <v>15</v>
      </c>
      <c r="J122" s="63">
        <v>2</v>
      </c>
      <c r="K122" s="63">
        <v>12</v>
      </c>
      <c r="L122" s="3" t="s">
        <v>27</v>
      </c>
      <c r="M122" s="63">
        <v>20</v>
      </c>
    </row>
    <row r="123" spans="1:13" x14ac:dyDescent="0.3">
      <c r="A123" s="17">
        <v>80</v>
      </c>
      <c r="B123" s="4">
        <v>77.19</v>
      </c>
      <c r="C123" s="4">
        <v>22.12</v>
      </c>
      <c r="D123" s="63">
        <v>1999</v>
      </c>
      <c r="E123" s="63">
        <v>5</v>
      </c>
      <c r="F123" s="63">
        <v>11</v>
      </c>
      <c r="G123" s="2">
        <v>3.7921999999999998</v>
      </c>
      <c r="H123" s="3" t="s">
        <v>26</v>
      </c>
      <c r="I123" s="63">
        <v>5</v>
      </c>
      <c r="J123" s="63">
        <v>7</v>
      </c>
      <c r="K123" s="63">
        <v>26</v>
      </c>
      <c r="L123" s="3" t="s">
        <v>27</v>
      </c>
      <c r="M123" s="63">
        <v>20</v>
      </c>
    </row>
    <row r="124" spans="1:13" x14ac:dyDescent="0.3">
      <c r="A124" s="17">
        <v>53</v>
      </c>
      <c r="B124" s="4">
        <v>77.644499999999994</v>
      </c>
      <c r="C124" s="4">
        <v>22.251899999999999</v>
      </c>
      <c r="D124" s="63">
        <v>1996</v>
      </c>
      <c r="E124" s="63">
        <v>1</v>
      </c>
      <c r="F124" s="63">
        <v>10</v>
      </c>
      <c r="G124" s="2">
        <v>4.7208299999999994</v>
      </c>
      <c r="H124" s="3" t="s">
        <v>26</v>
      </c>
      <c r="I124" s="63">
        <v>35</v>
      </c>
      <c r="J124" s="63">
        <v>10</v>
      </c>
      <c r="K124" s="63">
        <v>37</v>
      </c>
      <c r="L124" s="3" t="s">
        <v>10</v>
      </c>
      <c r="M124" s="63">
        <v>20</v>
      </c>
    </row>
    <row r="125" spans="1:13" x14ac:dyDescent="0.3">
      <c r="A125" s="17">
        <v>144</v>
      </c>
      <c r="B125" s="4">
        <v>77.77</v>
      </c>
      <c r="C125" s="4">
        <v>22.43</v>
      </c>
      <c r="D125" s="63">
        <v>2006</v>
      </c>
      <c r="E125" s="63">
        <v>3</v>
      </c>
      <c r="F125" s="63">
        <v>7</v>
      </c>
      <c r="G125" s="2">
        <v>3.9314</v>
      </c>
      <c r="H125" s="3" t="s">
        <v>26</v>
      </c>
      <c r="I125" s="63">
        <v>15</v>
      </c>
      <c r="J125" s="63">
        <v>10</v>
      </c>
      <c r="K125" s="63">
        <v>9</v>
      </c>
      <c r="L125" s="3" t="s">
        <v>27</v>
      </c>
      <c r="M125" s="63">
        <v>20</v>
      </c>
    </row>
    <row r="126" spans="1:13" x14ac:dyDescent="0.3">
      <c r="A126" s="17">
        <v>170</v>
      </c>
      <c r="B126" s="4">
        <v>76.3</v>
      </c>
      <c r="C126" s="4">
        <v>22.6</v>
      </c>
      <c r="D126" s="63">
        <v>2012</v>
      </c>
      <c r="E126" s="63">
        <v>11</v>
      </c>
      <c r="F126" s="63">
        <v>20</v>
      </c>
      <c r="G126" s="2">
        <v>4.0705999999999998</v>
      </c>
      <c r="H126" s="3" t="s">
        <v>26</v>
      </c>
      <c r="I126" s="63">
        <v>15</v>
      </c>
      <c r="J126" s="63">
        <v>9</v>
      </c>
      <c r="K126" s="63">
        <v>45</v>
      </c>
      <c r="L126" s="3" t="s">
        <v>27</v>
      </c>
      <c r="M126" s="63">
        <v>20</v>
      </c>
    </row>
    <row r="127" spans="1:13" x14ac:dyDescent="0.3">
      <c r="A127" s="17">
        <v>99</v>
      </c>
      <c r="B127" s="4">
        <v>75.400000000000006</v>
      </c>
      <c r="C127" s="4">
        <v>22.73</v>
      </c>
      <c r="D127" s="63">
        <v>2001</v>
      </c>
      <c r="E127" s="63">
        <v>1</v>
      </c>
      <c r="F127" s="63">
        <v>13</v>
      </c>
      <c r="G127" s="2">
        <v>4.0705999999999998</v>
      </c>
      <c r="H127" s="3" t="s">
        <v>26</v>
      </c>
      <c r="I127" s="63">
        <v>2</v>
      </c>
      <c r="J127" s="63">
        <v>5</v>
      </c>
      <c r="K127" s="63">
        <v>6</v>
      </c>
      <c r="L127" s="3" t="s">
        <v>27</v>
      </c>
      <c r="M127" s="63">
        <v>20</v>
      </c>
    </row>
    <row r="128" spans="1:13" x14ac:dyDescent="0.3">
      <c r="A128" s="17">
        <v>35</v>
      </c>
      <c r="B128" s="15">
        <v>75.36</v>
      </c>
      <c r="C128" s="15">
        <v>23.56</v>
      </c>
      <c r="D128" s="16">
        <v>1978</v>
      </c>
      <c r="E128" s="16">
        <v>9</v>
      </c>
      <c r="F128" s="16">
        <v>27</v>
      </c>
      <c r="G128" s="2">
        <v>4.9000000000000004</v>
      </c>
      <c r="H128" s="3" t="s">
        <v>26</v>
      </c>
      <c r="I128" s="16">
        <v>0</v>
      </c>
      <c r="J128" s="16">
        <v>22</v>
      </c>
      <c r="K128" s="16">
        <v>54</v>
      </c>
      <c r="L128" s="11">
        <v>1</v>
      </c>
      <c r="M128" s="63">
        <v>20</v>
      </c>
    </row>
    <row r="129" spans="1:13" x14ac:dyDescent="0.3">
      <c r="A129" s="17">
        <v>54</v>
      </c>
      <c r="B129" s="4">
        <v>76.099999999999994</v>
      </c>
      <c r="C129" s="4">
        <v>24.1</v>
      </c>
      <c r="D129" s="63">
        <v>1996</v>
      </c>
      <c r="E129" s="63">
        <v>2</v>
      </c>
      <c r="F129" s="63">
        <v>13</v>
      </c>
      <c r="G129" s="2">
        <v>3.6</v>
      </c>
      <c r="H129" s="3" t="s">
        <v>26</v>
      </c>
      <c r="I129" s="63">
        <v>33</v>
      </c>
      <c r="J129" s="63">
        <v>1</v>
      </c>
      <c r="K129" s="63">
        <v>50</v>
      </c>
      <c r="L129" s="3" t="s">
        <v>27</v>
      </c>
      <c r="M129" s="63">
        <v>20</v>
      </c>
    </row>
    <row r="130" spans="1:13" x14ac:dyDescent="0.3">
      <c r="A130" s="17">
        <v>125</v>
      </c>
      <c r="B130" s="4">
        <v>80.239999999999995</v>
      </c>
      <c r="C130" s="4">
        <v>21.24</v>
      </c>
      <c r="D130" s="63">
        <v>2003</v>
      </c>
      <c r="E130" s="63">
        <v>11</v>
      </c>
      <c r="F130" s="63">
        <v>29</v>
      </c>
      <c r="G130" s="2">
        <v>3.9314</v>
      </c>
      <c r="H130" s="3" t="s">
        <v>26</v>
      </c>
      <c r="I130" s="63">
        <v>13</v>
      </c>
      <c r="J130" s="63">
        <v>12</v>
      </c>
      <c r="K130" s="63">
        <v>35</v>
      </c>
      <c r="L130" s="3" t="s">
        <v>27</v>
      </c>
      <c r="M130" s="63">
        <v>21</v>
      </c>
    </row>
    <row r="131" spans="1:13" x14ac:dyDescent="0.3">
      <c r="A131" s="17">
        <v>182</v>
      </c>
      <c r="B131" s="4">
        <v>80.11</v>
      </c>
      <c r="C131" s="4">
        <v>21.35</v>
      </c>
      <c r="D131" s="63">
        <v>2015</v>
      </c>
      <c r="E131" s="63">
        <v>7</v>
      </c>
      <c r="F131" s="63">
        <v>23</v>
      </c>
      <c r="G131" s="2">
        <v>4.5578000000000003</v>
      </c>
      <c r="H131" s="3" t="s">
        <v>26</v>
      </c>
      <c r="I131" s="63">
        <v>10</v>
      </c>
      <c r="J131" s="63">
        <v>20</v>
      </c>
      <c r="K131" s="63">
        <v>6</v>
      </c>
      <c r="L131" s="3" t="s">
        <v>27</v>
      </c>
      <c r="M131" s="63">
        <v>21</v>
      </c>
    </row>
    <row r="132" spans="1:13" x14ac:dyDescent="0.3">
      <c r="A132" s="17">
        <v>78</v>
      </c>
      <c r="B132" s="4">
        <v>78.55</v>
      </c>
      <c r="C132" s="4">
        <v>21.46</v>
      </c>
      <c r="D132" s="63">
        <v>1999</v>
      </c>
      <c r="E132" s="63">
        <v>2</v>
      </c>
      <c r="F132" s="63">
        <v>27</v>
      </c>
      <c r="G132" s="2">
        <v>4.4185999999999996</v>
      </c>
      <c r="H132" s="3" t="s">
        <v>26</v>
      </c>
      <c r="I132" s="63">
        <v>34</v>
      </c>
      <c r="J132" s="63">
        <v>3</v>
      </c>
      <c r="K132" s="63">
        <v>37</v>
      </c>
      <c r="L132" s="3" t="s">
        <v>27</v>
      </c>
      <c r="M132" s="63">
        <v>21</v>
      </c>
    </row>
    <row r="133" spans="1:13" x14ac:dyDescent="0.3">
      <c r="A133" s="17">
        <v>89</v>
      </c>
      <c r="B133" s="4">
        <v>78.87</v>
      </c>
      <c r="C133" s="4">
        <v>21.95</v>
      </c>
      <c r="D133" s="63">
        <v>2000</v>
      </c>
      <c r="E133" s="63">
        <v>6</v>
      </c>
      <c r="F133" s="63">
        <v>30</v>
      </c>
      <c r="G133" s="2">
        <v>4.0705999999999998</v>
      </c>
      <c r="H133" s="3" t="s">
        <v>26</v>
      </c>
      <c r="I133" s="63">
        <v>15</v>
      </c>
      <c r="J133" s="63">
        <v>19</v>
      </c>
      <c r="K133" s="63">
        <v>27</v>
      </c>
      <c r="L133" s="3" t="s">
        <v>27</v>
      </c>
      <c r="M133" s="63">
        <v>21</v>
      </c>
    </row>
    <row r="134" spans="1:13" x14ac:dyDescent="0.3">
      <c r="A134" s="17">
        <v>30</v>
      </c>
      <c r="B134" s="15">
        <v>80</v>
      </c>
      <c r="C134" s="15">
        <v>22</v>
      </c>
      <c r="D134" s="16">
        <v>1957</v>
      </c>
      <c r="E134" s="16">
        <v>8</v>
      </c>
      <c r="F134" s="16">
        <v>25</v>
      </c>
      <c r="G134" s="2">
        <v>5.5</v>
      </c>
      <c r="H134" s="3" t="s">
        <v>26</v>
      </c>
      <c r="I134" s="16">
        <v>0</v>
      </c>
      <c r="J134" s="16">
        <v>21</v>
      </c>
      <c r="K134" s="16">
        <v>4</v>
      </c>
      <c r="L134" s="11">
        <v>1</v>
      </c>
      <c r="M134" s="63">
        <v>21</v>
      </c>
    </row>
    <row r="135" spans="1:13" x14ac:dyDescent="0.3">
      <c r="A135" s="17">
        <v>214</v>
      </c>
      <c r="B135" s="4">
        <v>79.634200000000007</v>
      </c>
      <c r="C135" s="4">
        <v>22.140699999999999</v>
      </c>
      <c r="D135" s="63">
        <v>2020</v>
      </c>
      <c r="E135" s="63">
        <v>11</v>
      </c>
      <c r="F135" s="63">
        <v>21</v>
      </c>
      <c r="G135" s="2">
        <v>4.8770899999999999</v>
      </c>
      <c r="H135" s="3" t="s">
        <v>26</v>
      </c>
      <c r="I135" s="63">
        <v>10</v>
      </c>
      <c r="J135" s="63">
        <v>20</v>
      </c>
      <c r="K135" s="63">
        <v>15</v>
      </c>
      <c r="L135" s="3" t="s">
        <v>25</v>
      </c>
      <c r="M135" s="63">
        <v>21</v>
      </c>
    </row>
    <row r="136" spans="1:13" x14ac:dyDescent="0.3">
      <c r="A136" s="17">
        <v>147</v>
      </c>
      <c r="B136" s="4">
        <v>79.39</v>
      </c>
      <c r="C136" s="4">
        <v>22.3</v>
      </c>
      <c r="D136" s="63">
        <v>2006</v>
      </c>
      <c r="E136" s="63">
        <v>8</v>
      </c>
      <c r="F136" s="63">
        <v>5</v>
      </c>
      <c r="G136" s="2">
        <v>4.1402000000000001</v>
      </c>
      <c r="H136" s="3" t="s">
        <v>26</v>
      </c>
      <c r="I136" s="63">
        <v>10</v>
      </c>
      <c r="J136" s="63">
        <v>8</v>
      </c>
      <c r="K136" s="63">
        <v>27</v>
      </c>
      <c r="L136" s="3" t="s">
        <v>27</v>
      </c>
      <c r="M136" s="63">
        <v>21</v>
      </c>
    </row>
    <row r="137" spans="1:13" x14ac:dyDescent="0.3">
      <c r="A137" s="17">
        <v>159</v>
      </c>
      <c r="B137" s="4">
        <v>79.7</v>
      </c>
      <c r="C137" s="4">
        <v>22.3</v>
      </c>
      <c r="D137" s="63">
        <v>2009</v>
      </c>
      <c r="E137" s="63">
        <v>8</v>
      </c>
      <c r="F137" s="63">
        <v>2</v>
      </c>
      <c r="G137" s="2">
        <v>4.2097999999999995</v>
      </c>
      <c r="H137" s="3" t="s">
        <v>26</v>
      </c>
      <c r="I137" s="63">
        <v>10</v>
      </c>
      <c r="J137" s="63">
        <v>0</v>
      </c>
      <c r="K137" s="63">
        <v>19</v>
      </c>
      <c r="L137" s="3" t="s">
        <v>27</v>
      </c>
      <c r="M137" s="63">
        <v>21</v>
      </c>
    </row>
    <row r="138" spans="1:13" x14ac:dyDescent="0.3">
      <c r="A138" s="17">
        <v>111</v>
      </c>
      <c r="B138" s="4">
        <v>79.31</v>
      </c>
      <c r="C138" s="4">
        <v>22.31</v>
      </c>
      <c r="D138" s="63">
        <v>2002</v>
      </c>
      <c r="E138" s="63">
        <v>3</v>
      </c>
      <c r="F138" s="63">
        <v>7</v>
      </c>
      <c r="G138" s="2">
        <v>3.8618000000000001</v>
      </c>
      <c r="H138" s="3" t="s">
        <v>26</v>
      </c>
      <c r="I138" s="63">
        <v>37</v>
      </c>
      <c r="J138" s="63">
        <v>0</v>
      </c>
      <c r="K138" s="63">
        <v>54</v>
      </c>
      <c r="L138" s="3" t="s">
        <v>27</v>
      </c>
      <c r="M138" s="63">
        <v>21</v>
      </c>
    </row>
    <row r="139" spans="1:13" x14ac:dyDescent="0.3">
      <c r="A139" s="17">
        <v>167</v>
      </c>
      <c r="B139" s="4">
        <v>78.86</v>
      </c>
      <c r="C139" s="4">
        <v>22.32</v>
      </c>
      <c r="D139" s="63">
        <v>2012</v>
      </c>
      <c r="E139" s="63">
        <v>6</v>
      </c>
      <c r="F139" s="63">
        <v>12</v>
      </c>
      <c r="G139" s="2">
        <v>4.1402000000000001</v>
      </c>
      <c r="H139" s="3" t="s">
        <v>26</v>
      </c>
      <c r="I139" s="63">
        <v>15</v>
      </c>
      <c r="J139" s="63">
        <v>6</v>
      </c>
      <c r="K139" s="63">
        <v>39</v>
      </c>
      <c r="L139" s="3" t="s">
        <v>27</v>
      </c>
      <c r="M139" s="63">
        <v>21</v>
      </c>
    </row>
    <row r="140" spans="1:13" x14ac:dyDescent="0.3">
      <c r="A140" s="17">
        <v>42</v>
      </c>
      <c r="B140" s="4">
        <v>79.259</v>
      </c>
      <c r="C140" s="4">
        <v>22.346</v>
      </c>
      <c r="D140" s="63">
        <v>1987</v>
      </c>
      <c r="E140" s="63">
        <v>4</v>
      </c>
      <c r="F140" s="63">
        <v>18</v>
      </c>
      <c r="G140" s="2">
        <v>5.3458699999999997</v>
      </c>
      <c r="H140" s="3" t="s">
        <v>26</v>
      </c>
      <c r="I140" s="63">
        <v>33</v>
      </c>
      <c r="J140" s="63">
        <v>16</v>
      </c>
      <c r="K140" s="63">
        <v>59</v>
      </c>
      <c r="L140" s="3" t="s">
        <v>25</v>
      </c>
      <c r="M140" s="63">
        <v>21</v>
      </c>
    </row>
    <row r="141" spans="1:13" x14ac:dyDescent="0.3">
      <c r="A141" s="17">
        <v>93</v>
      </c>
      <c r="B141" s="4">
        <v>79.085999999999999</v>
      </c>
      <c r="C141" s="4">
        <v>22.356999999999999</v>
      </c>
      <c r="D141" s="63">
        <v>2000</v>
      </c>
      <c r="E141" s="63">
        <v>9</v>
      </c>
      <c r="F141" s="63">
        <v>12</v>
      </c>
      <c r="G141" s="2">
        <v>4.5155299999999992</v>
      </c>
      <c r="H141" s="3" t="s">
        <v>26</v>
      </c>
      <c r="I141" s="63">
        <v>8.9</v>
      </c>
      <c r="J141" s="63">
        <v>2</v>
      </c>
      <c r="K141" s="63">
        <v>46</v>
      </c>
      <c r="L141" s="3" t="s">
        <v>12</v>
      </c>
      <c r="M141" s="63">
        <v>21</v>
      </c>
    </row>
    <row r="142" spans="1:13" x14ac:dyDescent="0.3">
      <c r="A142" s="17">
        <v>68</v>
      </c>
      <c r="B142" s="4">
        <v>78.2</v>
      </c>
      <c r="C142" s="4">
        <v>22.39</v>
      </c>
      <c r="D142" s="63">
        <v>1998</v>
      </c>
      <c r="E142" s="63">
        <v>7</v>
      </c>
      <c r="F142" s="63">
        <v>19</v>
      </c>
      <c r="G142" s="2">
        <v>4.9552200000000006</v>
      </c>
      <c r="H142" s="3" t="s">
        <v>26</v>
      </c>
      <c r="I142" s="63">
        <v>33</v>
      </c>
      <c r="J142" s="63">
        <v>18</v>
      </c>
      <c r="K142" s="63">
        <v>27</v>
      </c>
      <c r="L142" s="3" t="s">
        <v>27</v>
      </c>
      <c r="M142" s="63">
        <v>21</v>
      </c>
    </row>
    <row r="143" spans="1:13" x14ac:dyDescent="0.3">
      <c r="A143" s="17">
        <v>135</v>
      </c>
      <c r="B143" s="4">
        <v>78.7</v>
      </c>
      <c r="C143" s="4">
        <v>22.46</v>
      </c>
      <c r="D143" s="63">
        <v>2005</v>
      </c>
      <c r="E143" s="63">
        <v>3</v>
      </c>
      <c r="F143" s="63">
        <v>25</v>
      </c>
      <c r="G143" s="2">
        <v>4.4185999999999996</v>
      </c>
      <c r="H143" s="3" t="s">
        <v>26</v>
      </c>
      <c r="I143" s="63">
        <v>10</v>
      </c>
      <c r="J143" s="63">
        <v>19</v>
      </c>
      <c r="K143" s="63">
        <v>33</v>
      </c>
      <c r="L143" s="3" t="s">
        <v>27</v>
      </c>
      <c r="M143" s="63">
        <v>21</v>
      </c>
    </row>
    <row r="144" spans="1:13" x14ac:dyDescent="0.3">
      <c r="A144" s="17">
        <v>97</v>
      </c>
      <c r="B144" s="4">
        <v>79.510000000000005</v>
      </c>
      <c r="C144" s="4">
        <v>22.47</v>
      </c>
      <c r="D144" s="63">
        <v>2001</v>
      </c>
      <c r="E144" s="63">
        <v>1</v>
      </c>
      <c r="F144" s="63">
        <v>3</v>
      </c>
      <c r="G144" s="2">
        <v>3.8618000000000001</v>
      </c>
      <c r="H144" s="3" t="s">
        <v>26</v>
      </c>
      <c r="I144" s="63">
        <v>33</v>
      </c>
      <c r="J144" s="63">
        <v>22</v>
      </c>
      <c r="K144" s="63">
        <v>15</v>
      </c>
      <c r="L144" s="3" t="s">
        <v>27</v>
      </c>
      <c r="M144" s="63">
        <v>21</v>
      </c>
    </row>
    <row r="145" spans="1:13" x14ac:dyDescent="0.3">
      <c r="A145" s="17">
        <v>64</v>
      </c>
      <c r="B145" s="4">
        <v>78.016000000000005</v>
      </c>
      <c r="C145" s="4">
        <v>22.486999999999998</v>
      </c>
      <c r="D145" s="63">
        <v>1998</v>
      </c>
      <c r="E145" s="63">
        <v>3</v>
      </c>
      <c r="F145" s="63">
        <v>9</v>
      </c>
      <c r="G145" s="2">
        <v>4.8770899999999999</v>
      </c>
      <c r="H145" s="3" t="s">
        <v>26</v>
      </c>
      <c r="I145" s="63">
        <v>10</v>
      </c>
      <c r="J145" s="63">
        <v>7</v>
      </c>
      <c r="K145" s="63">
        <v>41</v>
      </c>
      <c r="L145" s="3" t="s">
        <v>25</v>
      </c>
      <c r="M145" s="63">
        <v>21</v>
      </c>
    </row>
    <row r="146" spans="1:13" x14ac:dyDescent="0.3">
      <c r="A146" s="17">
        <v>65</v>
      </c>
      <c r="B146" s="15">
        <v>79.260000000000005</v>
      </c>
      <c r="C146" s="15">
        <v>22.51</v>
      </c>
      <c r="D146" s="16">
        <v>1998</v>
      </c>
      <c r="E146" s="16">
        <v>3</v>
      </c>
      <c r="F146" s="16">
        <v>29</v>
      </c>
      <c r="G146" s="2">
        <v>4.3</v>
      </c>
      <c r="H146" s="3" t="s">
        <v>26</v>
      </c>
      <c r="I146" s="16">
        <v>0</v>
      </c>
      <c r="J146" s="16">
        <v>18</v>
      </c>
      <c r="K146" s="16">
        <v>54</v>
      </c>
      <c r="L146" s="11">
        <v>1</v>
      </c>
      <c r="M146" s="63">
        <v>21</v>
      </c>
    </row>
    <row r="147" spans="1:13" x14ac:dyDescent="0.3">
      <c r="A147" s="17">
        <v>87</v>
      </c>
      <c r="B147" s="4">
        <v>79</v>
      </c>
      <c r="C147" s="4">
        <v>22.54</v>
      </c>
      <c r="D147" s="63">
        <v>2000</v>
      </c>
      <c r="E147" s="63">
        <v>5</v>
      </c>
      <c r="F147" s="63">
        <v>2</v>
      </c>
      <c r="G147" s="2">
        <v>3.9314</v>
      </c>
      <c r="H147" s="3" t="s">
        <v>26</v>
      </c>
      <c r="I147" s="63">
        <v>15</v>
      </c>
      <c r="J147" s="63">
        <v>14</v>
      </c>
      <c r="K147" s="63">
        <v>55</v>
      </c>
      <c r="L147" s="3" t="s">
        <v>27</v>
      </c>
      <c r="M147" s="63">
        <v>21</v>
      </c>
    </row>
    <row r="148" spans="1:13" x14ac:dyDescent="0.3">
      <c r="A148" s="17">
        <v>113</v>
      </c>
      <c r="B148" s="4">
        <v>79.48</v>
      </c>
      <c r="C148" s="4">
        <v>22.6</v>
      </c>
      <c r="D148" s="63">
        <v>2002</v>
      </c>
      <c r="E148" s="63">
        <v>4</v>
      </c>
      <c r="F148" s="63">
        <v>17</v>
      </c>
      <c r="G148" s="2">
        <v>4.0009999999999994</v>
      </c>
      <c r="H148" s="3" t="s">
        <v>26</v>
      </c>
      <c r="I148" s="63">
        <v>18</v>
      </c>
      <c r="J148" s="63">
        <v>9</v>
      </c>
      <c r="K148" s="63">
        <v>17</v>
      </c>
      <c r="L148" s="3" t="s">
        <v>27</v>
      </c>
      <c r="M148" s="63">
        <v>21</v>
      </c>
    </row>
    <row r="149" spans="1:13" x14ac:dyDescent="0.3">
      <c r="A149" s="17">
        <v>166</v>
      </c>
      <c r="B149" s="4">
        <v>79.8</v>
      </c>
      <c r="C149" s="4">
        <v>22.66</v>
      </c>
      <c r="D149" s="63">
        <v>2011</v>
      </c>
      <c r="E149" s="63">
        <v>2</v>
      </c>
      <c r="F149" s="63">
        <v>8</v>
      </c>
      <c r="G149" s="2">
        <v>4.2097999999999995</v>
      </c>
      <c r="H149" s="3" t="s">
        <v>26</v>
      </c>
      <c r="I149" s="63">
        <v>10</v>
      </c>
      <c r="J149" s="63">
        <v>12</v>
      </c>
      <c r="K149" s="63">
        <v>53</v>
      </c>
      <c r="L149" s="3" t="s">
        <v>27</v>
      </c>
      <c r="M149" s="63">
        <v>21</v>
      </c>
    </row>
    <row r="150" spans="1:13" x14ac:dyDescent="0.3">
      <c r="A150" s="17">
        <v>101</v>
      </c>
      <c r="B150" s="4">
        <v>80.31</v>
      </c>
      <c r="C150" s="4">
        <v>22.68</v>
      </c>
      <c r="D150" s="63">
        <v>2001</v>
      </c>
      <c r="E150" s="63">
        <v>2</v>
      </c>
      <c r="F150" s="63">
        <v>21</v>
      </c>
      <c r="G150" s="2">
        <v>3.9314</v>
      </c>
      <c r="H150" s="3" t="s">
        <v>26</v>
      </c>
      <c r="I150" s="63">
        <v>33</v>
      </c>
      <c r="J150" s="63">
        <v>23</v>
      </c>
      <c r="K150" s="63">
        <v>52</v>
      </c>
      <c r="L150" s="3" t="s">
        <v>27</v>
      </c>
      <c r="M150" s="63">
        <v>21</v>
      </c>
    </row>
    <row r="151" spans="1:13" x14ac:dyDescent="0.3">
      <c r="A151" s="17">
        <v>51</v>
      </c>
      <c r="B151" s="4">
        <v>78.3</v>
      </c>
      <c r="C151" s="4">
        <v>22.7</v>
      </c>
      <c r="D151" s="63">
        <v>1995</v>
      </c>
      <c r="E151" s="63">
        <v>5</v>
      </c>
      <c r="F151" s="63">
        <v>2</v>
      </c>
      <c r="G151" s="2">
        <v>4.4000000000000004</v>
      </c>
      <c r="H151" s="3" t="s">
        <v>26</v>
      </c>
      <c r="I151" s="63">
        <v>33</v>
      </c>
      <c r="J151" s="63">
        <v>6</v>
      </c>
      <c r="K151" s="63">
        <v>16</v>
      </c>
      <c r="L151" s="3" t="s">
        <v>27</v>
      </c>
      <c r="M151" s="63">
        <v>21</v>
      </c>
    </row>
    <row r="152" spans="1:13" x14ac:dyDescent="0.3">
      <c r="A152" s="17">
        <v>149</v>
      </c>
      <c r="B152" s="4">
        <v>78.66</v>
      </c>
      <c r="C152" s="4">
        <v>22.77</v>
      </c>
      <c r="D152" s="63">
        <v>2007</v>
      </c>
      <c r="E152" s="63">
        <v>6</v>
      </c>
      <c r="F152" s="63">
        <v>6</v>
      </c>
      <c r="G152" s="2">
        <v>4.0705999999999998</v>
      </c>
      <c r="H152" s="3" t="s">
        <v>26</v>
      </c>
      <c r="I152" s="63">
        <v>8</v>
      </c>
      <c r="J152" s="63">
        <v>13</v>
      </c>
      <c r="K152" s="63">
        <v>45</v>
      </c>
      <c r="L152" s="3" t="s">
        <v>27</v>
      </c>
      <c r="M152" s="63">
        <v>21</v>
      </c>
    </row>
    <row r="153" spans="1:13" x14ac:dyDescent="0.3">
      <c r="A153" s="17">
        <v>151</v>
      </c>
      <c r="B153" s="4">
        <v>78.67</v>
      </c>
      <c r="C153" s="4">
        <v>22.79</v>
      </c>
      <c r="D153" s="63">
        <v>2008</v>
      </c>
      <c r="E153" s="63">
        <v>1</v>
      </c>
      <c r="F153" s="63">
        <v>11</v>
      </c>
      <c r="G153" s="2">
        <v>4.0705999999999998</v>
      </c>
      <c r="H153" s="3" t="s">
        <v>26</v>
      </c>
      <c r="I153" s="63">
        <v>10</v>
      </c>
      <c r="J153" s="63">
        <v>5</v>
      </c>
      <c r="K153" s="63">
        <v>18</v>
      </c>
      <c r="L153" s="3" t="s">
        <v>27</v>
      </c>
      <c r="M153" s="63">
        <v>21</v>
      </c>
    </row>
    <row r="154" spans="1:13" x14ac:dyDescent="0.3">
      <c r="A154" s="17">
        <v>48</v>
      </c>
      <c r="B154" s="4">
        <v>80</v>
      </c>
      <c r="C154" s="4">
        <v>23</v>
      </c>
      <c r="D154" s="63">
        <v>1993</v>
      </c>
      <c r="E154" s="63">
        <v>10</v>
      </c>
      <c r="F154" s="63">
        <v>31</v>
      </c>
      <c r="G154" s="2">
        <v>4.7</v>
      </c>
      <c r="H154" s="3" t="s">
        <v>26</v>
      </c>
      <c r="I154" s="63"/>
      <c r="J154" s="63">
        <v>9</v>
      </c>
      <c r="K154" s="63">
        <v>17</v>
      </c>
      <c r="L154" s="3" t="s">
        <v>27</v>
      </c>
      <c r="M154" s="63">
        <v>21</v>
      </c>
    </row>
    <row r="155" spans="1:13" x14ac:dyDescent="0.3">
      <c r="A155" s="17">
        <v>179</v>
      </c>
      <c r="B155" s="4">
        <v>79.889899999999997</v>
      </c>
      <c r="C155" s="4">
        <v>23.041899999999998</v>
      </c>
      <c r="D155" s="63">
        <v>2014</v>
      </c>
      <c r="E155" s="63">
        <v>10</v>
      </c>
      <c r="F155" s="63">
        <v>22</v>
      </c>
      <c r="G155" s="2">
        <v>4.3301800000000004</v>
      </c>
      <c r="H155" s="3" t="s">
        <v>26</v>
      </c>
      <c r="I155" s="63">
        <v>10</v>
      </c>
      <c r="J155" s="63">
        <v>5</v>
      </c>
      <c r="K155" s="63">
        <v>18</v>
      </c>
      <c r="L155" s="3" t="s">
        <v>10</v>
      </c>
      <c r="M155" s="63">
        <v>21</v>
      </c>
    </row>
    <row r="156" spans="1:13" x14ac:dyDescent="0.3">
      <c r="A156" s="17">
        <v>60</v>
      </c>
      <c r="B156" s="15">
        <v>80.14</v>
      </c>
      <c r="C156" s="15">
        <v>23.08</v>
      </c>
      <c r="D156" s="16">
        <v>1997</v>
      </c>
      <c r="E156" s="16">
        <v>5</v>
      </c>
      <c r="F156" s="16">
        <v>21</v>
      </c>
      <c r="G156" s="2">
        <v>6.1</v>
      </c>
      <c r="H156" s="3" t="s">
        <v>26</v>
      </c>
      <c r="I156" s="16">
        <v>36</v>
      </c>
      <c r="J156" s="16">
        <v>22</v>
      </c>
      <c r="K156" s="16">
        <v>51</v>
      </c>
      <c r="L156" s="11">
        <v>2</v>
      </c>
      <c r="M156" s="63">
        <v>21</v>
      </c>
    </row>
    <row r="157" spans="1:13" x14ac:dyDescent="0.3">
      <c r="A157" s="17">
        <v>61</v>
      </c>
      <c r="B157" s="4">
        <v>79.928899999999999</v>
      </c>
      <c r="C157" s="4">
        <v>23.1023</v>
      </c>
      <c r="D157" s="63">
        <v>1997</v>
      </c>
      <c r="E157" s="63">
        <v>6</v>
      </c>
      <c r="F157" s="63">
        <v>4</v>
      </c>
      <c r="G157" s="2">
        <v>4.48644</v>
      </c>
      <c r="H157" s="3" t="s">
        <v>26</v>
      </c>
      <c r="I157" s="63">
        <v>35</v>
      </c>
      <c r="J157" s="63">
        <v>19</v>
      </c>
      <c r="K157" s="63">
        <v>29</v>
      </c>
      <c r="L157" s="3" t="s">
        <v>10</v>
      </c>
      <c r="M157" s="63">
        <v>21</v>
      </c>
    </row>
    <row r="158" spans="1:13" x14ac:dyDescent="0.3">
      <c r="A158" s="17">
        <v>96</v>
      </c>
      <c r="B158" s="4">
        <v>80.33</v>
      </c>
      <c r="C158" s="4">
        <v>23.22</v>
      </c>
      <c r="D158" s="63">
        <v>2000</v>
      </c>
      <c r="E158" s="63">
        <v>10</v>
      </c>
      <c r="F158" s="63">
        <v>17</v>
      </c>
      <c r="G158" s="2">
        <v>5.3929999999999998</v>
      </c>
      <c r="H158" s="3" t="s">
        <v>26</v>
      </c>
      <c r="I158" s="63">
        <v>33</v>
      </c>
      <c r="J158" s="63">
        <v>4</v>
      </c>
      <c r="K158" s="63">
        <v>3</v>
      </c>
      <c r="L158" s="3" t="s">
        <v>27</v>
      </c>
      <c r="M158" s="63">
        <v>21</v>
      </c>
    </row>
    <row r="159" spans="1:13" x14ac:dyDescent="0.3">
      <c r="A159" s="17">
        <v>12</v>
      </c>
      <c r="B159" s="15">
        <v>79.3</v>
      </c>
      <c r="C159" s="15">
        <v>23.5</v>
      </c>
      <c r="D159" s="16">
        <v>1846</v>
      </c>
      <c r="E159" s="16">
        <v>5</v>
      </c>
      <c r="F159" s="16">
        <v>27</v>
      </c>
      <c r="G159" s="2">
        <v>6.5</v>
      </c>
      <c r="H159" s="3" t="s">
        <v>26</v>
      </c>
      <c r="I159" s="16">
        <v>0</v>
      </c>
      <c r="J159" s="16">
        <v>0</v>
      </c>
      <c r="K159" s="16">
        <v>0</v>
      </c>
      <c r="L159" s="11">
        <v>2</v>
      </c>
      <c r="M159" s="63">
        <v>21</v>
      </c>
    </row>
    <row r="160" spans="1:13" x14ac:dyDescent="0.3">
      <c r="A160" s="17">
        <v>79</v>
      </c>
      <c r="B160" s="4">
        <v>78.099999999999994</v>
      </c>
      <c r="C160" s="4">
        <v>23.54</v>
      </c>
      <c r="D160" s="63">
        <v>1999</v>
      </c>
      <c r="E160" s="63">
        <v>4</v>
      </c>
      <c r="F160" s="63">
        <v>3</v>
      </c>
      <c r="G160" s="2">
        <v>4.6213600000000001</v>
      </c>
      <c r="H160" s="3" t="s">
        <v>26</v>
      </c>
      <c r="I160" s="63">
        <v>30</v>
      </c>
      <c r="J160" s="63">
        <v>15</v>
      </c>
      <c r="K160" s="63">
        <v>8</v>
      </c>
      <c r="L160" s="3" t="s">
        <v>27</v>
      </c>
      <c r="M160" s="63">
        <v>21</v>
      </c>
    </row>
    <row r="161" spans="1:13" x14ac:dyDescent="0.3">
      <c r="A161" s="17">
        <v>118</v>
      </c>
      <c r="B161" s="4">
        <v>80.400000000000006</v>
      </c>
      <c r="C161" s="4">
        <v>23.75</v>
      </c>
      <c r="D161" s="63">
        <v>2002</v>
      </c>
      <c r="E161" s="63">
        <v>9</v>
      </c>
      <c r="F161" s="63">
        <v>21</v>
      </c>
      <c r="G161" s="2">
        <v>4.0705999999999998</v>
      </c>
      <c r="H161" s="3" t="s">
        <v>26</v>
      </c>
      <c r="I161" s="63">
        <v>10</v>
      </c>
      <c r="J161" s="63">
        <v>16</v>
      </c>
      <c r="K161" s="63">
        <v>17</v>
      </c>
      <c r="L161" s="3" t="s">
        <v>27</v>
      </c>
      <c r="M161" s="63">
        <v>21</v>
      </c>
    </row>
    <row r="162" spans="1:13" x14ac:dyDescent="0.3">
      <c r="A162" s="17">
        <v>6</v>
      </c>
      <c r="B162" s="15">
        <v>73</v>
      </c>
      <c r="C162" s="15">
        <v>18.5</v>
      </c>
      <c r="D162" s="16">
        <v>1792</v>
      </c>
      <c r="E162" s="16">
        <v>5</v>
      </c>
      <c r="F162" s="16">
        <v>29</v>
      </c>
      <c r="G162" s="2">
        <v>4.3</v>
      </c>
      <c r="H162" s="3" t="s">
        <v>26</v>
      </c>
      <c r="I162" s="16">
        <v>0</v>
      </c>
      <c r="J162" s="16">
        <v>0</v>
      </c>
      <c r="K162" s="16">
        <v>0</v>
      </c>
      <c r="L162" s="11">
        <v>11</v>
      </c>
      <c r="M162" s="63">
        <v>27</v>
      </c>
    </row>
    <row r="163" spans="1:13" x14ac:dyDescent="0.3">
      <c r="A163" s="17">
        <v>161</v>
      </c>
      <c r="B163" s="4">
        <v>74.31</v>
      </c>
      <c r="C163" s="4">
        <v>18.690000000000001</v>
      </c>
      <c r="D163" s="63">
        <v>2010</v>
      </c>
      <c r="E163" s="63">
        <v>4</v>
      </c>
      <c r="F163" s="63">
        <v>16</v>
      </c>
      <c r="G163" s="2">
        <v>4.0705999999999998</v>
      </c>
      <c r="H163" s="3" t="s">
        <v>26</v>
      </c>
      <c r="I163" s="63">
        <v>10</v>
      </c>
      <c r="J163" s="63">
        <v>1</v>
      </c>
      <c r="K163" s="63">
        <v>52</v>
      </c>
      <c r="L163" s="3" t="s">
        <v>27</v>
      </c>
      <c r="M163" s="63">
        <v>27</v>
      </c>
    </row>
    <row r="164" spans="1:13" x14ac:dyDescent="0.3">
      <c r="A164" s="17">
        <v>5</v>
      </c>
      <c r="B164" s="15">
        <v>73.400000000000006</v>
      </c>
      <c r="C164" s="15">
        <v>18.7</v>
      </c>
      <c r="D164" s="16">
        <v>1752</v>
      </c>
      <c r="E164" s="16">
        <v>2</v>
      </c>
      <c r="F164" s="16">
        <v>5</v>
      </c>
      <c r="G164" s="2">
        <v>4.3</v>
      </c>
      <c r="H164" s="3" t="s">
        <v>26</v>
      </c>
      <c r="I164" s="16">
        <v>0</v>
      </c>
      <c r="J164" s="16">
        <v>0</v>
      </c>
      <c r="K164" s="16">
        <v>0</v>
      </c>
      <c r="L164" s="11">
        <v>11</v>
      </c>
      <c r="M164" s="63">
        <v>27</v>
      </c>
    </row>
    <row r="165" spans="1:13" x14ac:dyDescent="0.3">
      <c r="A165" s="17">
        <v>3</v>
      </c>
      <c r="B165" s="15">
        <v>73.2</v>
      </c>
      <c r="C165" s="15">
        <v>19.100000000000001</v>
      </c>
      <c r="D165" s="16">
        <v>1751</v>
      </c>
      <c r="E165" s="16">
        <v>12</v>
      </c>
      <c r="F165" s="16">
        <v>9</v>
      </c>
      <c r="G165" s="2">
        <v>4.3</v>
      </c>
      <c r="H165" s="3" t="s">
        <v>26</v>
      </c>
      <c r="I165" s="16">
        <v>0</v>
      </c>
      <c r="J165" s="16">
        <v>0</v>
      </c>
      <c r="K165" s="16">
        <v>0</v>
      </c>
      <c r="L165" s="11">
        <v>11</v>
      </c>
      <c r="M165" s="63">
        <v>27</v>
      </c>
    </row>
    <row r="166" spans="1:13" x14ac:dyDescent="0.3">
      <c r="A166" s="17">
        <v>1</v>
      </c>
      <c r="B166" s="15">
        <v>73.2</v>
      </c>
      <c r="C166" s="15">
        <v>19.100000000000001</v>
      </c>
      <c r="D166" s="16">
        <v>1678</v>
      </c>
      <c r="E166" s="16">
        <v>0</v>
      </c>
      <c r="F166" s="16">
        <v>0</v>
      </c>
      <c r="G166" s="2">
        <v>5</v>
      </c>
      <c r="H166" s="3" t="s">
        <v>26</v>
      </c>
      <c r="I166" s="16">
        <v>0</v>
      </c>
      <c r="J166" s="16">
        <v>0</v>
      </c>
      <c r="K166" s="16">
        <v>0</v>
      </c>
      <c r="L166" s="11">
        <v>11</v>
      </c>
      <c r="M166" s="63">
        <v>27</v>
      </c>
    </row>
    <row r="167" spans="1:13" x14ac:dyDescent="0.3">
      <c r="A167" s="17">
        <v>4</v>
      </c>
      <c r="B167" s="15">
        <v>73.3</v>
      </c>
      <c r="C167" s="15">
        <v>19.100000000000001</v>
      </c>
      <c r="D167" s="16">
        <v>1752</v>
      </c>
      <c r="E167" s="16">
        <v>1</v>
      </c>
      <c r="F167" s="16">
        <v>5</v>
      </c>
      <c r="G167" s="2">
        <v>4.3</v>
      </c>
      <c r="H167" s="3" t="s">
        <v>26</v>
      </c>
      <c r="I167" s="16">
        <v>0</v>
      </c>
      <c r="J167" s="16">
        <v>0</v>
      </c>
      <c r="K167" s="16">
        <v>0</v>
      </c>
      <c r="L167" s="11">
        <v>11</v>
      </c>
      <c r="M167" s="63">
        <v>27</v>
      </c>
    </row>
    <row r="168" spans="1:13" x14ac:dyDescent="0.3">
      <c r="A168" s="17">
        <v>140</v>
      </c>
      <c r="B168" s="4">
        <v>73.209999999999994</v>
      </c>
      <c r="C168" s="4">
        <v>19.14</v>
      </c>
      <c r="D168" s="63">
        <v>2005</v>
      </c>
      <c r="E168" s="63">
        <v>6</v>
      </c>
      <c r="F168" s="63">
        <v>18</v>
      </c>
      <c r="G168" s="2">
        <v>3.9314</v>
      </c>
      <c r="H168" s="3" t="s">
        <v>26</v>
      </c>
      <c r="I168" s="63">
        <v>5</v>
      </c>
      <c r="J168" s="63">
        <v>8</v>
      </c>
      <c r="K168" s="63">
        <v>38</v>
      </c>
      <c r="L168" s="3" t="s">
        <v>27</v>
      </c>
      <c r="M168" s="63">
        <v>27</v>
      </c>
    </row>
    <row r="169" spans="1:13" x14ac:dyDescent="0.3">
      <c r="A169" s="17">
        <v>67</v>
      </c>
      <c r="B169" s="4">
        <v>73.900000000000006</v>
      </c>
      <c r="C169" s="4">
        <v>19.2</v>
      </c>
      <c r="D169" s="63">
        <v>1998</v>
      </c>
      <c r="E169" s="63">
        <v>5</v>
      </c>
      <c r="F169" s="63">
        <v>31</v>
      </c>
      <c r="G169" s="2">
        <v>3.6</v>
      </c>
      <c r="H169" s="3" t="s">
        <v>26</v>
      </c>
      <c r="I169" s="63">
        <v>10</v>
      </c>
      <c r="J169" s="63">
        <v>18</v>
      </c>
      <c r="K169" s="63">
        <v>58</v>
      </c>
      <c r="L169" s="3" t="s">
        <v>27</v>
      </c>
      <c r="M169" s="63">
        <v>27</v>
      </c>
    </row>
    <row r="170" spans="1:13" x14ac:dyDescent="0.3">
      <c r="A170" s="17">
        <v>206</v>
      </c>
      <c r="B170" s="4">
        <v>72.507999999999996</v>
      </c>
      <c r="C170" s="4">
        <v>19.577999999999999</v>
      </c>
      <c r="D170" s="63">
        <v>2019</v>
      </c>
      <c r="E170" s="63">
        <v>7</v>
      </c>
      <c r="F170" s="63">
        <v>24</v>
      </c>
      <c r="G170" s="2">
        <v>4.7208299999999994</v>
      </c>
      <c r="H170" s="3" t="s">
        <v>26</v>
      </c>
      <c r="I170" s="63">
        <v>10</v>
      </c>
      <c r="J170" s="63">
        <v>19</v>
      </c>
      <c r="K170" s="63">
        <v>33</v>
      </c>
      <c r="L170" s="3" t="s">
        <v>25</v>
      </c>
      <c r="M170" s="63">
        <v>27</v>
      </c>
    </row>
    <row r="171" spans="1:13" x14ac:dyDescent="0.3">
      <c r="A171" s="17">
        <v>37</v>
      </c>
      <c r="B171" s="4">
        <v>73.760000000000005</v>
      </c>
      <c r="C171" s="4">
        <v>19.693999999999999</v>
      </c>
      <c r="D171" s="63">
        <v>1983</v>
      </c>
      <c r="E171" s="63">
        <v>9</v>
      </c>
      <c r="F171" s="63">
        <v>14</v>
      </c>
      <c r="G171" s="2">
        <v>5.0333500000000004</v>
      </c>
      <c r="H171" s="3" t="s">
        <v>26</v>
      </c>
      <c r="I171" s="63">
        <v>33</v>
      </c>
      <c r="J171" s="63">
        <v>21</v>
      </c>
      <c r="K171" s="63">
        <v>53</v>
      </c>
      <c r="L171" s="3" t="s">
        <v>25</v>
      </c>
      <c r="M171" s="63">
        <v>27</v>
      </c>
    </row>
    <row r="172" spans="1:13" x14ac:dyDescent="0.3">
      <c r="A172" s="17">
        <v>108</v>
      </c>
      <c r="B172" s="4">
        <v>72.760000000000005</v>
      </c>
      <c r="C172" s="4">
        <v>19.73</v>
      </c>
      <c r="D172" s="63">
        <v>2001</v>
      </c>
      <c r="E172" s="63">
        <v>12</v>
      </c>
      <c r="F172" s="63">
        <v>22</v>
      </c>
      <c r="G172" s="2">
        <v>4.0705999999999998</v>
      </c>
      <c r="H172" s="3" t="s">
        <v>26</v>
      </c>
      <c r="I172" s="63">
        <v>10</v>
      </c>
      <c r="J172" s="63">
        <v>18</v>
      </c>
      <c r="K172" s="63">
        <v>25</v>
      </c>
      <c r="L172" s="3" t="s">
        <v>27</v>
      </c>
      <c r="M172" s="63">
        <v>27</v>
      </c>
    </row>
    <row r="173" spans="1:13" x14ac:dyDescent="0.3">
      <c r="A173" s="17">
        <v>194</v>
      </c>
      <c r="B173" s="4">
        <v>73.19</v>
      </c>
      <c r="C173" s="4">
        <v>19.8</v>
      </c>
      <c r="D173" s="63">
        <v>2017</v>
      </c>
      <c r="E173" s="63">
        <v>12</v>
      </c>
      <c r="F173" s="63">
        <v>25</v>
      </c>
      <c r="G173" s="2">
        <v>3.8618000000000001</v>
      </c>
      <c r="H173" s="3" t="s">
        <v>26</v>
      </c>
      <c r="I173" s="63">
        <v>10</v>
      </c>
      <c r="J173" s="63">
        <v>9</v>
      </c>
      <c r="K173" s="63">
        <v>44</v>
      </c>
      <c r="L173" s="3" t="s">
        <v>27</v>
      </c>
      <c r="M173" s="63">
        <v>27</v>
      </c>
    </row>
    <row r="174" spans="1:13" x14ac:dyDescent="0.3">
      <c r="A174" s="17">
        <v>172</v>
      </c>
      <c r="B174" s="4">
        <v>73.38</v>
      </c>
      <c r="C174" s="4">
        <v>19.8</v>
      </c>
      <c r="D174" s="63">
        <v>2013</v>
      </c>
      <c r="E174" s="63">
        <v>2</v>
      </c>
      <c r="F174" s="63">
        <v>25</v>
      </c>
      <c r="G174" s="2">
        <v>3.8618000000000001</v>
      </c>
      <c r="H174" s="3" t="s">
        <v>26</v>
      </c>
      <c r="I174" s="63">
        <v>10</v>
      </c>
      <c r="J174" s="63">
        <v>22</v>
      </c>
      <c r="K174" s="63">
        <v>51</v>
      </c>
      <c r="L174" s="3" t="s">
        <v>27</v>
      </c>
      <c r="M174" s="63">
        <v>27</v>
      </c>
    </row>
    <row r="175" spans="1:13" x14ac:dyDescent="0.3">
      <c r="A175" s="17">
        <v>195</v>
      </c>
      <c r="B175" s="4">
        <v>73.27</v>
      </c>
      <c r="C175" s="4">
        <v>19.829999999999998</v>
      </c>
      <c r="D175" s="63">
        <v>2018</v>
      </c>
      <c r="E175" s="63">
        <v>1</v>
      </c>
      <c r="F175" s="63">
        <v>2</v>
      </c>
      <c r="G175" s="2">
        <v>3.5</v>
      </c>
      <c r="H175" s="3" t="s">
        <v>26</v>
      </c>
      <c r="I175" s="63">
        <v>10</v>
      </c>
      <c r="J175" s="63">
        <v>2</v>
      </c>
      <c r="K175" s="63">
        <v>21</v>
      </c>
      <c r="L175" s="3" t="s">
        <v>27</v>
      </c>
      <c r="M175" s="63">
        <v>27</v>
      </c>
    </row>
    <row r="176" spans="1:13" x14ac:dyDescent="0.3">
      <c r="A176" s="17">
        <v>207</v>
      </c>
      <c r="B176" s="4">
        <v>72.293999999999997</v>
      </c>
      <c r="C176" s="4">
        <v>19.88</v>
      </c>
      <c r="D176" s="63">
        <v>2019</v>
      </c>
      <c r="E176" s="63">
        <v>8</v>
      </c>
      <c r="F176" s="63">
        <v>13</v>
      </c>
      <c r="G176" s="2">
        <v>3.5</v>
      </c>
      <c r="H176" s="3" t="s">
        <v>26</v>
      </c>
      <c r="I176" s="63">
        <v>15.1</v>
      </c>
      <c r="J176" s="63">
        <v>0</v>
      </c>
      <c r="K176" s="63">
        <v>8</v>
      </c>
      <c r="L176" s="3" t="s">
        <v>12</v>
      </c>
      <c r="M176" s="63">
        <v>27</v>
      </c>
    </row>
    <row r="177" spans="1:13" x14ac:dyDescent="0.3">
      <c r="A177" s="17">
        <v>198</v>
      </c>
      <c r="B177" s="4">
        <v>72.872</v>
      </c>
      <c r="C177" s="4">
        <v>19.89</v>
      </c>
      <c r="D177" s="63">
        <v>2018</v>
      </c>
      <c r="E177" s="63">
        <v>12</v>
      </c>
      <c r="F177" s="63">
        <v>1</v>
      </c>
      <c r="G177" s="2">
        <v>3.8618000000000001</v>
      </c>
      <c r="H177" s="3" t="s">
        <v>26</v>
      </c>
      <c r="I177" s="63">
        <v>5</v>
      </c>
      <c r="J177" s="63">
        <v>20</v>
      </c>
      <c r="K177" s="63">
        <v>35</v>
      </c>
      <c r="L177" s="3" t="s">
        <v>12</v>
      </c>
      <c r="M177" s="63">
        <v>27</v>
      </c>
    </row>
    <row r="178" spans="1:13" x14ac:dyDescent="0.3">
      <c r="A178" s="17">
        <v>200</v>
      </c>
      <c r="B178" s="4">
        <v>72.760000000000005</v>
      </c>
      <c r="C178" s="4">
        <v>19.920000000000002</v>
      </c>
      <c r="D178" s="63">
        <v>2019</v>
      </c>
      <c r="E178" s="63">
        <v>2</v>
      </c>
      <c r="F178" s="63">
        <v>1</v>
      </c>
      <c r="G178" s="2">
        <v>3.7</v>
      </c>
      <c r="H178" s="3" t="s">
        <v>26</v>
      </c>
      <c r="I178" s="63">
        <v>9</v>
      </c>
      <c r="J178" s="63">
        <v>15</v>
      </c>
      <c r="K178" s="63">
        <v>53</v>
      </c>
      <c r="L178" s="3" t="s">
        <v>27</v>
      </c>
      <c r="M178" s="63">
        <v>27</v>
      </c>
    </row>
    <row r="179" spans="1:13" x14ac:dyDescent="0.3">
      <c r="A179" s="17">
        <v>211</v>
      </c>
      <c r="B179" s="4">
        <v>72.81</v>
      </c>
      <c r="C179" s="4">
        <v>19.93</v>
      </c>
      <c r="D179" s="63">
        <v>2020</v>
      </c>
      <c r="E179" s="63">
        <v>3</v>
      </c>
      <c r="F179" s="63">
        <v>19</v>
      </c>
      <c r="G179" s="2">
        <v>3.5</v>
      </c>
      <c r="H179" s="3" t="s">
        <v>26</v>
      </c>
      <c r="I179" s="63">
        <v>21</v>
      </c>
      <c r="J179" s="63">
        <v>9</v>
      </c>
      <c r="K179" s="63">
        <v>19</v>
      </c>
      <c r="L179" s="3" t="s">
        <v>27</v>
      </c>
      <c r="M179" s="63">
        <v>27</v>
      </c>
    </row>
    <row r="180" spans="1:13" x14ac:dyDescent="0.3">
      <c r="A180" s="17">
        <v>201</v>
      </c>
      <c r="B180" s="4">
        <v>72.819999999999993</v>
      </c>
      <c r="C180" s="4">
        <v>19.93</v>
      </c>
      <c r="D180" s="63">
        <v>2019</v>
      </c>
      <c r="E180" s="63">
        <v>2</v>
      </c>
      <c r="F180" s="63">
        <v>20</v>
      </c>
      <c r="G180" s="2">
        <v>3.7</v>
      </c>
      <c r="H180" s="3" t="s">
        <v>26</v>
      </c>
      <c r="I180" s="63">
        <v>10</v>
      </c>
      <c r="J180" s="63">
        <v>13</v>
      </c>
      <c r="K180" s="63">
        <v>28</v>
      </c>
      <c r="L180" s="3" t="s">
        <v>27</v>
      </c>
      <c r="M180" s="63">
        <v>27</v>
      </c>
    </row>
    <row r="181" spans="1:13" x14ac:dyDescent="0.3">
      <c r="A181" s="17">
        <v>208</v>
      </c>
      <c r="B181" s="4">
        <v>72.653999999999996</v>
      </c>
      <c r="C181" s="4">
        <v>19.946999999999999</v>
      </c>
      <c r="D181" s="63">
        <v>2019</v>
      </c>
      <c r="E181" s="63">
        <v>9</v>
      </c>
      <c r="F181" s="63">
        <v>24</v>
      </c>
      <c r="G181" s="2">
        <v>3.8618000000000001</v>
      </c>
      <c r="H181" s="3" t="s">
        <v>26</v>
      </c>
      <c r="I181" s="63">
        <v>10</v>
      </c>
      <c r="J181" s="63">
        <v>8</v>
      </c>
      <c r="K181" s="63">
        <v>47</v>
      </c>
      <c r="L181" s="3" t="s">
        <v>12</v>
      </c>
      <c r="M181" s="63">
        <v>27</v>
      </c>
    </row>
    <row r="182" spans="1:13" x14ac:dyDescent="0.3">
      <c r="A182" s="17">
        <v>209</v>
      </c>
      <c r="B182" s="4">
        <v>72.822999999999993</v>
      </c>
      <c r="C182" s="4">
        <v>19.966000000000001</v>
      </c>
      <c r="D182" s="63">
        <v>2019</v>
      </c>
      <c r="E182" s="63">
        <v>11</v>
      </c>
      <c r="F182" s="63">
        <v>19</v>
      </c>
      <c r="G182" s="2">
        <v>3.8618000000000001</v>
      </c>
      <c r="H182" s="3" t="s">
        <v>26</v>
      </c>
      <c r="I182" s="63">
        <v>13.7</v>
      </c>
      <c r="J182" s="63">
        <v>20</v>
      </c>
      <c r="K182" s="63">
        <v>26</v>
      </c>
      <c r="L182" s="3" t="s">
        <v>12</v>
      </c>
      <c r="M182" s="63">
        <v>27</v>
      </c>
    </row>
    <row r="183" spans="1:13" x14ac:dyDescent="0.3">
      <c r="A183" s="17">
        <v>197</v>
      </c>
      <c r="B183" s="4">
        <v>72.73</v>
      </c>
      <c r="C183" s="4">
        <v>19.98</v>
      </c>
      <c r="D183" s="63">
        <v>2018</v>
      </c>
      <c r="E183" s="63">
        <v>11</v>
      </c>
      <c r="F183" s="63">
        <v>11</v>
      </c>
      <c r="G183" s="2">
        <v>4.2097999999999995</v>
      </c>
      <c r="H183" s="3" t="s">
        <v>26</v>
      </c>
      <c r="I183" s="63">
        <v>10</v>
      </c>
      <c r="J183" s="63">
        <v>18</v>
      </c>
      <c r="K183" s="63">
        <v>25</v>
      </c>
      <c r="L183" s="3" t="s">
        <v>27</v>
      </c>
      <c r="M183" s="63">
        <v>27</v>
      </c>
    </row>
    <row r="184" spans="1:13" x14ac:dyDescent="0.3">
      <c r="A184" s="17">
        <v>17</v>
      </c>
      <c r="B184" s="4">
        <v>73</v>
      </c>
      <c r="C184" s="4">
        <v>20</v>
      </c>
      <c r="D184" s="63">
        <v>1856</v>
      </c>
      <c r="E184" s="63">
        <v>12</v>
      </c>
      <c r="F184" s="63">
        <v>25</v>
      </c>
      <c r="G184" s="2">
        <v>5</v>
      </c>
      <c r="H184" s="3" t="s">
        <v>26</v>
      </c>
      <c r="I184" s="63">
        <v>0</v>
      </c>
      <c r="J184" s="63">
        <v>5</v>
      </c>
      <c r="K184" s="63">
        <v>53</v>
      </c>
      <c r="L184" s="3" t="s">
        <v>27</v>
      </c>
      <c r="M184" s="63">
        <v>27</v>
      </c>
    </row>
    <row r="185" spans="1:13" x14ac:dyDescent="0.3">
      <c r="A185" s="17">
        <v>210</v>
      </c>
      <c r="B185" s="4">
        <v>73.172899999999998</v>
      </c>
      <c r="C185" s="4">
        <v>20.082899999999999</v>
      </c>
      <c r="D185" s="63">
        <v>2019</v>
      </c>
      <c r="E185" s="63">
        <v>12</v>
      </c>
      <c r="F185" s="63">
        <v>13</v>
      </c>
      <c r="G185" s="2">
        <v>4.8770899999999999</v>
      </c>
      <c r="H185" s="3" t="s">
        <v>26</v>
      </c>
      <c r="I185" s="63">
        <v>10</v>
      </c>
      <c r="J185" s="63">
        <v>23</v>
      </c>
      <c r="K185" s="63">
        <v>52</v>
      </c>
      <c r="L185" s="3" t="s">
        <v>25</v>
      </c>
      <c r="M185" s="63">
        <v>27</v>
      </c>
    </row>
    <row r="186" spans="1:13" x14ac:dyDescent="0.3">
      <c r="A186" s="17">
        <v>43</v>
      </c>
      <c r="B186" s="4">
        <v>72.900000000000006</v>
      </c>
      <c r="C186" s="4">
        <v>20.100000000000001</v>
      </c>
      <c r="D186" s="63">
        <v>1989</v>
      </c>
      <c r="E186" s="63">
        <v>6</v>
      </c>
      <c r="F186" s="63">
        <v>21</v>
      </c>
      <c r="G186" s="2">
        <v>4.0999999999999996</v>
      </c>
      <c r="H186" s="3" t="s">
        <v>26</v>
      </c>
      <c r="I186" s="63">
        <v>33</v>
      </c>
      <c r="J186" s="63">
        <v>21</v>
      </c>
      <c r="K186" s="63">
        <v>5</v>
      </c>
      <c r="L186" s="3" t="s">
        <v>27</v>
      </c>
      <c r="M186" s="63">
        <v>27</v>
      </c>
    </row>
    <row r="187" spans="1:13" x14ac:dyDescent="0.3">
      <c r="A187" s="17">
        <v>199</v>
      </c>
      <c r="B187" s="4">
        <v>72.98</v>
      </c>
      <c r="C187" s="4">
        <v>20.100000000000001</v>
      </c>
      <c r="D187" s="63">
        <v>2019</v>
      </c>
      <c r="E187" s="63">
        <v>1</v>
      </c>
      <c r="F187" s="63">
        <v>20</v>
      </c>
      <c r="G187" s="2">
        <v>3.6</v>
      </c>
      <c r="H187" s="3" t="s">
        <v>26</v>
      </c>
      <c r="I187" s="63">
        <v>10</v>
      </c>
      <c r="J187" s="63">
        <v>18</v>
      </c>
      <c r="K187" s="63">
        <v>38</v>
      </c>
      <c r="L187" s="3" t="s">
        <v>27</v>
      </c>
      <c r="M187" s="63">
        <v>27</v>
      </c>
    </row>
    <row r="188" spans="1:13" x14ac:dyDescent="0.3">
      <c r="A188" s="17">
        <v>141</v>
      </c>
      <c r="B188" s="4">
        <v>73.41</v>
      </c>
      <c r="C188" s="4">
        <v>20.18</v>
      </c>
      <c r="D188" s="63">
        <v>2005</v>
      </c>
      <c r="E188" s="63">
        <v>11</v>
      </c>
      <c r="F188" s="63">
        <v>4</v>
      </c>
      <c r="G188" s="2">
        <v>3.9314</v>
      </c>
      <c r="H188" s="3" t="s">
        <v>26</v>
      </c>
      <c r="I188" s="63">
        <v>5</v>
      </c>
      <c r="J188" s="63">
        <v>17</v>
      </c>
      <c r="K188" s="63">
        <v>3</v>
      </c>
      <c r="L188" s="3" t="s">
        <v>27</v>
      </c>
      <c r="M188" s="63">
        <v>27</v>
      </c>
    </row>
    <row r="189" spans="1:13" x14ac:dyDescent="0.3">
      <c r="A189" s="17">
        <v>202</v>
      </c>
      <c r="B189" s="4">
        <v>72.894300000000001</v>
      </c>
      <c r="C189" s="4">
        <v>20.234400000000001</v>
      </c>
      <c r="D189" s="63">
        <v>2019</v>
      </c>
      <c r="E189" s="63">
        <v>3</v>
      </c>
      <c r="F189" s="63">
        <v>1</v>
      </c>
      <c r="G189" s="2">
        <v>4.6426999999999996</v>
      </c>
      <c r="H189" s="3" t="s">
        <v>26</v>
      </c>
      <c r="I189" s="63">
        <v>10</v>
      </c>
      <c r="J189" s="63">
        <v>5</v>
      </c>
      <c r="K189" s="63">
        <v>44</v>
      </c>
      <c r="L189" s="3" t="s">
        <v>25</v>
      </c>
      <c r="M189" s="63">
        <v>27</v>
      </c>
    </row>
    <row r="190" spans="1:13" x14ac:dyDescent="0.3">
      <c r="A190" s="17">
        <v>183</v>
      </c>
      <c r="B190" s="4">
        <v>73</v>
      </c>
      <c r="C190" s="4">
        <v>20.43</v>
      </c>
      <c r="D190" s="63">
        <v>2015</v>
      </c>
      <c r="E190" s="63">
        <v>11</v>
      </c>
      <c r="F190" s="63">
        <v>3</v>
      </c>
      <c r="G190" s="2">
        <v>3.8618000000000001</v>
      </c>
      <c r="H190" s="3" t="s">
        <v>26</v>
      </c>
      <c r="I190" s="63">
        <v>18</v>
      </c>
      <c r="J190" s="63">
        <v>2</v>
      </c>
      <c r="K190" s="63">
        <v>9</v>
      </c>
      <c r="L190" s="3" t="s">
        <v>27</v>
      </c>
      <c r="M190" s="63">
        <v>27</v>
      </c>
    </row>
    <row r="191" spans="1:13" x14ac:dyDescent="0.3">
      <c r="A191" s="17">
        <v>70</v>
      </c>
      <c r="B191" s="4">
        <v>72.099999999999994</v>
      </c>
      <c r="C191" s="4">
        <v>20.46</v>
      </c>
      <c r="D191" s="63">
        <v>1998</v>
      </c>
      <c r="E191" s="63">
        <v>9</v>
      </c>
      <c r="F191" s="63">
        <v>3</v>
      </c>
      <c r="G191" s="2">
        <v>3.9314</v>
      </c>
      <c r="H191" s="3" t="s">
        <v>26</v>
      </c>
      <c r="I191" s="63">
        <v>13</v>
      </c>
      <c r="J191" s="63">
        <v>4</v>
      </c>
      <c r="K191" s="63">
        <v>28</v>
      </c>
      <c r="L191" s="3" t="s">
        <v>27</v>
      </c>
      <c r="M191" s="63">
        <v>27</v>
      </c>
    </row>
    <row r="192" spans="1:13" x14ac:dyDescent="0.3">
      <c r="A192" s="17">
        <v>39</v>
      </c>
      <c r="B192" s="4">
        <v>73.722999999999999</v>
      </c>
      <c r="C192" s="4">
        <v>20.481999999999999</v>
      </c>
      <c r="D192" s="63">
        <v>1986</v>
      </c>
      <c r="E192" s="63">
        <v>2</v>
      </c>
      <c r="F192" s="63">
        <v>26</v>
      </c>
      <c r="G192" s="2">
        <v>4.8770899999999999</v>
      </c>
      <c r="H192" s="3" t="s">
        <v>26</v>
      </c>
      <c r="I192" s="63">
        <v>33</v>
      </c>
      <c r="J192" s="63">
        <v>12</v>
      </c>
      <c r="K192" s="63">
        <v>47</v>
      </c>
      <c r="L192" s="3" t="s">
        <v>25</v>
      </c>
      <c r="M192" s="63">
        <v>27</v>
      </c>
    </row>
    <row r="193" spans="1:13" x14ac:dyDescent="0.3">
      <c r="A193" s="17">
        <v>110</v>
      </c>
      <c r="B193" s="4">
        <v>74.78</v>
      </c>
      <c r="C193" s="4">
        <v>20.63</v>
      </c>
      <c r="D193" s="63">
        <v>2002</v>
      </c>
      <c r="E193" s="63">
        <v>2</v>
      </c>
      <c r="F193" s="63">
        <v>6</v>
      </c>
      <c r="G193" s="2">
        <v>3.8618000000000001</v>
      </c>
      <c r="H193" s="3" t="s">
        <v>26</v>
      </c>
      <c r="I193" s="63">
        <v>5</v>
      </c>
      <c r="J193" s="63">
        <v>9</v>
      </c>
      <c r="K193" s="63">
        <v>45</v>
      </c>
      <c r="L193" s="3" t="s">
        <v>27</v>
      </c>
      <c r="M193" s="63">
        <v>27</v>
      </c>
    </row>
    <row r="194" spans="1:13" x14ac:dyDescent="0.3">
      <c r="A194" s="17">
        <v>203</v>
      </c>
      <c r="B194" s="4">
        <v>72.28</v>
      </c>
      <c r="C194" s="4">
        <v>20.7</v>
      </c>
      <c r="D194" s="63">
        <v>2019</v>
      </c>
      <c r="E194" s="63">
        <v>4</v>
      </c>
      <c r="F194" s="63">
        <v>2</v>
      </c>
      <c r="G194" s="2">
        <v>3.5</v>
      </c>
      <c r="H194" s="3" t="s">
        <v>26</v>
      </c>
      <c r="I194" s="63">
        <v>5</v>
      </c>
      <c r="J194" s="63">
        <v>14</v>
      </c>
      <c r="K194" s="63">
        <v>2</v>
      </c>
      <c r="L194" s="3" t="s">
        <v>27</v>
      </c>
      <c r="M194" s="63">
        <v>27</v>
      </c>
    </row>
    <row r="195" spans="1:13" x14ac:dyDescent="0.3">
      <c r="A195" s="17">
        <v>176</v>
      </c>
      <c r="B195" s="4">
        <v>73.099999999999994</v>
      </c>
      <c r="C195" s="4">
        <v>20.7</v>
      </c>
      <c r="D195" s="63">
        <v>2014</v>
      </c>
      <c r="E195" s="63">
        <v>1</v>
      </c>
      <c r="F195" s="63">
        <v>7</v>
      </c>
      <c r="G195" s="2">
        <v>4.2097999999999995</v>
      </c>
      <c r="H195" s="3" t="s">
        <v>26</v>
      </c>
      <c r="I195" s="63">
        <v>15</v>
      </c>
      <c r="J195" s="63">
        <v>19</v>
      </c>
      <c r="K195" s="63">
        <v>20</v>
      </c>
      <c r="L195" s="3" t="s">
        <v>27</v>
      </c>
      <c r="M195" s="63">
        <v>27</v>
      </c>
    </row>
    <row r="196" spans="1:13" x14ac:dyDescent="0.3">
      <c r="A196" s="17">
        <v>121</v>
      </c>
      <c r="B196" s="4">
        <v>73.62</v>
      </c>
      <c r="C196" s="4">
        <v>20.71</v>
      </c>
      <c r="D196" s="63">
        <v>2002</v>
      </c>
      <c r="E196" s="63">
        <v>12</v>
      </c>
      <c r="F196" s="63">
        <v>1</v>
      </c>
      <c r="G196" s="2">
        <v>3.8618000000000001</v>
      </c>
      <c r="H196" s="3" t="s">
        <v>26</v>
      </c>
      <c r="I196" s="63">
        <v>1</v>
      </c>
      <c r="J196" s="63">
        <v>13</v>
      </c>
      <c r="K196" s="63">
        <v>3</v>
      </c>
      <c r="L196" s="3" t="s">
        <v>27</v>
      </c>
      <c r="M196" s="63">
        <v>27</v>
      </c>
    </row>
    <row r="197" spans="1:13" x14ac:dyDescent="0.3">
      <c r="A197" s="17">
        <v>20</v>
      </c>
      <c r="B197" s="15">
        <v>74.8</v>
      </c>
      <c r="C197" s="15">
        <v>20.9</v>
      </c>
      <c r="D197" s="16">
        <v>1869</v>
      </c>
      <c r="E197" s="16">
        <v>7</v>
      </c>
      <c r="F197" s="16">
        <v>12</v>
      </c>
      <c r="G197" s="2">
        <v>4.3</v>
      </c>
      <c r="H197" s="3" t="s">
        <v>26</v>
      </c>
      <c r="I197" s="16">
        <v>0</v>
      </c>
      <c r="J197" s="16">
        <v>0</v>
      </c>
      <c r="K197" s="16">
        <v>0</v>
      </c>
      <c r="L197" s="11">
        <v>15</v>
      </c>
      <c r="M197" s="63">
        <v>27</v>
      </c>
    </row>
    <row r="198" spans="1:13" x14ac:dyDescent="0.3">
      <c r="A198" s="17">
        <v>143</v>
      </c>
      <c r="B198" s="4">
        <v>76.39</v>
      </c>
      <c r="C198" s="4">
        <v>18.22</v>
      </c>
      <c r="D198" s="63">
        <v>2006</v>
      </c>
      <c r="E198" s="63">
        <v>1</v>
      </c>
      <c r="F198" s="63">
        <v>4</v>
      </c>
      <c r="G198" s="2">
        <v>4.2097999999999995</v>
      </c>
      <c r="H198" s="3" t="s">
        <v>26</v>
      </c>
      <c r="I198" s="63">
        <v>7</v>
      </c>
      <c r="J198" s="63">
        <v>16</v>
      </c>
      <c r="K198" s="63">
        <v>31</v>
      </c>
      <c r="L198" s="3" t="s">
        <v>27</v>
      </c>
      <c r="M198" s="63">
        <v>28</v>
      </c>
    </row>
    <row r="199" spans="1:13" x14ac:dyDescent="0.3">
      <c r="A199" s="17">
        <v>58</v>
      </c>
      <c r="B199" s="4">
        <v>76.727000000000004</v>
      </c>
      <c r="C199" s="4">
        <v>18.238600000000002</v>
      </c>
      <c r="D199" s="63">
        <v>1996</v>
      </c>
      <c r="E199" s="63">
        <v>11</v>
      </c>
      <c r="F199" s="63">
        <v>10</v>
      </c>
      <c r="G199" s="2">
        <v>4.8770899999999999</v>
      </c>
      <c r="H199" s="3" t="s">
        <v>26</v>
      </c>
      <c r="I199" s="63">
        <v>35</v>
      </c>
      <c r="J199" s="63">
        <v>9</v>
      </c>
      <c r="K199" s="63">
        <v>0</v>
      </c>
      <c r="L199" s="3" t="s">
        <v>10</v>
      </c>
      <c r="M199" s="63">
        <v>28</v>
      </c>
    </row>
    <row r="200" spans="1:13" x14ac:dyDescent="0.3">
      <c r="A200" s="17">
        <v>77</v>
      </c>
      <c r="B200" s="4">
        <v>76.5</v>
      </c>
      <c r="C200" s="4">
        <v>18.3</v>
      </c>
      <c r="D200" s="63">
        <v>1999</v>
      </c>
      <c r="E200" s="63">
        <v>2</v>
      </c>
      <c r="F200" s="63">
        <v>20</v>
      </c>
      <c r="G200" s="2">
        <v>4.48644</v>
      </c>
      <c r="H200" s="3" t="s">
        <v>26</v>
      </c>
      <c r="I200" s="63">
        <v>10</v>
      </c>
      <c r="J200" s="63">
        <v>16</v>
      </c>
      <c r="K200" s="63">
        <v>50</v>
      </c>
      <c r="L200" s="3" t="s">
        <v>27</v>
      </c>
      <c r="M200" s="63">
        <v>28</v>
      </c>
    </row>
    <row r="201" spans="1:13" x14ac:dyDescent="0.3">
      <c r="A201" s="17">
        <v>137</v>
      </c>
      <c r="B201" s="4">
        <v>76.62</v>
      </c>
      <c r="C201" s="4">
        <v>18.600000000000001</v>
      </c>
      <c r="D201" s="63">
        <v>2005</v>
      </c>
      <c r="E201" s="63">
        <v>4</v>
      </c>
      <c r="F201" s="63">
        <v>13</v>
      </c>
      <c r="G201" s="2">
        <v>4.2097999999999995</v>
      </c>
      <c r="H201" s="3" t="s">
        <v>26</v>
      </c>
      <c r="I201" s="63">
        <v>5</v>
      </c>
      <c r="J201" s="63">
        <v>11</v>
      </c>
      <c r="K201" s="63">
        <v>37</v>
      </c>
      <c r="L201" s="3" t="s">
        <v>27</v>
      </c>
      <c r="M201" s="63">
        <v>28</v>
      </c>
    </row>
    <row r="202" spans="1:13" x14ac:dyDescent="0.3">
      <c r="A202" s="17">
        <v>105</v>
      </c>
      <c r="B202" s="4">
        <v>76.37</v>
      </c>
      <c r="C202" s="4">
        <v>18.7</v>
      </c>
      <c r="D202" s="63">
        <v>2001</v>
      </c>
      <c r="E202" s="63">
        <v>5</v>
      </c>
      <c r="F202" s="63">
        <v>15</v>
      </c>
      <c r="G202" s="2">
        <v>4.0009999999999994</v>
      </c>
      <c r="H202" s="3" t="s">
        <v>26</v>
      </c>
      <c r="I202" s="63">
        <v>9</v>
      </c>
      <c r="J202" s="63">
        <v>22</v>
      </c>
      <c r="K202" s="63">
        <v>35</v>
      </c>
      <c r="L202" s="3" t="s">
        <v>27</v>
      </c>
      <c r="M202" s="63">
        <v>28</v>
      </c>
    </row>
    <row r="203" spans="1:13" x14ac:dyDescent="0.3">
      <c r="A203" s="17">
        <v>47</v>
      </c>
      <c r="B203" s="4">
        <v>76.62</v>
      </c>
      <c r="C203" s="4">
        <v>18.7</v>
      </c>
      <c r="D203" s="63">
        <v>1993</v>
      </c>
      <c r="E203" s="63">
        <v>9</v>
      </c>
      <c r="F203" s="63">
        <v>30</v>
      </c>
      <c r="G203" s="2">
        <v>6.3</v>
      </c>
      <c r="H203" s="3" t="s">
        <v>26</v>
      </c>
      <c r="I203" s="63">
        <v>12</v>
      </c>
      <c r="J203" s="63">
        <v>3</v>
      </c>
      <c r="K203" s="63">
        <v>55</v>
      </c>
      <c r="L203" s="3" t="s">
        <v>27</v>
      </c>
      <c r="M203" s="63">
        <v>28</v>
      </c>
    </row>
    <row r="204" spans="1:13" x14ac:dyDescent="0.3">
      <c r="A204" s="17">
        <v>150</v>
      </c>
      <c r="B204" s="4">
        <v>76.66</v>
      </c>
      <c r="C204" s="4">
        <v>18.7</v>
      </c>
      <c r="D204" s="63">
        <v>2007</v>
      </c>
      <c r="E204" s="63">
        <v>9</v>
      </c>
      <c r="F204" s="63">
        <v>6</v>
      </c>
      <c r="G204" s="2">
        <v>4.4185999999999996</v>
      </c>
      <c r="H204" s="3" t="s">
        <v>26</v>
      </c>
      <c r="I204" s="63">
        <v>10</v>
      </c>
      <c r="J204" s="63">
        <v>12</v>
      </c>
      <c r="K204" s="63">
        <v>39</v>
      </c>
      <c r="L204" s="3" t="s">
        <v>27</v>
      </c>
      <c r="M204" s="63">
        <v>28</v>
      </c>
    </row>
    <row r="205" spans="1:13" x14ac:dyDescent="0.3">
      <c r="A205" s="17">
        <v>69</v>
      </c>
      <c r="B205" s="4">
        <v>76.680000000000007</v>
      </c>
      <c r="C205" s="4">
        <v>18.8</v>
      </c>
      <c r="D205" s="63">
        <v>1998</v>
      </c>
      <c r="E205" s="63">
        <v>8</v>
      </c>
      <c r="F205" s="63">
        <v>10</v>
      </c>
      <c r="G205" s="2">
        <v>4.1402000000000001</v>
      </c>
      <c r="H205" s="3" t="s">
        <v>26</v>
      </c>
      <c r="I205" s="63">
        <v>10</v>
      </c>
      <c r="J205" s="63">
        <v>22</v>
      </c>
      <c r="K205" s="63">
        <v>50</v>
      </c>
      <c r="L205" s="3" t="s">
        <v>27</v>
      </c>
      <c r="M205" s="63">
        <v>28</v>
      </c>
    </row>
    <row r="206" spans="1:13" x14ac:dyDescent="0.3">
      <c r="A206" s="17">
        <v>84</v>
      </c>
      <c r="B206" s="4">
        <v>77.457999999999998</v>
      </c>
      <c r="C206" s="4">
        <v>19.178000000000001</v>
      </c>
      <c r="D206" s="63">
        <v>1999</v>
      </c>
      <c r="E206" s="63">
        <v>10</v>
      </c>
      <c r="F206" s="63">
        <v>9</v>
      </c>
      <c r="G206" s="2">
        <v>3.6688899999999998</v>
      </c>
      <c r="H206" s="3" t="s">
        <v>26</v>
      </c>
      <c r="I206" s="63">
        <v>15</v>
      </c>
      <c r="J206" s="63">
        <v>5</v>
      </c>
      <c r="K206" s="63">
        <v>58</v>
      </c>
      <c r="L206" s="3" t="s">
        <v>12</v>
      </c>
      <c r="M206" s="63">
        <v>28</v>
      </c>
    </row>
    <row r="207" spans="1:13" x14ac:dyDescent="0.3">
      <c r="A207" s="17">
        <v>192</v>
      </c>
      <c r="B207" s="4">
        <v>77.13</v>
      </c>
      <c r="C207" s="4">
        <v>19.510000000000002</v>
      </c>
      <c r="D207" s="63">
        <v>2017</v>
      </c>
      <c r="E207" s="63">
        <v>8</v>
      </c>
      <c r="F207" s="63">
        <v>16</v>
      </c>
      <c r="G207" s="2">
        <v>3.8618000000000001</v>
      </c>
      <c r="H207" s="3" t="s">
        <v>26</v>
      </c>
      <c r="I207" s="63">
        <v>10</v>
      </c>
      <c r="J207" s="63">
        <v>12</v>
      </c>
      <c r="K207" s="63">
        <v>5</v>
      </c>
      <c r="L207" s="3" t="s">
        <v>27</v>
      </c>
      <c r="M207" s="63">
        <v>28</v>
      </c>
    </row>
    <row r="208" spans="1:13" x14ac:dyDescent="0.3">
      <c r="A208" s="17">
        <v>85</v>
      </c>
      <c r="B208" s="4">
        <v>77.739999999999995</v>
      </c>
      <c r="C208" s="4">
        <v>19.63</v>
      </c>
      <c r="D208" s="63">
        <v>2000</v>
      </c>
      <c r="E208" s="63">
        <v>3</v>
      </c>
      <c r="F208" s="63">
        <v>27</v>
      </c>
      <c r="G208" s="2">
        <v>3.5630600000000001</v>
      </c>
      <c r="H208" s="3" t="s">
        <v>26</v>
      </c>
      <c r="I208" s="63">
        <v>15</v>
      </c>
      <c r="J208" s="63">
        <v>15</v>
      </c>
      <c r="K208" s="63">
        <v>29</v>
      </c>
      <c r="L208" s="3" t="s">
        <v>27</v>
      </c>
      <c r="M208" s="63">
        <v>28</v>
      </c>
    </row>
    <row r="209" spans="1:13" x14ac:dyDescent="0.3">
      <c r="A209" s="17">
        <v>107</v>
      </c>
      <c r="B209" s="4">
        <v>76.73</v>
      </c>
      <c r="C209" s="4">
        <v>19.7</v>
      </c>
      <c r="D209" s="63">
        <v>2001</v>
      </c>
      <c r="E209" s="63">
        <v>11</v>
      </c>
      <c r="F209" s="63">
        <v>6</v>
      </c>
      <c r="G209" s="2">
        <v>3.93953</v>
      </c>
      <c r="H209" s="3" t="s">
        <v>26</v>
      </c>
      <c r="I209" s="63">
        <v>15</v>
      </c>
      <c r="J209" s="63">
        <v>4</v>
      </c>
      <c r="K209" s="63">
        <v>1</v>
      </c>
      <c r="L209" s="3" t="s">
        <v>27</v>
      </c>
      <c r="M209" s="63">
        <v>28</v>
      </c>
    </row>
    <row r="210" spans="1:13" x14ac:dyDescent="0.3">
      <c r="A210" s="17">
        <v>132</v>
      </c>
      <c r="B210" s="4">
        <v>77.930000000000007</v>
      </c>
      <c r="C210" s="4">
        <v>20.14</v>
      </c>
      <c r="D210" s="63">
        <v>2004</v>
      </c>
      <c r="E210" s="63">
        <v>12</v>
      </c>
      <c r="F210" s="63">
        <v>2</v>
      </c>
      <c r="G210" s="2">
        <v>3.9314</v>
      </c>
      <c r="H210" s="3" t="s">
        <v>26</v>
      </c>
      <c r="I210" s="63">
        <v>19</v>
      </c>
      <c r="J210" s="63">
        <v>15</v>
      </c>
      <c r="K210" s="63">
        <v>18</v>
      </c>
      <c r="L210" s="3" t="s">
        <v>27</v>
      </c>
      <c r="M210" s="63">
        <v>28</v>
      </c>
    </row>
    <row r="211" spans="1:13" x14ac:dyDescent="0.3">
      <c r="A211" s="17">
        <v>28</v>
      </c>
      <c r="B211" s="15">
        <v>77.5</v>
      </c>
      <c r="C211" s="15">
        <v>25</v>
      </c>
      <c r="D211" s="16">
        <v>1930</v>
      </c>
      <c r="E211" s="16">
        <v>6</v>
      </c>
      <c r="F211" s="16">
        <v>25</v>
      </c>
      <c r="G211" s="2">
        <v>5.5</v>
      </c>
      <c r="H211" s="3" t="s">
        <v>26</v>
      </c>
      <c r="I211" s="16">
        <v>0</v>
      </c>
      <c r="J211" s="16">
        <v>0</v>
      </c>
      <c r="K211" s="16">
        <v>49</v>
      </c>
      <c r="L211" s="11">
        <v>2</v>
      </c>
      <c r="M211" s="63">
        <v>29</v>
      </c>
    </row>
    <row r="212" spans="1:13" x14ac:dyDescent="0.3">
      <c r="A212" s="17">
        <v>23</v>
      </c>
      <c r="B212" s="15">
        <v>80</v>
      </c>
      <c r="C212" s="15">
        <v>18.8</v>
      </c>
      <c r="D212" s="16">
        <v>1872</v>
      </c>
      <c r="E212" s="16">
        <v>11</v>
      </c>
      <c r="F212" s="16">
        <v>22</v>
      </c>
      <c r="G212" s="2">
        <v>4.7</v>
      </c>
      <c r="H212" s="3" t="s">
        <v>26</v>
      </c>
      <c r="I212" s="16">
        <v>0</v>
      </c>
      <c r="J212" s="16">
        <v>0</v>
      </c>
      <c r="K212" s="16">
        <v>0</v>
      </c>
      <c r="L212" s="11">
        <v>11</v>
      </c>
      <c r="M212" s="63">
        <v>29</v>
      </c>
    </row>
    <row r="213" spans="1:13" x14ac:dyDescent="0.3">
      <c r="A213" s="17">
        <v>119</v>
      </c>
      <c r="B213" s="4">
        <v>78.28</v>
      </c>
      <c r="C213" s="4">
        <v>19.64</v>
      </c>
      <c r="D213" s="63">
        <v>2002</v>
      </c>
      <c r="E213" s="63">
        <v>9</v>
      </c>
      <c r="F213" s="63">
        <v>24</v>
      </c>
      <c r="G213" s="2">
        <v>3.8618000000000001</v>
      </c>
      <c r="H213" s="3" t="s">
        <v>26</v>
      </c>
      <c r="I213" s="63">
        <v>10</v>
      </c>
      <c r="J213" s="63">
        <v>22</v>
      </c>
      <c r="K213" s="63">
        <v>49</v>
      </c>
      <c r="L213" s="3" t="s">
        <v>27</v>
      </c>
      <c r="M213" s="63">
        <v>29</v>
      </c>
    </row>
    <row r="214" spans="1:13" x14ac:dyDescent="0.3">
      <c r="A214" s="17">
        <v>88</v>
      </c>
      <c r="B214" s="4">
        <v>78.81</v>
      </c>
      <c r="C214" s="4">
        <v>19.84</v>
      </c>
      <c r="D214" s="63">
        <v>2000</v>
      </c>
      <c r="E214" s="63">
        <v>6</v>
      </c>
      <c r="F214" s="63">
        <v>22</v>
      </c>
      <c r="G214" s="2">
        <v>4.6970000000000001</v>
      </c>
      <c r="H214" s="3" t="s">
        <v>26</v>
      </c>
      <c r="I214" s="63">
        <v>5</v>
      </c>
      <c r="J214" s="63">
        <v>15</v>
      </c>
      <c r="K214" s="63">
        <v>40</v>
      </c>
      <c r="L214" s="3" t="s">
        <v>27</v>
      </c>
      <c r="M214" s="63">
        <v>29</v>
      </c>
    </row>
    <row r="215" spans="1:13" x14ac:dyDescent="0.3">
      <c r="A215" s="17">
        <v>205</v>
      </c>
      <c r="B215" s="4">
        <v>78.150000000000006</v>
      </c>
      <c r="C215" s="4">
        <v>19.850000000000001</v>
      </c>
      <c r="D215" s="63">
        <v>2019</v>
      </c>
      <c r="E215" s="63">
        <v>6</v>
      </c>
      <c r="F215" s="63">
        <v>21</v>
      </c>
      <c r="G215" s="2">
        <v>3.6</v>
      </c>
      <c r="H215" s="3" t="s">
        <v>26</v>
      </c>
      <c r="I215" s="63">
        <v>7</v>
      </c>
      <c r="J215" s="63">
        <v>21</v>
      </c>
      <c r="K215" s="63">
        <v>12</v>
      </c>
      <c r="L215" s="3" t="s">
        <v>27</v>
      </c>
      <c r="M215" s="63">
        <v>29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45"/>
  <sheetViews>
    <sheetView topLeftCell="A20" workbookViewId="0">
      <selection activeCell="P38" sqref="P38"/>
    </sheetView>
  </sheetViews>
  <sheetFormatPr defaultColWidth="9.109375" defaultRowHeight="14.4" x14ac:dyDescent="0.3"/>
  <cols>
    <col min="1" max="1" width="9.88671875" style="3" bestFit="1" customWidth="1"/>
    <col min="2" max="2" width="14.6640625" style="3" hidden="1" customWidth="1"/>
    <col min="3" max="3" width="38.6640625" style="3" hidden="1" customWidth="1"/>
    <col min="4" max="4" width="15.44140625" style="3" customWidth="1"/>
    <col min="5" max="5" width="9.88671875" style="69" bestFit="1" customWidth="1"/>
    <col min="6" max="6" width="7.88671875" style="69" bestFit="1" customWidth="1"/>
    <col min="7" max="7" width="9.88671875" style="70" bestFit="1" customWidth="1"/>
    <col min="8" max="8" width="7.88671875" style="70" bestFit="1" customWidth="1"/>
    <col min="9" max="9" width="14.109375" style="3" bestFit="1" customWidth="1"/>
    <col min="10" max="10" width="11" style="3" bestFit="1" customWidth="1"/>
    <col min="11" max="11" width="9.109375" style="3" customWidth="1"/>
    <col min="12" max="12" width="10.109375" style="3" hidden="1" customWidth="1"/>
    <col min="13" max="13" width="0" style="3" hidden="1" customWidth="1"/>
    <col min="14" max="14" width="22.6640625" style="3" bestFit="1" customWidth="1"/>
    <col min="15" max="15" width="8.6640625" style="3" bestFit="1" customWidth="1"/>
    <col min="16" max="16" width="12" style="3" bestFit="1" customWidth="1"/>
    <col min="17" max="17" width="21.33203125" style="3" customWidth="1"/>
    <col min="18" max="18" width="14.5546875" style="3" customWidth="1"/>
    <col min="19" max="16384" width="9.109375" style="3"/>
  </cols>
  <sheetData>
    <row r="1" spans="1:18" ht="31.2" x14ac:dyDescent="0.6">
      <c r="A1" s="145" t="s">
        <v>372</v>
      </c>
      <c r="B1" s="145"/>
      <c r="C1" s="145"/>
      <c r="D1" s="145"/>
      <c r="E1" s="146"/>
      <c r="F1" s="146"/>
      <c r="G1" s="147"/>
      <c r="H1" s="147"/>
      <c r="I1" s="145"/>
      <c r="J1" s="145"/>
      <c r="K1" s="145"/>
      <c r="L1" s="145"/>
      <c r="M1" s="145"/>
      <c r="N1" s="145"/>
      <c r="O1" s="145"/>
      <c r="P1" s="145"/>
      <c r="Q1" s="145"/>
      <c r="R1" s="145"/>
    </row>
    <row r="2" spans="1:18" ht="15.6" x14ac:dyDescent="0.35">
      <c r="A2" s="3" t="s">
        <v>371</v>
      </c>
      <c r="B2" s="3" t="s">
        <v>370</v>
      </c>
      <c r="C2" s="3" t="s">
        <v>68</v>
      </c>
      <c r="D2" s="3" t="s">
        <v>369</v>
      </c>
      <c r="E2" s="3" t="s">
        <v>363</v>
      </c>
      <c r="F2" s="3" t="s">
        <v>364</v>
      </c>
      <c r="G2" s="3" t="s">
        <v>365</v>
      </c>
      <c r="H2" s="3" t="s">
        <v>366</v>
      </c>
      <c r="I2" s="3" t="s">
        <v>219</v>
      </c>
      <c r="J2" s="3" t="s">
        <v>220</v>
      </c>
      <c r="K2" s="3" t="s">
        <v>135</v>
      </c>
      <c r="L2" s="3" t="s">
        <v>136</v>
      </c>
      <c r="M2" s="3" t="s">
        <v>362</v>
      </c>
      <c r="N2" s="3" t="s">
        <v>367</v>
      </c>
      <c r="O2" s="3" t="s">
        <v>368</v>
      </c>
      <c r="P2" s="3" t="s">
        <v>373</v>
      </c>
      <c r="Q2" s="3" t="s">
        <v>221</v>
      </c>
      <c r="R2" s="3" t="s">
        <v>222</v>
      </c>
    </row>
    <row r="3" spans="1:18" x14ac:dyDescent="0.3">
      <c r="A3" s="3">
        <v>1</v>
      </c>
      <c r="B3" s="3" t="s">
        <v>215</v>
      </c>
      <c r="C3" s="3" t="s">
        <v>253</v>
      </c>
      <c r="D3" s="3" t="s">
        <v>138</v>
      </c>
      <c r="E3" s="69">
        <v>72.2</v>
      </c>
      <c r="F3" s="69">
        <v>18.079999999999998</v>
      </c>
      <c r="G3" s="70">
        <v>72.599999999999994</v>
      </c>
      <c r="H3" s="70">
        <v>17</v>
      </c>
      <c r="I3" s="2">
        <f t="shared" ref="I3:I66" si="0">6378.8*ACOS(SIN(E3*3.14/180)*SIN(G3*3.14/180)+COS(E3*3.14/180)*COS(G3*3.14/180)*COS(H3*3.14/180-F3*3.14/180))</f>
        <v>57.503898645525567</v>
      </c>
      <c r="J3" s="2">
        <f t="shared" ref="J3:J34" si="1">5.06+LOG10(I3)*1.16</f>
        <v>7.1012488563494589</v>
      </c>
      <c r="K3" s="3">
        <v>27</v>
      </c>
      <c r="M3" s="3">
        <v>0</v>
      </c>
      <c r="N3" s="2">
        <f>IF(Table1[[#This Row],[No of EQ]]&gt;0,Table1[[#This Row],[Total Length]],0)</f>
        <v>0</v>
      </c>
      <c r="O3" s="4">
        <f>Table1[[#This Row],[No of EQ]]/214</f>
        <v>0</v>
      </c>
      <c r="P3" s="4">
        <f>Table1[[#This Row],[Active Fault Length]]/$N$134</f>
        <v>0</v>
      </c>
      <c r="Q3" s="4">
        <f>AVERAGE(Table1[[#This Row],[Wm]:[Wl ]])</f>
        <v>0</v>
      </c>
      <c r="R3" s="4">
        <f>2.303*Table1[[#This Row],[Total Weightage Factor]]</f>
        <v>0</v>
      </c>
    </row>
    <row r="4" spans="1:18" x14ac:dyDescent="0.3">
      <c r="A4" s="3">
        <v>2</v>
      </c>
      <c r="B4" s="3" t="s">
        <v>215</v>
      </c>
      <c r="C4" s="3" t="s">
        <v>259</v>
      </c>
      <c r="D4" s="3" t="s">
        <v>87</v>
      </c>
      <c r="E4" s="69">
        <v>78.64</v>
      </c>
      <c r="F4" s="69">
        <v>21.1</v>
      </c>
      <c r="G4" s="70">
        <v>79.849999999999994</v>
      </c>
      <c r="H4" s="70">
        <v>21.15</v>
      </c>
      <c r="I4" s="2">
        <f t="shared" si="0"/>
        <v>134.64631296601783</v>
      </c>
      <c r="J4" s="2">
        <f t="shared" si="1"/>
        <v>7.529865580072121</v>
      </c>
      <c r="K4" s="3">
        <v>21</v>
      </c>
      <c r="M4" s="3">
        <v>0</v>
      </c>
      <c r="N4" s="2">
        <f>IF(Table1[[#This Row],[No of EQ]]&gt;0,Table1[[#This Row],[Total Length]],0)</f>
        <v>0</v>
      </c>
      <c r="O4" s="4">
        <f>Table1[[#This Row],[No of EQ]]/214</f>
        <v>0</v>
      </c>
      <c r="P4" s="4">
        <f>Table1[[#This Row],[Active Fault Length]]/$N$134</f>
        <v>0</v>
      </c>
      <c r="Q4" s="4">
        <f>AVERAGE(Table1[[#This Row],[Wm]:[Wl ]])</f>
        <v>0</v>
      </c>
      <c r="R4" s="4">
        <f>2.303*Table1[[#This Row],[Total Weightage Factor]]</f>
        <v>0</v>
      </c>
    </row>
    <row r="5" spans="1:18" x14ac:dyDescent="0.3">
      <c r="A5" s="3">
        <v>3</v>
      </c>
      <c r="B5" s="3" t="s">
        <v>215</v>
      </c>
      <c r="C5" s="3" t="s">
        <v>260</v>
      </c>
      <c r="D5" s="3" t="s">
        <v>86</v>
      </c>
      <c r="E5" s="69">
        <v>80.37</v>
      </c>
      <c r="F5" s="69">
        <v>21.05</v>
      </c>
      <c r="G5" s="70">
        <v>80.48</v>
      </c>
      <c r="H5" s="70">
        <v>21.28</v>
      </c>
      <c r="I5" s="2">
        <f t="shared" si="0"/>
        <v>12.965278551815487</v>
      </c>
      <c r="J5" s="2">
        <f t="shared" si="1"/>
        <v>6.3508269480666142</v>
      </c>
      <c r="K5" s="3">
        <v>21</v>
      </c>
      <c r="M5" s="3">
        <v>0</v>
      </c>
      <c r="N5" s="2">
        <f>IF(Table1[[#This Row],[No of EQ]]&gt;0,Table1[[#This Row],[Total Length]],0)</f>
        <v>0</v>
      </c>
      <c r="O5" s="4">
        <f>Table1[[#This Row],[No of EQ]]/214</f>
        <v>0</v>
      </c>
      <c r="P5" s="4">
        <f>Table1[[#This Row],[Active Fault Length]]/$N$134</f>
        <v>0</v>
      </c>
      <c r="Q5" s="4">
        <f>AVERAGE(Table1[[#This Row],[Wm]:[Wl ]])</f>
        <v>0</v>
      </c>
      <c r="R5" s="4">
        <f>2.303*Table1[[#This Row],[Total Weightage Factor]]</f>
        <v>0</v>
      </c>
    </row>
    <row r="6" spans="1:18" x14ac:dyDescent="0.3">
      <c r="A6" s="3">
        <v>4</v>
      </c>
      <c r="B6" s="3" t="s">
        <v>215</v>
      </c>
      <c r="C6" s="3" t="s">
        <v>261</v>
      </c>
      <c r="D6" s="3" t="s">
        <v>88</v>
      </c>
      <c r="E6" s="69">
        <v>72.150000000000006</v>
      </c>
      <c r="F6" s="69">
        <v>18.399999999999999</v>
      </c>
      <c r="G6" s="70">
        <v>72.7</v>
      </c>
      <c r="H6" s="70">
        <v>17</v>
      </c>
      <c r="I6" s="2">
        <f t="shared" si="0"/>
        <v>77.244038127504922</v>
      </c>
      <c r="J6" s="2">
        <f t="shared" si="1"/>
        <v>7.2499233646705141</v>
      </c>
      <c r="K6" s="3">
        <v>27</v>
      </c>
      <c r="M6" s="3">
        <v>0</v>
      </c>
      <c r="N6" s="2">
        <f>IF(Table1[[#This Row],[No of EQ]]&gt;0,Table1[[#This Row],[Total Length]],0)</f>
        <v>0</v>
      </c>
      <c r="O6" s="4">
        <f>Table1[[#This Row],[No of EQ]]/214</f>
        <v>0</v>
      </c>
      <c r="P6" s="4">
        <f>Table1[[#This Row],[Active Fault Length]]/$N$134</f>
        <v>0</v>
      </c>
      <c r="Q6" s="4">
        <f>AVERAGE(Table1[[#This Row],[Wm]:[Wl ]])</f>
        <v>0</v>
      </c>
      <c r="R6" s="4">
        <f>2.303*Table1[[#This Row],[Total Weightage Factor]]</f>
        <v>0</v>
      </c>
    </row>
    <row r="7" spans="1:18" x14ac:dyDescent="0.3">
      <c r="A7" s="3">
        <v>5</v>
      </c>
      <c r="B7" s="3" t="s">
        <v>215</v>
      </c>
      <c r="C7" s="3" t="s">
        <v>262</v>
      </c>
      <c r="D7" s="3" t="s">
        <v>84</v>
      </c>
      <c r="E7" s="69">
        <v>76.849999999999994</v>
      </c>
      <c r="F7" s="69">
        <v>21.58</v>
      </c>
      <c r="G7" s="70">
        <v>77.98</v>
      </c>
      <c r="H7" s="70">
        <v>21.3</v>
      </c>
      <c r="I7" s="2">
        <f t="shared" si="0"/>
        <v>125.92421212959657</v>
      </c>
      <c r="J7" s="2">
        <f t="shared" si="1"/>
        <v>7.4961267210524962</v>
      </c>
      <c r="K7" s="3">
        <v>20</v>
      </c>
      <c r="L7" s="3" t="s">
        <v>343</v>
      </c>
      <c r="M7" s="3">
        <v>2</v>
      </c>
      <c r="N7" s="2">
        <f>IF(Table1[[#This Row],[No of EQ]]&gt;0,Table1[[#This Row],[Total Length]],0)</f>
        <v>125.92421212959657</v>
      </c>
      <c r="O7" s="4">
        <f>Table1[[#This Row],[No of EQ]]/214</f>
        <v>9.3457943925233638E-3</v>
      </c>
      <c r="P7" s="4">
        <f>Table1[[#This Row],[Active Fault Length]]/$N$134</f>
        <v>6.0818437459176977E-2</v>
      </c>
      <c r="Q7" s="4">
        <f>AVERAGE(Table1[[#This Row],[Wm]:[Wl ]])</f>
        <v>3.5082115925850171E-2</v>
      </c>
      <c r="R7" s="4">
        <f>2.303*Table1[[#This Row],[Total Weightage Factor]]</f>
        <v>8.0794112977232949E-2</v>
      </c>
    </row>
    <row r="8" spans="1:18" s="67" customFormat="1" x14ac:dyDescent="0.3">
      <c r="A8" s="67">
        <v>6</v>
      </c>
      <c r="B8" s="67" t="s">
        <v>215</v>
      </c>
      <c r="C8" s="67" t="s">
        <v>263</v>
      </c>
      <c r="D8" s="67" t="s">
        <v>90</v>
      </c>
      <c r="E8" s="72">
        <v>76.2</v>
      </c>
      <c r="F8" s="72">
        <v>21.4</v>
      </c>
      <c r="G8" s="72">
        <v>76.3</v>
      </c>
      <c r="H8" s="72">
        <v>21.45</v>
      </c>
      <c r="I8" s="66">
        <f t="shared" si="0"/>
        <v>11.206196689849234</v>
      </c>
      <c r="J8" s="66">
        <f t="shared" si="1"/>
        <v>6.2773715594257036</v>
      </c>
      <c r="K8" s="67">
        <v>20</v>
      </c>
      <c r="L8" s="67" t="s">
        <v>341</v>
      </c>
      <c r="M8" s="67">
        <v>2</v>
      </c>
      <c r="N8" s="66">
        <f>IF(Table1[[#This Row],[No of EQ]]&gt;0,Table1[[#This Row],[Total Length]],0)</f>
        <v>11.206196689849234</v>
      </c>
      <c r="O8" s="65">
        <f>Table1[[#This Row],[No of EQ]]/214</f>
        <v>9.3457943925233638E-3</v>
      </c>
      <c r="P8" s="65">
        <f>Table1[[#This Row],[Active Fault Length]]/$N$134</f>
        <v>5.4123298530977691E-3</v>
      </c>
      <c r="Q8" s="65">
        <f>AVERAGE(Table1[[#This Row],[Wm]:[Wl ]])</f>
        <v>7.379062122810566E-3</v>
      </c>
      <c r="R8" s="65">
        <f>2.303*Table1[[#This Row],[Total Weightage Factor]]</f>
        <v>1.6993980068832733E-2</v>
      </c>
    </row>
    <row r="9" spans="1:18" s="67" customFormat="1" x14ac:dyDescent="0.3">
      <c r="A9" s="67">
        <v>7</v>
      </c>
      <c r="B9" s="67" t="s">
        <v>215</v>
      </c>
      <c r="C9" s="67" t="s">
        <v>264</v>
      </c>
      <c r="D9" s="67" t="s">
        <v>76</v>
      </c>
      <c r="E9" s="72">
        <v>79.150000000000006</v>
      </c>
      <c r="F9" s="72">
        <v>21.2</v>
      </c>
      <c r="G9" s="72">
        <v>79.91</v>
      </c>
      <c r="H9" s="72">
        <v>21.5</v>
      </c>
      <c r="I9" s="66">
        <f t="shared" si="0"/>
        <v>84.787378985872053</v>
      </c>
      <c r="J9" s="66">
        <f t="shared" si="1"/>
        <v>7.2968642038550264</v>
      </c>
      <c r="K9" s="67">
        <v>21</v>
      </c>
      <c r="M9" s="67">
        <v>0</v>
      </c>
      <c r="N9" s="66">
        <f>IF(Table1[[#This Row],[No of EQ]]&gt;0,Table1[[#This Row],[Total Length]],0)</f>
        <v>0</v>
      </c>
      <c r="O9" s="65">
        <f>Table1[[#This Row],[No of EQ]]/214</f>
        <v>0</v>
      </c>
      <c r="P9" s="65">
        <f>Table1[[#This Row],[Active Fault Length]]/$N$134</f>
        <v>0</v>
      </c>
      <c r="Q9" s="65">
        <f>AVERAGE(Table1[[#This Row],[Wm]:[Wl ]])</f>
        <v>0</v>
      </c>
      <c r="R9" s="65">
        <f>2.303*Table1[[#This Row],[Total Weightage Factor]]</f>
        <v>0</v>
      </c>
    </row>
    <row r="10" spans="1:18" s="67" customFormat="1" x14ac:dyDescent="0.3">
      <c r="A10" s="67">
        <v>8</v>
      </c>
      <c r="B10" s="67" t="s">
        <v>215</v>
      </c>
      <c r="C10" s="67" t="s">
        <v>265</v>
      </c>
      <c r="D10" s="67" t="s">
        <v>77</v>
      </c>
      <c r="E10" s="72">
        <v>80.150000000000006</v>
      </c>
      <c r="F10" s="72">
        <v>21.7</v>
      </c>
      <c r="G10" s="72">
        <v>80.349999999999994</v>
      </c>
      <c r="H10" s="72">
        <v>21.8</v>
      </c>
      <c r="I10" s="66">
        <f t="shared" si="0"/>
        <v>22.335213807980292</v>
      </c>
      <c r="J10" s="66">
        <f t="shared" si="1"/>
        <v>6.6248285324630709</v>
      </c>
      <c r="K10" s="67">
        <v>21</v>
      </c>
      <c r="M10" s="67">
        <v>0</v>
      </c>
      <c r="N10" s="66">
        <f>IF(Table1[[#This Row],[No of EQ]]&gt;0,Table1[[#This Row],[Total Length]],0)</f>
        <v>0</v>
      </c>
      <c r="O10" s="65">
        <f>Table1[[#This Row],[No of EQ]]/214</f>
        <v>0</v>
      </c>
      <c r="P10" s="65">
        <f>Table1[[#This Row],[Active Fault Length]]/$N$134</f>
        <v>0</v>
      </c>
      <c r="Q10" s="65">
        <f>AVERAGE(Table1[[#This Row],[Wm]:[Wl ]])</f>
        <v>0</v>
      </c>
      <c r="R10" s="65">
        <f>2.303*Table1[[#This Row],[Total Weightage Factor]]</f>
        <v>0</v>
      </c>
    </row>
    <row r="11" spans="1:18" s="67" customFormat="1" x14ac:dyDescent="0.3">
      <c r="A11" s="67">
        <v>9</v>
      </c>
      <c r="B11" s="67" t="s">
        <v>215</v>
      </c>
      <c r="C11" s="67" t="s">
        <v>240</v>
      </c>
      <c r="D11" s="67" t="s">
        <v>93</v>
      </c>
      <c r="E11" s="72">
        <v>76.150000000000006</v>
      </c>
      <c r="F11" s="72">
        <v>21.4</v>
      </c>
      <c r="G11" s="72">
        <v>78</v>
      </c>
      <c r="H11" s="72">
        <v>21.98</v>
      </c>
      <c r="I11" s="66">
        <f t="shared" si="0"/>
        <v>206.3640505157731</v>
      </c>
      <c r="J11" s="66">
        <f t="shared" si="1"/>
        <v>7.7449754906010888</v>
      </c>
      <c r="K11" s="67">
        <v>20</v>
      </c>
      <c r="L11" s="67" t="s">
        <v>342</v>
      </c>
      <c r="M11" s="67">
        <v>2</v>
      </c>
      <c r="N11" s="66">
        <f>IF(Table1[[#This Row],[No of EQ]]&gt;0,Table1[[#This Row],[Total Length]],0)</f>
        <v>206.3640505157731</v>
      </c>
      <c r="O11" s="65">
        <f>Table1[[#This Row],[No of EQ]]/214</f>
        <v>9.3457943925233638E-3</v>
      </c>
      <c r="P11" s="65">
        <f>Table1[[#This Row],[Active Fault Length]]/$N$134</f>
        <v>9.9668990481347822E-2</v>
      </c>
      <c r="Q11" s="65">
        <f>AVERAGE(Table1[[#This Row],[Wm]:[Wl ]])</f>
        <v>5.4507392436935594E-2</v>
      </c>
      <c r="R11" s="65">
        <f>2.303*Table1[[#This Row],[Total Weightage Factor]]</f>
        <v>0.12553052478226268</v>
      </c>
    </row>
    <row r="12" spans="1:18" s="67" customFormat="1" x14ac:dyDescent="0.3">
      <c r="A12" s="67">
        <v>10</v>
      </c>
      <c r="B12" s="67" t="s">
        <v>215</v>
      </c>
      <c r="C12" s="67" t="s">
        <v>266</v>
      </c>
      <c r="D12" s="67" t="s">
        <v>94</v>
      </c>
      <c r="E12" s="72">
        <v>79.400000000000006</v>
      </c>
      <c r="F12" s="72">
        <v>21.95</v>
      </c>
      <c r="G12" s="72">
        <v>79.63</v>
      </c>
      <c r="H12" s="72">
        <v>22.08</v>
      </c>
      <c r="I12" s="66">
        <f t="shared" si="0"/>
        <v>25.729199389918232</v>
      </c>
      <c r="J12" s="66">
        <f t="shared" si="1"/>
        <v>6.6960944761819139</v>
      </c>
      <c r="K12" s="67">
        <v>21</v>
      </c>
      <c r="L12" s="67" t="s">
        <v>346</v>
      </c>
      <c r="M12" s="67">
        <v>1</v>
      </c>
      <c r="N12" s="66">
        <f>IF(Table1[[#This Row],[No of EQ]]&gt;0,Table1[[#This Row],[Total Length]],0)</f>
        <v>25.729199389918232</v>
      </c>
      <c r="O12" s="65">
        <f>Table1[[#This Row],[No of EQ]]/214</f>
        <v>4.6728971962616819E-3</v>
      </c>
      <c r="P12" s="65">
        <f>Table1[[#This Row],[Active Fault Length]]/$N$134</f>
        <v>1.2426599122653171E-2</v>
      </c>
      <c r="Q12" s="65">
        <f>AVERAGE(Table1[[#This Row],[Wm]:[Wl ]])</f>
        <v>8.5497481594574258E-3</v>
      </c>
      <c r="R12" s="65">
        <f>2.303*Table1[[#This Row],[Total Weightage Factor]]</f>
        <v>1.9690070011230451E-2</v>
      </c>
    </row>
    <row r="13" spans="1:18" x14ac:dyDescent="0.3">
      <c r="A13" s="3">
        <v>11</v>
      </c>
      <c r="B13" s="3" t="s">
        <v>215</v>
      </c>
      <c r="C13" s="3" t="s">
        <v>267</v>
      </c>
      <c r="D13" s="3" t="s">
        <v>74</v>
      </c>
      <c r="E13" s="69">
        <v>79.25</v>
      </c>
      <c r="F13" s="69">
        <v>21.95</v>
      </c>
      <c r="G13" s="70">
        <v>79.599999999999994</v>
      </c>
      <c r="H13" s="70">
        <v>22.1</v>
      </c>
      <c r="I13" s="2">
        <f t="shared" si="0"/>
        <v>39.067269730017841</v>
      </c>
      <c r="J13" s="2">
        <f t="shared" si="1"/>
        <v>6.906503150779665</v>
      </c>
      <c r="K13" s="3">
        <v>21</v>
      </c>
      <c r="L13" s="3" t="s">
        <v>346</v>
      </c>
      <c r="M13" s="3">
        <v>1</v>
      </c>
      <c r="N13" s="2">
        <f>IF(Table1[[#This Row],[No of EQ]]&gt;0,Table1[[#This Row],[Total Length]],0)</f>
        <v>39.067269730017841</v>
      </c>
      <c r="O13" s="4">
        <f>Table1[[#This Row],[No of EQ]]/214</f>
        <v>4.6728971962616819E-3</v>
      </c>
      <c r="P13" s="4">
        <f>Table1[[#This Row],[Active Fault Length]]/$N$134</f>
        <v>1.8868573887367946E-2</v>
      </c>
      <c r="Q13" s="4">
        <f>AVERAGE(Table1[[#This Row],[Wm]:[Wl ]])</f>
        <v>1.1770735541814814E-2</v>
      </c>
      <c r="R13" s="4">
        <f>2.303*Table1[[#This Row],[Total Weightage Factor]]</f>
        <v>2.7108003952799518E-2</v>
      </c>
    </row>
    <row r="14" spans="1:18" x14ac:dyDescent="0.3">
      <c r="A14" s="3">
        <v>12</v>
      </c>
      <c r="B14" s="3" t="s">
        <v>215</v>
      </c>
      <c r="C14" s="3" t="s">
        <v>254</v>
      </c>
      <c r="D14" s="3" t="s">
        <v>139</v>
      </c>
      <c r="E14" s="69">
        <v>72.849999999999994</v>
      </c>
      <c r="F14" s="69">
        <v>20.2</v>
      </c>
      <c r="G14" s="70">
        <v>73.02</v>
      </c>
      <c r="H14" s="70">
        <v>19.75</v>
      </c>
      <c r="I14" s="2">
        <f t="shared" si="0"/>
        <v>23.972260865075814</v>
      </c>
      <c r="J14" s="2">
        <f t="shared" si="1"/>
        <v>6.6604624342271253</v>
      </c>
      <c r="K14" s="3">
        <v>27</v>
      </c>
      <c r="L14" s="3" t="s">
        <v>359</v>
      </c>
      <c r="M14" s="3">
        <v>5</v>
      </c>
      <c r="N14" s="2">
        <f>IF(Table1[[#This Row],[No of EQ]]&gt;0,Table1[[#This Row],[Total Length]],0)</f>
        <v>23.972260865075814</v>
      </c>
      <c r="O14" s="4">
        <f>Table1[[#This Row],[No of EQ]]/214</f>
        <v>2.336448598130841E-2</v>
      </c>
      <c r="P14" s="4">
        <f>Table1[[#This Row],[Active Fault Length]]/$N$134</f>
        <v>1.1578039072241446E-2</v>
      </c>
      <c r="Q14" s="4">
        <f>AVERAGE(Table1[[#This Row],[Wm]:[Wl ]])</f>
        <v>1.7471262526774927E-2</v>
      </c>
      <c r="R14" s="4">
        <f>2.303*Table1[[#This Row],[Total Weightage Factor]]</f>
        <v>4.0236317599162658E-2</v>
      </c>
    </row>
    <row r="15" spans="1:18" x14ac:dyDescent="0.3">
      <c r="A15" s="3">
        <v>13</v>
      </c>
      <c r="B15" s="3" t="s">
        <v>215</v>
      </c>
      <c r="C15" s="3" t="s">
        <v>268</v>
      </c>
      <c r="D15" s="3" t="s">
        <v>73</v>
      </c>
      <c r="E15" s="69">
        <v>79.2</v>
      </c>
      <c r="F15" s="69">
        <v>21.7</v>
      </c>
      <c r="G15" s="70">
        <v>79.97</v>
      </c>
      <c r="H15" s="70">
        <v>22.15</v>
      </c>
      <c r="I15" s="2">
        <f t="shared" si="0"/>
        <v>86.16131115039903</v>
      </c>
      <c r="J15" s="2">
        <f t="shared" si="1"/>
        <v>7.3049622670364371</v>
      </c>
      <c r="K15" s="3">
        <v>21</v>
      </c>
      <c r="L15" s="3">
        <v>30</v>
      </c>
      <c r="M15" s="3">
        <v>1</v>
      </c>
      <c r="N15" s="2">
        <f>IF(Table1[[#This Row],[No of EQ]]&gt;0,Table1[[#This Row],[Total Length]],0)</f>
        <v>86.16131115039903</v>
      </c>
      <c r="O15" s="4">
        <f>Table1[[#This Row],[No of EQ]]/214</f>
        <v>4.6728971962616819E-3</v>
      </c>
      <c r="P15" s="4">
        <f>Table1[[#This Row],[Active Fault Length]]/$N$134</f>
        <v>4.1613890013528249E-2</v>
      </c>
      <c r="Q15" s="4">
        <f>AVERAGE(Table1[[#This Row],[Wm]:[Wl ]])</f>
        <v>2.3143393604894966E-2</v>
      </c>
      <c r="R15" s="4">
        <f>2.303*Table1[[#This Row],[Total Weightage Factor]]</f>
        <v>5.3299235472073103E-2</v>
      </c>
    </row>
    <row r="16" spans="1:18" x14ac:dyDescent="0.3">
      <c r="A16" s="3">
        <v>14</v>
      </c>
      <c r="B16" s="3" t="s">
        <v>215</v>
      </c>
      <c r="C16" s="3" t="s">
        <v>241</v>
      </c>
      <c r="D16" s="3" t="s">
        <v>72</v>
      </c>
      <c r="E16" s="69">
        <v>78</v>
      </c>
      <c r="F16" s="69">
        <v>22</v>
      </c>
      <c r="G16" s="70">
        <v>79.05</v>
      </c>
      <c r="H16" s="70">
        <v>22.18</v>
      </c>
      <c r="I16" s="2">
        <f t="shared" si="0"/>
        <v>116.90660562351506</v>
      </c>
      <c r="J16" s="2">
        <f t="shared" si="1"/>
        <v>7.4586932991372912</v>
      </c>
      <c r="K16" s="3">
        <v>21</v>
      </c>
      <c r="L16" s="3" t="s">
        <v>348</v>
      </c>
      <c r="M16" s="3">
        <v>2</v>
      </c>
      <c r="N16" s="2">
        <f>IF(Table1[[#This Row],[No of EQ]]&gt;0,Table1[[#This Row],[Total Length]],0)</f>
        <v>116.90660562351506</v>
      </c>
      <c r="O16" s="4">
        <f>Table1[[#This Row],[No of EQ]]/214</f>
        <v>9.3457943925233638E-3</v>
      </c>
      <c r="P16" s="4">
        <f>Table1[[#This Row],[Active Fault Length]]/$N$134</f>
        <v>5.6463145271546257E-2</v>
      </c>
      <c r="Q16" s="4">
        <f>AVERAGE(Table1[[#This Row],[Wm]:[Wl ]])</f>
        <v>3.2904469832034808E-2</v>
      </c>
      <c r="R16" s="4">
        <f>2.303*Table1[[#This Row],[Total Weightage Factor]]</f>
        <v>7.5778994023176158E-2</v>
      </c>
    </row>
    <row r="17" spans="1:18" x14ac:dyDescent="0.3">
      <c r="A17" s="3">
        <v>15</v>
      </c>
      <c r="B17" s="3" t="s">
        <v>215</v>
      </c>
      <c r="C17" s="3" t="s">
        <v>269</v>
      </c>
      <c r="D17" s="3" t="s">
        <v>78</v>
      </c>
      <c r="E17" s="69">
        <v>75.849999999999994</v>
      </c>
      <c r="F17" s="69">
        <v>21.93</v>
      </c>
      <c r="G17" s="70">
        <v>77.900000000000006</v>
      </c>
      <c r="H17" s="70">
        <v>22.58</v>
      </c>
      <c r="I17" s="2">
        <f t="shared" si="0"/>
        <v>228.70338563645399</v>
      </c>
      <c r="J17" s="2">
        <f t="shared" si="1"/>
        <v>7.796756208786948</v>
      </c>
      <c r="K17" s="3">
        <v>20</v>
      </c>
      <c r="L17" s="3">
        <v>72</v>
      </c>
      <c r="M17" s="3">
        <v>1</v>
      </c>
      <c r="N17" s="2">
        <f>IF(Table1[[#This Row],[No of EQ]]&gt;0,Table1[[#This Row],[Total Length]],0)</f>
        <v>228.70338563645399</v>
      </c>
      <c r="O17" s="4">
        <f>Table1[[#This Row],[No of EQ]]/214</f>
        <v>4.6728971962616819E-3</v>
      </c>
      <c r="P17" s="4">
        <f>Table1[[#This Row],[Active Fault Length]]/$N$134</f>
        <v>0.11045836476401923</v>
      </c>
      <c r="Q17" s="4">
        <f>AVERAGE(Table1[[#This Row],[Wm]:[Wl ]])</f>
        <v>5.7565630980140454E-2</v>
      </c>
      <c r="R17" s="4">
        <f>2.303*Table1[[#This Row],[Total Weightage Factor]]</f>
        <v>0.13257364814726347</v>
      </c>
    </row>
    <row r="18" spans="1:18" s="67" customFormat="1" x14ac:dyDescent="0.3">
      <c r="A18" s="67">
        <v>16</v>
      </c>
      <c r="B18" s="67" t="s">
        <v>215</v>
      </c>
      <c r="C18" s="67" t="s">
        <v>270</v>
      </c>
      <c r="D18" s="67" t="s">
        <v>79</v>
      </c>
      <c r="E18" s="72">
        <v>72</v>
      </c>
      <c r="F18" s="72">
        <v>19.350000000000001</v>
      </c>
      <c r="G18" s="72">
        <v>72.95</v>
      </c>
      <c r="H18" s="72">
        <v>17</v>
      </c>
      <c r="I18" s="66">
        <f t="shared" si="0"/>
        <v>131.89046859294172</v>
      </c>
      <c r="J18" s="66">
        <f t="shared" si="1"/>
        <v>7.5194475570643373</v>
      </c>
      <c r="K18" s="67">
        <v>27</v>
      </c>
      <c r="M18" s="67">
        <v>0</v>
      </c>
      <c r="N18" s="66">
        <f>IF(Table1[[#This Row],[No of EQ]]&gt;0,Table1[[#This Row],[Total Length]],0)</f>
        <v>0</v>
      </c>
      <c r="O18" s="65">
        <f>Table1[[#This Row],[No of EQ]]/214</f>
        <v>0</v>
      </c>
      <c r="P18" s="65">
        <f>Table1[[#This Row],[Active Fault Length]]/$N$134</f>
        <v>0</v>
      </c>
      <c r="Q18" s="65">
        <f>AVERAGE(Table1[[#This Row],[Wm]:[Wl ]])</f>
        <v>0</v>
      </c>
      <c r="R18" s="65">
        <f>2.303*Table1[[#This Row],[Total Weightage Factor]]</f>
        <v>0</v>
      </c>
    </row>
    <row r="19" spans="1:18" s="67" customFormat="1" x14ac:dyDescent="0.3">
      <c r="A19" s="67">
        <v>17</v>
      </c>
      <c r="B19" s="67" t="s">
        <v>215</v>
      </c>
      <c r="C19" s="67" t="s">
        <v>271</v>
      </c>
      <c r="D19" s="67" t="s">
        <v>80</v>
      </c>
      <c r="E19" s="72">
        <v>79.849999999999994</v>
      </c>
      <c r="F19" s="72">
        <v>23.3</v>
      </c>
      <c r="G19" s="72">
        <v>80.25</v>
      </c>
      <c r="H19" s="72">
        <v>22.7</v>
      </c>
      <c r="I19" s="66">
        <f t="shared" si="0"/>
        <v>45.991661491463418</v>
      </c>
      <c r="J19" s="66">
        <f t="shared" si="1"/>
        <v>6.9887077550125323</v>
      </c>
      <c r="K19" s="67">
        <v>21</v>
      </c>
      <c r="L19" s="67" t="s">
        <v>352</v>
      </c>
      <c r="M19" s="67">
        <v>1</v>
      </c>
      <c r="N19" s="66">
        <f>IF(Table1[[#This Row],[No of EQ]]&gt;0,Table1[[#This Row],[Total Length]],0)</f>
        <v>45.991661491463418</v>
      </c>
      <c r="O19" s="65">
        <f>Table1[[#This Row],[No of EQ]]/214</f>
        <v>4.6728971962616819E-3</v>
      </c>
      <c r="P19" s="65">
        <f>Table1[[#This Row],[Active Fault Length]]/$N$134</f>
        <v>2.2212892506990566E-2</v>
      </c>
      <c r="Q19" s="65">
        <f>AVERAGE(Table1[[#This Row],[Wm]:[Wl ]])</f>
        <v>1.3442894851626124E-2</v>
      </c>
      <c r="R19" s="65">
        <f>2.303*Table1[[#This Row],[Total Weightage Factor]]</f>
        <v>3.0958986843294962E-2</v>
      </c>
    </row>
    <row r="20" spans="1:18" s="67" customFormat="1" x14ac:dyDescent="0.3">
      <c r="A20" s="67">
        <v>18</v>
      </c>
      <c r="B20" s="67" t="s">
        <v>215</v>
      </c>
      <c r="C20" s="67" t="s">
        <v>272</v>
      </c>
      <c r="D20" s="67" t="s">
        <v>81</v>
      </c>
      <c r="E20" s="72">
        <v>75.2</v>
      </c>
      <c r="F20" s="72">
        <v>22.5</v>
      </c>
      <c r="G20" s="72">
        <v>77.099999999999994</v>
      </c>
      <c r="H20" s="72">
        <v>22.8</v>
      </c>
      <c r="I20" s="66">
        <f t="shared" si="0"/>
        <v>211.57287811013614</v>
      </c>
      <c r="J20" s="66">
        <f t="shared" si="1"/>
        <v>7.7575335930136298</v>
      </c>
      <c r="K20" s="67">
        <v>20</v>
      </c>
      <c r="L20" s="67">
        <v>170</v>
      </c>
      <c r="M20" s="67">
        <v>1</v>
      </c>
      <c r="N20" s="66">
        <f>IF(Table1[[#This Row],[No of EQ]]&gt;0,Table1[[#This Row],[Total Length]],0)</f>
        <v>211.57287811013614</v>
      </c>
      <c r="O20" s="65">
        <f>Table1[[#This Row],[No of EQ]]/214</f>
        <v>4.6728971962616819E-3</v>
      </c>
      <c r="P20" s="65">
        <f>Table1[[#This Row],[Active Fault Length]]/$N$134</f>
        <v>0.10218473189378861</v>
      </c>
      <c r="Q20" s="65">
        <f>AVERAGE(Table1[[#This Row],[Wm]:[Wl ]])</f>
        <v>5.3428814545025148E-2</v>
      </c>
      <c r="R20" s="65">
        <f>2.303*Table1[[#This Row],[Total Weightage Factor]]</f>
        <v>0.12304655989719292</v>
      </c>
    </row>
    <row r="21" spans="1:18" s="67" customFormat="1" x14ac:dyDescent="0.3">
      <c r="A21" s="67">
        <v>19</v>
      </c>
      <c r="B21" s="67" t="s">
        <v>215</v>
      </c>
      <c r="C21" s="67" t="s">
        <v>273</v>
      </c>
      <c r="D21" s="67" t="s">
        <v>71</v>
      </c>
      <c r="E21" s="72">
        <v>79.58</v>
      </c>
      <c r="F21" s="72">
        <v>22.95</v>
      </c>
      <c r="G21" s="72">
        <v>79.900000000000006</v>
      </c>
      <c r="H21" s="72">
        <v>23.15</v>
      </c>
      <c r="I21" s="66">
        <f t="shared" si="0"/>
        <v>35.829496574149871</v>
      </c>
      <c r="J21" s="66">
        <f t="shared" si="1"/>
        <v>6.8629192190897275</v>
      </c>
      <c r="K21" s="67">
        <v>21</v>
      </c>
      <c r="L21" s="67">
        <v>61</v>
      </c>
      <c r="M21" s="67">
        <v>1</v>
      </c>
      <c r="N21" s="66">
        <f>IF(Table1[[#This Row],[No of EQ]]&gt;0,Table1[[#This Row],[Total Length]],0)</f>
        <v>35.829496574149871</v>
      </c>
      <c r="O21" s="65">
        <f>Table1[[#This Row],[No of EQ]]/214</f>
        <v>4.6728971962616819E-3</v>
      </c>
      <c r="P21" s="65">
        <f>Table1[[#This Row],[Active Fault Length]]/$N$134</f>
        <v>1.7304805483683204E-2</v>
      </c>
      <c r="Q21" s="65">
        <f>AVERAGE(Table1[[#This Row],[Wm]:[Wl ]])</f>
        <v>1.0988851339972443E-2</v>
      </c>
      <c r="R21" s="65">
        <f>2.303*Table1[[#This Row],[Total Weightage Factor]]</f>
        <v>2.5307324635956537E-2</v>
      </c>
    </row>
    <row r="22" spans="1:18" s="67" customFormat="1" x14ac:dyDescent="0.3">
      <c r="A22" s="67">
        <v>20</v>
      </c>
      <c r="B22" s="67" t="s">
        <v>215</v>
      </c>
      <c r="C22" s="67" t="s">
        <v>274</v>
      </c>
      <c r="D22" s="67" t="s">
        <v>75</v>
      </c>
      <c r="E22" s="72">
        <v>79.95</v>
      </c>
      <c r="F22" s="72">
        <v>23.17</v>
      </c>
      <c r="G22" s="72">
        <v>80.650000000000006</v>
      </c>
      <c r="H22" s="72">
        <v>23.55</v>
      </c>
      <c r="I22" s="66">
        <f t="shared" si="0"/>
        <v>78.219662562977049</v>
      </c>
      <c r="J22" s="66">
        <f t="shared" si="1"/>
        <v>7.2562464881823132</v>
      </c>
      <c r="K22" s="67">
        <v>21</v>
      </c>
      <c r="L22" s="67" t="s">
        <v>355</v>
      </c>
      <c r="M22" s="67">
        <v>1</v>
      </c>
      <c r="N22" s="66">
        <f>IF(Table1[[#This Row],[No of EQ]]&gt;0,Table1[[#This Row],[Total Length]],0)</f>
        <v>78.219662562977049</v>
      </c>
      <c r="O22" s="65">
        <f>Table1[[#This Row],[No of EQ]]/214</f>
        <v>4.6728971962616819E-3</v>
      </c>
      <c r="P22" s="65">
        <f>Table1[[#This Row],[Active Fault Length]]/$N$134</f>
        <v>3.7778260234564057E-2</v>
      </c>
      <c r="Q22" s="65">
        <f>AVERAGE(Table1[[#This Row],[Wm]:[Wl ]])</f>
        <v>2.122557871541287E-2</v>
      </c>
      <c r="R22" s="65">
        <f>2.303*Table1[[#This Row],[Total Weightage Factor]]</f>
        <v>4.8882507781595835E-2</v>
      </c>
    </row>
    <row r="23" spans="1:18" x14ac:dyDescent="0.3">
      <c r="A23" s="3">
        <v>21</v>
      </c>
      <c r="B23" s="3" t="s">
        <v>215</v>
      </c>
      <c r="C23" s="3" t="s">
        <v>275</v>
      </c>
      <c r="D23" s="3" t="s">
        <v>82</v>
      </c>
      <c r="E23" s="69">
        <v>78.900000000000006</v>
      </c>
      <c r="F23" s="69">
        <v>23.05</v>
      </c>
      <c r="G23" s="70">
        <v>81</v>
      </c>
      <c r="H23" s="70">
        <v>23.92</v>
      </c>
      <c r="I23" s="2">
        <f t="shared" si="0"/>
        <v>234.28487738599779</v>
      </c>
      <c r="J23" s="2">
        <f t="shared" si="1"/>
        <v>7.808903337740734</v>
      </c>
      <c r="K23" s="3">
        <v>21</v>
      </c>
      <c r="L23" s="3">
        <v>118</v>
      </c>
      <c r="M23" s="3">
        <v>1</v>
      </c>
      <c r="N23" s="2">
        <f>IF(Table1[[#This Row],[No of EQ]]&gt;0,Table1[[#This Row],[Total Length]],0)</f>
        <v>234.28487738599779</v>
      </c>
      <c r="O23" s="4">
        <f>Table1[[#This Row],[No of EQ]]/214</f>
        <v>4.6728971962616819E-3</v>
      </c>
      <c r="P23" s="4">
        <f>Table1[[#This Row],[Active Fault Length]]/$N$134</f>
        <v>0.11315409421237332</v>
      </c>
      <c r="Q23" s="4">
        <f>AVERAGE(Table1[[#This Row],[Wm]:[Wl ]])</f>
        <v>5.8913495704317503E-2</v>
      </c>
      <c r="R23" s="4">
        <f>2.303*Table1[[#This Row],[Total Weightage Factor]]</f>
        <v>0.13567778060704322</v>
      </c>
    </row>
    <row r="24" spans="1:18" x14ac:dyDescent="0.3">
      <c r="A24" s="3">
        <v>22</v>
      </c>
      <c r="B24" s="3" t="s">
        <v>215</v>
      </c>
      <c r="C24" s="3" t="s">
        <v>96</v>
      </c>
      <c r="D24" s="3" t="s">
        <v>83</v>
      </c>
      <c r="E24" s="69">
        <v>75.010000000000005</v>
      </c>
      <c r="F24" s="69">
        <v>25.41</v>
      </c>
      <c r="G24" s="70">
        <v>76.099999999999994</v>
      </c>
      <c r="H24" s="70">
        <v>26.18</v>
      </c>
      <c r="I24" s="2">
        <f t="shared" si="0"/>
        <v>123.16514321776646</v>
      </c>
      <c r="J24" s="2">
        <f t="shared" si="1"/>
        <v>7.4849658667781975</v>
      </c>
      <c r="K24" s="3">
        <v>9</v>
      </c>
      <c r="M24" s="3">
        <v>0</v>
      </c>
      <c r="N24" s="2">
        <f>IF(Table1[[#This Row],[No of EQ]]&gt;0,Table1[[#This Row],[Total Length]],0)</f>
        <v>0</v>
      </c>
      <c r="O24" s="4">
        <f>Table1[[#This Row],[No of EQ]]/214</f>
        <v>0</v>
      </c>
      <c r="P24" s="4">
        <f>Table1[[#This Row],[Active Fault Length]]/$N$134</f>
        <v>0</v>
      </c>
      <c r="Q24" s="4">
        <f>AVERAGE(Table1[[#This Row],[Wm]:[Wl ]])</f>
        <v>0</v>
      </c>
      <c r="R24" s="4">
        <f>2.303*Table1[[#This Row],[Total Weightage Factor]]</f>
        <v>0</v>
      </c>
    </row>
    <row r="25" spans="1:18" x14ac:dyDescent="0.3">
      <c r="A25" s="3">
        <v>23</v>
      </c>
      <c r="B25" s="3" t="s">
        <v>215</v>
      </c>
      <c r="C25" s="3" t="s">
        <v>255</v>
      </c>
      <c r="D25" s="3" t="s">
        <v>140</v>
      </c>
      <c r="E25" s="69">
        <v>73.7</v>
      </c>
      <c r="F25" s="69">
        <v>20.9</v>
      </c>
      <c r="G25" s="70">
        <v>73.7</v>
      </c>
      <c r="H25" s="70">
        <v>20.8</v>
      </c>
      <c r="I25" s="2">
        <f t="shared" si="0"/>
        <v>3.1300717581863648</v>
      </c>
      <c r="J25" s="2">
        <f t="shared" si="1"/>
        <v>5.6348429810872611</v>
      </c>
      <c r="K25" s="3">
        <v>27</v>
      </c>
      <c r="L25" s="3">
        <v>121</v>
      </c>
      <c r="M25" s="3">
        <v>1</v>
      </c>
      <c r="N25" s="2">
        <f>IF(Table1[[#This Row],[No of EQ]]&gt;0,Table1[[#This Row],[Total Length]],0)</f>
        <v>3.1300717581863648</v>
      </c>
      <c r="O25" s="4">
        <f>Table1[[#This Row],[No of EQ]]/214</f>
        <v>4.6728971962616819E-3</v>
      </c>
      <c r="P25" s="4">
        <f>Table1[[#This Row],[Active Fault Length]]/$N$134</f>
        <v>1.5117511576890057E-3</v>
      </c>
      <c r="Q25" s="4">
        <f>AVERAGE(Table1[[#This Row],[Wm]:[Wl ]])</f>
        <v>3.0923241769753437E-3</v>
      </c>
      <c r="R25" s="4">
        <f>2.303*Table1[[#This Row],[Total Weightage Factor]]</f>
        <v>7.1216225795742161E-3</v>
      </c>
    </row>
    <row r="26" spans="1:18" x14ac:dyDescent="0.3">
      <c r="A26" s="3">
        <v>24</v>
      </c>
      <c r="B26" s="3" t="s">
        <v>215</v>
      </c>
      <c r="C26" s="3" t="s">
        <v>95</v>
      </c>
      <c r="D26" s="3" t="s">
        <v>143</v>
      </c>
      <c r="E26" s="69">
        <v>75.2</v>
      </c>
      <c r="F26" s="69">
        <v>25.2</v>
      </c>
      <c r="G26" s="70">
        <v>77.55</v>
      </c>
      <c r="H26" s="70">
        <v>26.9</v>
      </c>
      <c r="I26" s="2">
        <f t="shared" si="0"/>
        <v>265.2583796383708</v>
      </c>
      <c r="J26" s="2">
        <f t="shared" si="1"/>
        <v>7.8714561703368133</v>
      </c>
      <c r="K26" s="3">
        <v>9</v>
      </c>
      <c r="L26" s="3" t="s">
        <v>333</v>
      </c>
      <c r="M26" s="3">
        <v>4</v>
      </c>
      <c r="N26" s="2">
        <f>IF(Table1[[#This Row],[No of EQ]]&gt;0,Table1[[#This Row],[Total Length]],0)</f>
        <v>265.2583796383708</v>
      </c>
      <c r="O26" s="4">
        <f>Table1[[#This Row],[No of EQ]]/214</f>
        <v>1.8691588785046728E-2</v>
      </c>
      <c r="P26" s="4">
        <f>Table1[[#This Row],[Active Fault Length]]/$N$134</f>
        <v>0.12811356846891209</v>
      </c>
      <c r="Q26" s="4">
        <f>AVERAGE(Table1[[#This Row],[Wm]:[Wl ]])</f>
        <v>7.3402578626979409E-2</v>
      </c>
      <c r="R26" s="4">
        <f>2.303*Table1[[#This Row],[Total Weightage Factor]]</f>
        <v>0.16904613857793357</v>
      </c>
    </row>
    <row r="27" spans="1:18" x14ac:dyDescent="0.3">
      <c r="A27" s="3">
        <v>25</v>
      </c>
      <c r="B27" s="3" t="s">
        <v>215</v>
      </c>
      <c r="C27" s="3" t="s">
        <v>276</v>
      </c>
      <c r="D27" s="3" t="s">
        <v>144</v>
      </c>
      <c r="E27" s="69">
        <v>72.95</v>
      </c>
      <c r="F27" s="69">
        <v>17.350000000000001</v>
      </c>
      <c r="G27" s="70">
        <v>73.099999999999994</v>
      </c>
      <c r="H27" s="70">
        <v>17.05</v>
      </c>
      <c r="I27" s="2">
        <f t="shared" si="0"/>
        <v>19.338655316197368</v>
      </c>
      <c r="J27" s="2">
        <f t="shared" si="1"/>
        <v>6.5522544764417825</v>
      </c>
      <c r="K27" s="3">
        <v>27</v>
      </c>
      <c r="M27" s="3">
        <v>0</v>
      </c>
      <c r="N27" s="2">
        <f>IF(Table1[[#This Row],[No of EQ]]&gt;0,Table1[[#This Row],[Total Length]],0)</f>
        <v>0</v>
      </c>
      <c r="O27" s="4">
        <f>Table1[[#This Row],[No of EQ]]/214</f>
        <v>0</v>
      </c>
      <c r="P27" s="4">
        <f>Table1[[#This Row],[Active Fault Length]]/$N$134</f>
        <v>0</v>
      </c>
      <c r="Q27" s="4">
        <f>AVERAGE(Table1[[#This Row],[Wm]:[Wl ]])</f>
        <v>0</v>
      </c>
      <c r="R27" s="4">
        <f>2.303*Table1[[#This Row],[Total Weightage Factor]]</f>
        <v>0</v>
      </c>
    </row>
    <row r="28" spans="1:18" x14ac:dyDescent="0.3">
      <c r="A28" s="3">
        <v>26</v>
      </c>
      <c r="B28" s="3" t="s">
        <v>215</v>
      </c>
      <c r="C28" s="3" t="s">
        <v>277</v>
      </c>
      <c r="D28" s="3" t="s">
        <v>145</v>
      </c>
      <c r="E28" s="69">
        <v>74.02</v>
      </c>
      <c r="F28" s="69">
        <v>17.66</v>
      </c>
      <c r="G28" s="70">
        <v>74.400000000000006</v>
      </c>
      <c r="H28" s="70">
        <v>18.02</v>
      </c>
      <c r="I28" s="2">
        <f t="shared" si="0"/>
        <v>43.672911342082259</v>
      </c>
      <c r="J28" s="2">
        <f t="shared" si="1"/>
        <v>6.9626460870501443</v>
      </c>
      <c r="K28" s="3">
        <v>29</v>
      </c>
      <c r="M28" s="3">
        <v>0</v>
      </c>
      <c r="N28" s="2">
        <f>IF(Table1[[#This Row],[No of EQ]]&gt;0,Table1[[#This Row],[Total Length]],0)</f>
        <v>0</v>
      </c>
      <c r="O28" s="4">
        <f>Table1[[#This Row],[No of EQ]]/214</f>
        <v>0</v>
      </c>
      <c r="P28" s="4">
        <f>Table1[[#This Row],[Active Fault Length]]/$N$134</f>
        <v>0</v>
      </c>
      <c r="Q28" s="4">
        <f>AVERAGE(Table1[[#This Row],[Wm]:[Wl ]])</f>
        <v>0</v>
      </c>
      <c r="R28" s="4">
        <f>2.303*Table1[[#This Row],[Total Weightage Factor]]</f>
        <v>0</v>
      </c>
    </row>
    <row r="29" spans="1:18" s="67" customFormat="1" x14ac:dyDescent="0.3">
      <c r="A29" s="67">
        <v>27</v>
      </c>
      <c r="B29" s="67" t="s">
        <v>215</v>
      </c>
      <c r="C29" s="67" t="s">
        <v>278</v>
      </c>
      <c r="D29" s="67" t="s">
        <v>146</v>
      </c>
      <c r="E29" s="72">
        <v>73.3</v>
      </c>
      <c r="F29" s="72">
        <v>17.95</v>
      </c>
      <c r="G29" s="72">
        <v>73.900000000000006</v>
      </c>
      <c r="H29" s="72">
        <v>18.100000000000001</v>
      </c>
      <c r="I29" s="66">
        <f t="shared" si="0"/>
        <v>66.931568421671173</v>
      </c>
      <c r="J29" s="66">
        <f t="shared" si="1"/>
        <v>7.1777319623636826</v>
      </c>
      <c r="K29" s="67">
        <v>27</v>
      </c>
      <c r="M29" s="67">
        <v>0</v>
      </c>
      <c r="N29" s="66">
        <f>IF(Table1[[#This Row],[No of EQ]]&gt;0,Table1[[#This Row],[Total Length]],0)</f>
        <v>0</v>
      </c>
      <c r="O29" s="65">
        <f>Table1[[#This Row],[No of EQ]]/214</f>
        <v>0</v>
      </c>
      <c r="P29" s="65">
        <f>Table1[[#This Row],[Active Fault Length]]/$N$134</f>
        <v>0</v>
      </c>
      <c r="Q29" s="65">
        <f>AVERAGE(Table1[[#This Row],[Wm]:[Wl ]])</f>
        <v>0</v>
      </c>
      <c r="R29" s="65">
        <f>2.303*Table1[[#This Row],[Total Weightage Factor]]</f>
        <v>0</v>
      </c>
    </row>
    <row r="30" spans="1:18" s="67" customFormat="1" x14ac:dyDescent="0.3">
      <c r="A30" s="67">
        <v>28</v>
      </c>
      <c r="B30" s="67" t="s">
        <v>215</v>
      </c>
      <c r="C30" s="67" t="s">
        <v>279</v>
      </c>
      <c r="D30" s="67" t="s">
        <v>147</v>
      </c>
      <c r="E30" s="72">
        <v>72.5</v>
      </c>
      <c r="F30" s="72">
        <v>18.600000000000001</v>
      </c>
      <c r="G30" s="72">
        <v>72.599999999999994</v>
      </c>
      <c r="H30" s="72">
        <v>18.399999999999999</v>
      </c>
      <c r="I30" s="66">
        <f t="shared" si="0"/>
        <v>12.982289152159394</v>
      </c>
      <c r="J30" s="66">
        <f t="shared" si="1"/>
        <v>6.3514874823229874</v>
      </c>
      <c r="K30" s="67">
        <v>27</v>
      </c>
      <c r="M30" s="67">
        <v>0</v>
      </c>
      <c r="N30" s="66">
        <f>IF(Table1[[#This Row],[No of EQ]]&gt;0,Table1[[#This Row],[Total Length]],0)</f>
        <v>0</v>
      </c>
      <c r="O30" s="65">
        <f>Table1[[#This Row],[No of EQ]]/214</f>
        <v>0</v>
      </c>
      <c r="P30" s="65">
        <f>Table1[[#This Row],[Active Fault Length]]/$N$134</f>
        <v>0</v>
      </c>
      <c r="Q30" s="65">
        <f>AVERAGE(Table1[[#This Row],[Wm]:[Wl ]])</f>
        <v>0</v>
      </c>
      <c r="R30" s="65">
        <f>2.303*Table1[[#This Row],[Total Weightage Factor]]</f>
        <v>0</v>
      </c>
    </row>
    <row r="31" spans="1:18" s="67" customFormat="1" x14ac:dyDescent="0.3">
      <c r="A31" s="67">
        <v>29</v>
      </c>
      <c r="B31" s="67" t="s">
        <v>215</v>
      </c>
      <c r="C31" s="67" t="s">
        <v>280</v>
      </c>
      <c r="D31" s="67" t="s">
        <v>148</v>
      </c>
      <c r="E31" s="72">
        <v>73.08</v>
      </c>
      <c r="F31" s="72">
        <v>19.78</v>
      </c>
      <c r="G31" s="72">
        <v>73.8</v>
      </c>
      <c r="H31" s="72">
        <v>19.100000000000001</v>
      </c>
      <c r="I31" s="66">
        <f t="shared" si="0"/>
        <v>82.98059807432476</v>
      </c>
      <c r="J31" s="66">
        <f t="shared" si="1"/>
        <v>7.2860128103401784</v>
      </c>
      <c r="K31" s="67">
        <v>27</v>
      </c>
      <c r="L31" s="67" t="s">
        <v>357</v>
      </c>
      <c r="M31" s="67">
        <v>1</v>
      </c>
      <c r="N31" s="66">
        <f>IF(Table1[[#This Row],[No of EQ]]&gt;0,Table1[[#This Row],[Total Length]],0)</f>
        <v>82.98059807432476</v>
      </c>
      <c r="O31" s="65">
        <f>Table1[[#This Row],[No of EQ]]/214</f>
        <v>4.6728971962616819E-3</v>
      </c>
      <c r="P31" s="65">
        <f>Table1[[#This Row],[Active Fault Length]]/$N$134</f>
        <v>4.0077680288477739E-2</v>
      </c>
      <c r="Q31" s="65">
        <f>AVERAGE(Table1[[#This Row],[Wm]:[Wl ]])</f>
        <v>2.2375288742369711E-2</v>
      </c>
      <c r="R31" s="65">
        <f>2.303*Table1[[#This Row],[Total Weightage Factor]]</f>
        <v>5.1530289973677444E-2</v>
      </c>
    </row>
    <row r="32" spans="1:18" s="67" customFormat="1" x14ac:dyDescent="0.3">
      <c r="A32" s="67">
        <v>30</v>
      </c>
      <c r="B32" s="67" t="s">
        <v>215</v>
      </c>
      <c r="C32" s="67" t="s">
        <v>281</v>
      </c>
      <c r="D32" s="67" t="s">
        <v>149</v>
      </c>
      <c r="E32" s="72">
        <v>73.099999999999994</v>
      </c>
      <c r="F32" s="72">
        <v>19.8</v>
      </c>
      <c r="G32" s="72">
        <v>73.849999999999994</v>
      </c>
      <c r="H32" s="72">
        <v>19.100000000000001</v>
      </c>
      <c r="I32" s="66">
        <f t="shared" si="0"/>
        <v>86.357699449303198</v>
      </c>
      <c r="J32" s="66">
        <f t="shared" si="1"/>
        <v>7.3061092345925402</v>
      </c>
      <c r="K32" s="67">
        <v>27</v>
      </c>
      <c r="L32" s="67" t="s">
        <v>356</v>
      </c>
      <c r="M32" s="67">
        <v>2</v>
      </c>
      <c r="N32" s="66">
        <f>IF(Table1[[#This Row],[No of EQ]]&gt;0,Table1[[#This Row],[Total Length]],0)</f>
        <v>86.357699449303198</v>
      </c>
      <c r="O32" s="65">
        <f>Table1[[#This Row],[No of EQ]]/214</f>
        <v>9.3457943925233638E-3</v>
      </c>
      <c r="P32" s="65">
        <f>Table1[[#This Row],[Active Fault Length]]/$N$134</f>
        <v>4.1708740950235516E-2</v>
      </c>
      <c r="Q32" s="65">
        <f>AVERAGE(Table1[[#This Row],[Wm]:[Wl ]])</f>
        <v>2.5527267671379441E-2</v>
      </c>
      <c r="R32" s="65">
        <f>2.303*Table1[[#This Row],[Total Weightage Factor]]</f>
        <v>5.8789297447186854E-2</v>
      </c>
    </row>
    <row r="33" spans="1:18" s="67" customFormat="1" x14ac:dyDescent="0.3">
      <c r="A33" s="67">
        <v>31</v>
      </c>
      <c r="B33" s="67" t="s">
        <v>215</v>
      </c>
      <c r="C33" s="67" t="s">
        <v>322</v>
      </c>
      <c r="D33" s="67" t="s">
        <v>141</v>
      </c>
      <c r="E33" s="72">
        <v>73.59</v>
      </c>
      <c r="F33" s="72">
        <v>25</v>
      </c>
      <c r="G33" s="72">
        <v>73.959999999999994</v>
      </c>
      <c r="H33" s="72">
        <v>25.6</v>
      </c>
      <c r="I33" s="66">
        <f t="shared" si="0"/>
        <v>45.21744293499485</v>
      </c>
      <c r="J33" s="66">
        <f t="shared" si="1"/>
        <v>6.9801549590396066</v>
      </c>
      <c r="K33" s="67">
        <v>8</v>
      </c>
      <c r="L33" s="67" t="s">
        <v>331</v>
      </c>
      <c r="M33" s="67">
        <v>4</v>
      </c>
      <c r="N33" s="66">
        <f>IF(Table1[[#This Row],[No of EQ]]&gt;0,Table1[[#This Row],[Total Length]],0)</f>
        <v>45.21744293499485</v>
      </c>
      <c r="O33" s="65">
        <f>Table1[[#This Row],[No of EQ]]/214</f>
        <v>1.8691588785046728E-2</v>
      </c>
      <c r="P33" s="65">
        <f>Table1[[#This Row],[Active Fault Length]]/$N$134</f>
        <v>2.1838963124705783E-2</v>
      </c>
      <c r="Q33" s="65">
        <f>AVERAGE(Table1[[#This Row],[Wm]:[Wl ]])</f>
        <v>2.0265275954876254E-2</v>
      </c>
      <c r="R33" s="65">
        <f>2.303*Table1[[#This Row],[Total Weightage Factor]]</f>
        <v>4.6670930524080008E-2</v>
      </c>
    </row>
    <row r="34" spans="1:18" x14ac:dyDescent="0.3">
      <c r="A34" s="3">
        <v>32</v>
      </c>
      <c r="B34" s="3" t="s">
        <v>215</v>
      </c>
      <c r="C34" s="3" t="s">
        <v>323</v>
      </c>
      <c r="D34" s="3" t="s">
        <v>142</v>
      </c>
      <c r="E34" s="69">
        <v>73.95</v>
      </c>
      <c r="F34" s="69">
        <v>25.71</v>
      </c>
      <c r="G34" s="70">
        <v>74.099999999999994</v>
      </c>
      <c r="H34" s="70">
        <v>25.82</v>
      </c>
      <c r="I34" s="2">
        <f t="shared" si="0"/>
        <v>17.029268215720382</v>
      </c>
      <c r="J34" s="2">
        <f t="shared" si="1"/>
        <v>6.4881873435229673</v>
      </c>
      <c r="K34" s="3">
        <v>8</v>
      </c>
      <c r="L34" s="3">
        <v>155</v>
      </c>
      <c r="M34" s="3">
        <v>1</v>
      </c>
      <c r="N34" s="2">
        <f>IF(Table1[[#This Row],[No of EQ]]&gt;0,Table1[[#This Row],[Total Length]],0)</f>
        <v>17.029268215720382</v>
      </c>
      <c r="O34" s="4">
        <f>Table1[[#This Row],[No of EQ]]/214</f>
        <v>4.6728971962616819E-3</v>
      </c>
      <c r="P34" s="4">
        <f>Table1[[#This Row],[Active Fault Length]]/$N$134</f>
        <v>8.2247366605513704E-3</v>
      </c>
      <c r="Q34" s="4">
        <f>AVERAGE(Table1[[#This Row],[Wm]:[Wl ]])</f>
        <v>6.4488169284065266E-3</v>
      </c>
      <c r="R34" s="4">
        <f>2.303*Table1[[#This Row],[Total Weightage Factor]]</f>
        <v>1.485162538612023E-2</v>
      </c>
    </row>
    <row r="35" spans="1:18" x14ac:dyDescent="0.3">
      <c r="A35" s="3">
        <v>33</v>
      </c>
      <c r="B35" s="3" t="s">
        <v>215</v>
      </c>
      <c r="C35" s="3" t="s">
        <v>324</v>
      </c>
      <c r="D35" s="3" t="s">
        <v>89</v>
      </c>
      <c r="E35" s="69">
        <v>74.02</v>
      </c>
      <c r="F35" s="69">
        <v>25.8</v>
      </c>
      <c r="G35" s="70">
        <v>74.150000000000006</v>
      </c>
      <c r="H35" s="70">
        <v>25.85</v>
      </c>
      <c r="I35" s="2">
        <f t="shared" si="0"/>
        <v>14.546296544749643</v>
      </c>
      <c r="J35" s="2">
        <f t="shared" ref="J35:J66" si="2">5.06+LOG10(I35)*1.16</f>
        <v>6.4087928268861862</v>
      </c>
      <c r="K35" s="3">
        <v>8</v>
      </c>
      <c r="L35" s="3">
        <v>190</v>
      </c>
      <c r="M35" s="3">
        <v>1</v>
      </c>
      <c r="N35" s="2">
        <f>IF(Table1[[#This Row],[No of EQ]]&gt;0,Table1[[#This Row],[Total Length]],0)</f>
        <v>14.546296544749643</v>
      </c>
      <c r="O35" s="4">
        <f>Table1[[#This Row],[No of EQ]]/214</f>
        <v>4.6728971962616819E-3</v>
      </c>
      <c r="P35" s="4">
        <f>Table1[[#This Row],[Active Fault Length]]/$N$134</f>
        <v>7.0255196495413851E-3</v>
      </c>
      <c r="Q35" s="4">
        <f>AVERAGE(Table1[[#This Row],[Wm]:[Wl ]])</f>
        <v>5.8492084229015331E-3</v>
      </c>
      <c r="R35" s="4">
        <f>2.303*Table1[[#This Row],[Total Weightage Factor]]</f>
        <v>1.3470726997942231E-2</v>
      </c>
    </row>
    <row r="36" spans="1:18" x14ac:dyDescent="0.3">
      <c r="A36" s="3">
        <v>34</v>
      </c>
      <c r="B36" s="3" t="s">
        <v>215</v>
      </c>
      <c r="C36" s="3" t="s">
        <v>256</v>
      </c>
      <c r="D36" s="3" t="s">
        <v>85</v>
      </c>
      <c r="E36" s="69">
        <v>73.83</v>
      </c>
      <c r="F36" s="69">
        <v>25.82</v>
      </c>
      <c r="G36" s="70">
        <v>73.95</v>
      </c>
      <c r="H36" s="70">
        <v>25.92</v>
      </c>
      <c r="I36" s="2">
        <f t="shared" si="0"/>
        <v>13.706867093144053</v>
      </c>
      <c r="J36" s="2">
        <f t="shared" si="2"/>
        <v>6.3788483139902858</v>
      </c>
      <c r="K36" s="3">
        <v>8</v>
      </c>
      <c r="L36" s="3">
        <v>154</v>
      </c>
      <c r="M36" s="3">
        <v>1</v>
      </c>
      <c r="N36" s="2">
        <f>IF(Table1[[#This Row],[No of EQ]]&gt;0,Table1[[#This Row],[Total Length]],0)</f>
        <v>13.706867093144053</v>
      </c>
      <c r="O36" s="4">
        <f>Table1[[#This Row],[No of EQ]]/214</f>
        <v>4.6728971962616819E-3</v>
      </c>
      <c r="P36" s="4">
        <f>Table1[[#This Row],[Active Fault Length]]/$N$134</f>
        <v>6.6200949362120367E-3</v>
      </c>
      <c r="Q36" s="4">
        <f>AVERAGE(Table1[[#This Row],[Wm]:[Wl ]])</f>
        <v>5.6464960662368589E-3</v>
      </c>
      <c r="R36" s="4">
        <f>2.303*Table1[[#This Row],[Total Weightage Factor]]</f>
        <v>1.3003880440543486E-2</v>
      </c>
    </row>
    <row r="37" spans="1:18" x14ac:dyDescent="0.3">
      <c r="A37" s="3">
        <v>35</v>
      </c>
      <c r="B37" s="3" t="s">
        <v>215</v>
      </c>
      <c r="C37" s="3" t="s">
        <v>257</v>
      </c>
      <c r="D37" s="3" t="s">
        <v>92</v>
      </c>
      <c r="E37" s="69">
        <v>79.7</v>
      </c>
      <c r="F37" s="69">
        <v>20.7</v>
      </c>
      <c r="G37" s="70">
        <v>79.8</v>
      </c>
      <c r="H37" s="70">
        <v>20.55</v>
      </c>
      <c r="I37" s="2">
        <f t="shared" si="0"/>
        <v>11.520009311067241</v>
      </c>
      <c r="J37" s="2">
        <f t="shared" si="2"/>
        <v>6.2912852829236474</v>
      </c>
      <c r="K37" s="3">
        <v>29</v>
      </c>
      <c r="M37" s="3">
        <v>0</v>
      </c>
      <c r="N37" s="2">
        <f>IF(Table1[[#This Row],[No of EQ]]&gt;0,Table1[[#This Row],[Total Length]],0)</f>
        <v>0</v>
      </c>
      <c r="O37" s="4">
        <f>Table1[[#This Row],[No of EQ]]/214</f>
        <v>0</v>
      </c>
      <c r="P37" s="4">
        <f>Table1[[#This Row],[Active Fault Length]]/$N$134</f>
        <v>0</v>
      </c>
      <c r="Q37" s="4">
        <f>AVERAGE(Table1[[#This Row],[Wm]:[Wl ]])</f>
        <v>0</v>
      </c>
      <c r="R37" s="4">
        <f>2.303*Table1[[#This Row],[Total Weightage Factor]]</f>
        <v>0</v>
      </c>
    </row>
    <row r="38" spans="1:18" x14ac:dyDescent="0.3">
      <c r="A38" s="3">
        <v>36</v>
      </c>
      <c r="B38" s="3" t="s">
        <v>215</v>
      </c>
      <c r="C38" s="3" t="s">
        <v>258</v>
      </c>
      <c r="D38" s="3" t="s">
        <v>91</v>
      </c>
      <c r="E38" s="69">
        <v>80.2</v>
      </c>
      <c r="F38" s="69">
        <v>21.05</v>
      </c>
      <c r="G38" s="70">
        <v>80.849999999999994</v>
      </c>
      <c r="H38" s="70">
        <v>21.1</v>
      </c>
      <c r="I38" s="2">
        <f t="shared" si="0"/>
        <v>72.334345940881406</v>
      </c>
      <c r="J38" s="2">
        <f t="shared" si="2"/>
        <v>7.2168396882707624</v>
      </c>
      <c r="K38" s="3">
        <v>21</v>
      </c>
      <c r="L38" s="3" t="s">
        <v>345</v>
      </c>
      <c r="M38" s="3">
        <v>2</v>
      </c>
      <c r="N38" s="2">
        <f>IF(Table1[[#This Row],[No of EQ]]&gt;0,Table1[[#This Row],[Total Length]],0)</f>
        <v>72.334345940881406</v>
      </c>
      <c r="O38" s="4">
        <f>Table1[[#This Row],[No of EQ]]/214</f>
        <v>9.3457943925233638E-3</v>
      </c>
      <c r="P38" s="4">
        <f>Table1[[#This Row],[Active Fault Length]]/$N$134</f>
        <v>3.4935790507296637E-2</v>
      </c>
      <c r="Q38" s="4">
        <f>AVERAGE(Table1[[#This Row],[Wm]:[Wl ]])</f>
        <v>2.2140792449910001E-2</v>
      </c>
      <c r="R38" s="4">
        <f>2.303*Table1[[#This Row],[Total Weightage Factor]]</f>
        <v>5.0990245012142728E-2</v>
      </c>
    </row>
    <row r="39" spans="1:18" hidden="1" x14ac:dyDescent="0.3">
      <c r="A39" s="3">
        <v>37</v>
      </c>
      <c r="B39" s="3" t="s">
        <v>216</v>
      </c>
      <c r="C39" s="3" t="s">
        <v>284</v>
      </c>
      <c r="D39" s="3" t="s">
        <v>150</v>
      </c>
      <c r="E39" s="3">
        <v>77.7</v>
      </c>
      <c r="F39" s="3">
        <v>20.05</v>
      </c>
      <c r="G39" s="3">
        <v>77.8</v>
      </c>
      <c r="H39" s="3">
        <v>20</v>
      </c>
      <c r="I39" s="2">
        <f t="shared" si="0"/>
        <v>11.19030008441784</v>
      </c>
      <c r="J39" s="2">
        <f t="shared" si="2"/>
        <v>6.2766564102013778</v>
      </c>
      <c r="K39" s="3">
        <v>29</v>
      </c>
      <c r="M39" s="3">
        <v>0</v>
      </c>
      <c r="N39" s="2">
        <f>IF(Table1[[#This Row],[No of EQ]]&gt;0,Table1[[#This Row],[Total Length]],0)</f>
        <v>0</v>
      </c>
      <c r="O39" s="4">
        <f>Table1[[#This Row],[No of EQ]]/214</f>
        <v>0</v>
      </c>
      <c r="P39" s="4">
        <f>Table1[[#This Row],[Active Fault Length]]/$N$134</f>
        <v>0</v>
      </c>
      <c r="Q39" s="4">
        <f>AVERAGE(Table1[[#This Row],[Wm]:[Wl ]])</f>
        <v>0</v>
      </c>
      <c r="R39" s="4">
        <f>2.303*Table1[[#This Row],[Total Weightage Factor]]</f>
        <v>0</v>
      </c>
    </row>
    <row r="40" spans="1:18" hidden="1" x14ac:dyDescent="0.3">
      <c r="A40" s="3">
        <v>38</v>
      </c>
      <c r="B40" s="3" t="s">
        <v>216</v>
      </c>
      <c r="C40" s="3" t="s">
        <v>293</v>
      </c>
      <c r="D40" s="3" t="s">
        <v>110</v>
      </c>
      <c r="E40" s="3">
        <v>75.98</v>
      </c>
      <c r="F40" s="3">
        <v>21</v>
      </c>
      <c r="G40" s="3">
        <v>76.03</v>
      </c>
      <c r="H40" s="3">
        <v>20.98</v>
      </c>
      <c r="I40" s="2">
        <f t="shared" si="0"/>
        <v>5.589842109572996</v>
      </c>
      <c r="J40" s="2">
        <f t="shared" si="2"/>
        <v>5.9269834675569903</v>
      </c>
      <c r="K40" s="3">
        <v>28</v>
      </c>
      <c r="M40" s="3">
        <v>0</v>
      </c>
      <c r="N40" s="2">
        <f>IF(Table1[[#This Row],[No of EQ]]&gt;0,Table1[[#This Row],[Total Length]],0)</f>
        <v>0</v>
      </c>
      <c r="O40" s="4">
        <f>Table1[[#This Row],[No of EQ]]/214</f>
        <v>0</v>
      </c>
      <c r="P40" s="4">
        <f>Table1[[#This Row],[Active Fault Length]]/$N$134</f>
        <v>0</v>
      </c>
      <c r="Q40" s="4">
        <f>AVERAGE(Table1[[#This Row],[Wm]:[Wl ]])</f>
        <v>0</v>
      </c>
      <c r="R40" s="4">
        <f>2.303*Table1[[#This Row],[Total Weightage Factor]]</f>
        <v>0</v>
      </c>
    </row>
    <row r="41" spans="1:18" hidden="1" x14ac:dyDescent="0.3">
      <c r="A41" s="3">
        <v>39</v>
      </c>
      <c r="B41" s="3" t="s">
        <v>216</v>
      </c>
      <c r="C41" s="3" t="s">
        <v>294</v>
      </c>
      <c r="D41" s="3" t="s">
        <v>104</v>
      </c>
      <c r="E41" s="3">
        <v>73.930000000000007</v>
      </c>
      <c r="F41" s="3">
        <v>22.15</v>
      </c>
      <c r="G41" s="3">
        <v>74.069999999999993</v>
      </c>
      <c r="H41" s="3">
        <v>22.2</v>
      </c>
      <c r="I41" s="2">
        <f t="shared" si="0"/>
        <v>15.654091019443861</v>
      </c>
      <c r="J41" s="2">
        <f t="shared" si="2"/>
        <v>6.4457683114070869</v>
      </c>
      <c r="K41" s="3">
        <v>19</v>
      </c>
      <c r="M41" s="3">
        <v>0</v>
      </c>
      <c r="N41" s="2">
        <f>IF(Table1[[#This Row],[No of EQ]]&gt;0,Table1[[#This Row],[Total Length]],0)</f>
        <v>0</v>
      </c>
      <c r="O41" s="4">
        <f>Table1[[#This Row],[No of EQ]]/214</f>
        <v>0</v>
      </c>
      <c r="P41" s="4">
        <f>Table1[[#This Row],[Active Fault Length]]/$N$134</f>
        <v>0</v>
      </c>
      <c r="Q41" s="4">
        <f>AVERAGE(Table1[[#This Row],[Wm]:[Wl ]])</f>
        <v>0</v>
      </c>
      <c r="R41" s="4">
        <f>2.303*Table1[[#This Row],[Total Weightage Factor]]</f>
        <v>0</v>
      </c>
    </row>
    <row r="42" spans="1:18" hidden="1" x14ac:dyDescent="0.3">
      <c r="A42" s="3">
        <v>40</v>
      </c>
      <c r="B42" s="3" t="s">
        <v>216</v>
      </c>
      <c r="C42" s="3" t="s">
        <v>295</v>
      </c>
      <c r="D42" s="3" t="s">
        <v>105</v>
      </c>
      <c r="E42" s="3">
        <v>77.900000000000006</v>
      </c>
      <c r="F42" s="3">
        <v>20.100000000000001</v>
      </c>
      <c r="G42" s="3">
        <v>77.98</v>
      </c>
      <c r="H42" s="3">
        <v>20.079999999999998</v>
      </c>
      <c r="I42" s="2">
        <f t="shared" si="0"/>
        <v>8.914183797546773</v>
      </c>
      <c r="J42" s="2">
        <f t="shared" si="2"/>
        <v>6.1620946378634951</v>
      </c>
      <c r="K42" s="3">
        <v>28</v>
      </c>
      <c r="M42" s="3">
        <v>0</v>
      </c>
      <c r="N42" s="2">
        <f>IF(Table1[[#This Row],[No of EQ]]&gt;0,Table1[[#This Row],[Total Length]],0)</f>
        <v>0</v>
      </c>
      <c r="O42" s="4">
        <f>Table1[[#This Row],[No of EQ]]/214</f>
        <v>0</v>
      </c>
      <c r="P42" s="4">
        <f>Table1[[#This Row],[Active Fault Length]]/$N$134</f>
        <v>0</v>
      </c>
      <c r="Q42" s="4">
        <f>AVERAGE(Table1[[#This Row],[Wm]:[Wl ]])</f>
        <v>0</v>
      </c>
      <c r="R42" s="4">
        <f>2.303*Table1[[#This Row],[Total Weightage Factor]]</f>
        <v>0</v>
      </c>
    </row>
    <row r="43" spans="1:18" hidden="1" x14ac:dyDescent="0.3">
      <c r="A43" s="3">
        <v>41</v>
      </c>
      <c r="B43" s="3" t="s">
        <v>216</v>
      </c>
      <c r="C43" s="3" t="s">
        <v>296</v>
      </c>
      <c r="D43" s="3" t="s">
        <v>108</v>
      </c>
      <c r="E43" s="3">
        <v>73.75</v>
      </c>
      <c r="F43" s="3">
        <v>22.15</v>
      </c>
      <c r="G43" s="3">
        <v>73.900000000000006</v>
      </c>
      <c r="H43" s="3">
        <v>22.23</v>
      </c>
      <c r="I43" s="2">
        <f t="shared" si="0"/>
        <v>16.875222646383136</v>
      </c>
      <c r="J43" s="2">
        <f t="shared" si="2"/>
        <v>6.483609433323462</v>
      </c>
      <c r="K43" s="3">
        <v>19</v>
      </c>
      <c r="M43" s="3">
        <v>0</v>
      </c>
      <c r="N43" s="2">
        <f>IF(Table1[[#This Row],[No of EQ]]&gt;0,Table1[[#This Row],[Total Length]],0)</f>
        <v>0</v>
      </c>
      <c r="O43" s="4">
        <f>Table1[[#This Row],[No of EQ]]/214</f>
        <v>0</v>
      </c>
      <c r="P43" s="4">
        <f>Table1[[#This Row],[Active Fault Length]]/$N$134</f>
        <v>0</v>
      </c>
      <c r="Q43" s="4">
        <f>AVERAGE(Table1[[#This Row],[Wm]:[Wl ]])</f>
        <v>0</v>
      </c>
      <c r="R43" s="4">
        <f>2.303*Table1[[#This Row],[Total Weightage Factor]]</f>
        <v>0</v>
      </c>
    </row>
    <row r="44" spans="1:18" hidden="1" x14ac:dyDescent="0.3">
      <c r="A44" s="3">
        <v>42</v>
      </c>
      <c r="B44" s="3" t="s">
        <v>216</v>
      </c>
      <c r="C44" s="3" t="s">
        <v>297</v>
      </c>
      <c r="D44" s="3" t="s">
        <v>112</v>
      </c>
      <c r="E44" s="3">
        <v>76.08</v>
      </c>
      <c r="F44" s="3">
        <v>21.25</v>
      </c>
      <c r="G44" s="3">
        <v>76.180000000000007</v>
      </c>
      <c r="H44" s="3">
        <v>21.29</v>
      </c>
      <c r="I44" s="2">
        <f t="shared" si="0"/>
        <v>11.178778372293278</v>
      </c>
      <c r="J44" s="2">
        <f t="shared" si="2"/>
        <v>6.2761374413862825</v>
      </c>
      <c r="K44" s="3">
        <v>20</v>
      </c>
      <c r="M44" s="3">
        <v>0</v>
      </c>
      <c r="N44" s="2">
        <f>IF(Table1[[#This Row],[No of EQ]]&gt;0,Table1[[#This Row],[Total Length]],0)</f>
        <v>0</v>
      </c>
      <c r="O44" s="4">
        <f>Table1[[#This Row],[No of EQ]]/214</f>
        <v>0</v>
      </c>
      <c r="P44" s="4">
        <f>Table1[[#This Row],[Active Fault Length]]/$N$134</f>
        <v>0</v>
      </c>
      <c r="Q44" s="4">
        <f>AVERAGE(Table1[[#This Row],[Wm]:[Wl ]])</f>
        <v>0</v>
      </c>
      <c r="R44" s="4">
        <f>2.303*Table1[[#This Row],[Total Weightage Factor]]</f>
        <v>0</v>
      </c>
    </row>
    <row r="45" spans="1:18" hidden="1" x14ac:dyDescent="0.3">
      <c r="A45" s="3">
        <v>43</v>
      </c>
      <c r="B45" s="3" t="s">
        <v>216</v>
      </c>
      <c r="C45" s="3" t="s">
        <v>298</v>
      </c>
      <c r="D45" s="3" t="s">
        <v>111</v>
      </c>
      <c r="E45" s="3">
        <v>73.83</v>
      </c>
      <c r="F45" s="3">
        <v>25.97</v>
      </c>
      <c r="G45" s="3">
        <v>74.23</v>
      </c>
      <c r="H45" s="3">
        <v>26.52</v>
      </c>
      <c r="I45" s="2">
        <f t="shared" si="0"/>
        <v>47.601631506438508</v>
      </c>
      <c r="J45" s="2">
        <f t="shared" si="2"/>
        <v>7.0060413321481425</v>
      </c>
      <c r="K45" s="3">
        <v>8</v>
      </c>
      <c r="L45" s="3" t="s">
        <v>332</v>
      </c>
      <c r="M45" s="3">
        <v>2</v>
      </c>
      <c r="N45" s="2">
        <f>IF(Table1[[#This Row],[No of EQ]]&gt;0,Table1[[#This Row],[Total Length]],0)</f>
        <v>47.601631506438508</v>
      </c>
      <c r="O45" s="4">
        <f>Table1[[#This Row],[No of EQ]]/214</f>
        <v>9.3457943925233638E-3</v>
      </c>
      <c r="P45" s="4">
        <f>Table1[[#This Row],[Active Fault Length]]/$N$134</f>
        <v>2.2990470218305855E-2</v>
      </c>
      <c r="Q45" s="4">
        <f>AVERAGE(Table1[[#This Row],[Wm]:[Wl ]])</f>
        <v>1.6168132305414609E-2</v>
      </c>
      <c r="R45" s="4">
        <f>2.303*Table1[[#This Row],[Total Weightage Factor]]</f>
        <v>3.7235208699369846E-2</v>
      </c>
    </row>
    <row r="46" spans="1:18" hidden="1" x14ac:dyDescent="0.3">
      <c r="A46" s="3">
        <v>44</v>
      </c>
      <c r="B46" s="3" t="s">
        <v>216</v>
      </c>
      <c r="C46" s="3" t="s">
        <v>299</v>
      </c>
      <c r="D46" s="3" t="s">
        <v>106</v>
      </c>
      <c r="E46" s="3">
        <v>75.95</v>
      </c>
      <c r="F46" s="3">
        <v>21.32</v>
      </c>
      <c r="G46" s="3">
        <v>76.06</v>
      </c>
      <c r="H46" s="3">
        <v>21.36</v>
      </c>
      <c r="I46" s="2">
        <f t="shared" si="0"/>
        <v>12.287701678642176</v>
      </c>
      <c r="J46" s="2">
        <f t="shared" si="2"/>
        <v>6.3237859644342382</v>
      </c>
      <c r="K46" s="3">
        <v>20</v>
      </c>
      <c r="M46" s="3">
        <v>0</v>
      </c>
      <c r="N46" s="2">
        <f>IF(Table1[[#This Row],[No of EQ]]&gt;0,Table1[[#This Row],[Total Length]],0)</f>
        <v>0</v>
      </c>
      <c r="O46" s="4">
        <f>Table1[[#This Row],[No of EQ]]/214</f>
        <v>0</v>
      </c>
      <c r="P46" s="4">
        <f>Table1[[#This Row],[Active Fault Length]]/$N$134</f>
        <v>0</v>
      </c>
      <c r="Q46" s="4">
        <f>AVERAGE(Table1[[#This Row],[Wm]:[Wl ]])</f>
        <v>0</v>
      </c>
      <c r="R46" s="4">
        <f>2.303*Table1[[#This Row],[Total Weightage Factor]]</f>
        <v>0</v>
      </c>
    </row>
    <row r="47" spans="1:18" hidden="1" x14ac:dyDescent="0.3">
      <c r="A47" s="3">
        <v>45</v>
      </c>
      <c r="B47" s="3" t="s">
        <v>216</v>
      </c>
      <c r="C47" s="3" t="s">
        <v>300</v>
      </c>
      <c r="D47" s="3" t="s">
        <v>103</v>
      </c>
      <c r="E47" s="3">
        <v>75.849999999999994</v>
      </c>
      <c r="F47" s="3">
        <v>21.35</v>
      </c>
      <c r="G47" s="3">
        <v>76.08</v>
      </c>
      <c r="H47" s="3">
        <v>21.39</v>
      </c>
      <c r="I47" s="2">
        <f t="shared" si="0"/>
        <v>25.61603719215525</v>
      </c>
      <c r="J47" s="2">
        <f t="shared" si="2"/>
        <v>6.6938738563528348</v>
      </c>
      <c r="K47" s="3">
        <v>20</v>
      </c>
      <c r="M47" s="3">
        <v>0</v>
      </c>
      <c r="N47" s="2">
        <f>IF(Table1[[#This Row],[No of EQ]]&gt;0,Table1[[#This Row],[Total Length]],0)</f>
        <v>0</v>
      </c>
      <c r="O47" s="4">
        <f>Table1[[#This Row],[No of EQ]]/214</f>
        <v>0</v>
      </c>
      <c r="P47" s="4">
        <f>Table1[[#This Row],[Active Fault Length]]/$N$134</f>
        <v>0</v>
      </c>
      <c r="Q47" s="4">
        <f>AVERAGE(Table1[[#This Row],[Wm]:[Wl ]])</f>
        <v>0</v>
      </c>
      <c r="R47" s="4">
        <f>2.303*Table1[[#This Row],[Total Weightage Factor]]</f>
        <v>0</v>
      </c>
    </row>
    <row r="48" spans="1:18" hidden="1" x14ac:dyDescent="0.3">
      <c r="A48" s="3">
        <v>46</v>
      </c>
      <c r="B48" s="3" t="s">
        <v>216</v>
      </c>
      <c r="C48" s="3" t="s">
        <v>301</v>
      </c>
      <c r="D48" s="3" t="s">
        <v>107</v>
      </c>
      <c r="E48" s="3">
        <v>76.12</v>
      </c>
      <c r="F48" s="3">
        <v>21.95</v>
      </c>
      <c r="G48" s="3">
        <v>76.209999999999994</v>
      </c>
      <c r="H48" s="3">
        <v>22.04</v>
      </c>
      <c r="I48" s="2">
        <f t="shared" si="0"/>
        <v>10.298587325828901</v>
      </c>
      <c r="J48" s="2">
        <f t="shared" si="2"/>
        <v>6.2348220808461869</v>
      </c>
      <c r="K48" s="3">
        <v>20</v>
      </c>
      <c r="M48" s="3">
        <v>0</v>
      </c>
      <c r="N48" s="2">
        <f>IF(Table1[[#This Row],[No of EQ]]&gt;0,Table1[[#This Row],[Total Length]],0)</f>
        <v>0</v>
      </c>
      <c r="O48" s="4">
        <f>Table1[[#This Row],[No of EQ]]/214</f>
        <v>0</v>
      </c>
      <c r="P48" s="4">
        <f>Table1[[#This Row],[Active Fault Length]]/$N$134</f>
        <v>0</v>
      </c>
      <c r="Q48" s="4">
        <f>AVERAGE(Table1[[#This Row],[Wm]:[Wl ]])</f>
        <v>0</v>
      </c>
      <c r="R48" s="4">
        <f>2.303*Table1[[#This Row],[Total Weightage Factor]]</f>
        <v>0</v>
      </c>
    </row>
    <row r="49" spans="1:18" hidden="1" x14ac:dyDescent="0.3">
      <c r="A49" s="3">
        <v>47</v>
      </c>
      <c r="B49" s="3" t="s">
        <v>216</v>
      </c>
      <c r="C49" s="3" t="s">
        <v>302</v>
      </c>
      <c r="D49" s="3" t="s">
        <v>101</v>
      </c>
      <c r="E49" s="3">
        <v>76.099999999999994</v>
      </c>
      <c r="F49" s="3">
        <v>22.01</v>
      </c>
      <c r="G49" s="3">
        <v>76.2</v>
      </c>
      <c r="H49" s="3">
        <v>22.05</v>
      </c>
      <c r="I49" s="2">
        <f t="shared" si="0"/>
        <v>11.178634199680822</v>
      </c>
      <c r="J49" s="2">
        <f t="shared" si="2"/>
        <v>6.2761309440772575</v>
      </c>
      <c r="K49" s="3">
        <v>20</v>
      </c>
      <c r="M49" s="3">
        <v>0</v>
      </c>
      <c r="N49" s="2">
        <f>IF(Table1[[#This Row],[No of EQ]]&gt;0,Table1[[#This Row],[Total Length]],0)</f>
        <v>0</v>
      </c>
      <c r="O49" s="4">
        <f>Table1[[#This Row],[No of EQ]]/214</f>
        <v>0</v>
      </c>
      <c r="P49" s="4">
        <f>Table1[[#This Row],[Active Fault Length]]/$N$134</f>
        <v>0</v>
      </c>
      <c r="Q49" s="4">
        <f>AVERAGE(Table1[[#This Row],[Wm]:[Wl ]])</f>
        <v>0</v>
      </c>
      <c r="R49" s="4">
        <f>2.303*Table1[[#This Row],[Total Weightage Factor]]</f>
        <v>0</v>
      </c>
    </row>
    <row r="50" spans="1:18" hidden="1" x14ac:dyDescent="0.3">
      <c r="A50" s="3">
        <v>48</v>
      </c>
      <c r="B50" s="3" t="s">
        <v>216</v>
      </c>
      <c r="C50" s="3" t="s">
        <v>285</v>
      </c>
      <c r="D50" s="3" t="s">
        <v>151</v>
      </c>
      <c r="E50" s="3">
        <v>77.8</v>
      </c>
      <c r="F50" s="3">
        <v>20.82</v>
      </c>
      <c r="G50" s="3">
        <v>77.900000000000006</v>
      </c>
      <c r="H50" s="3">
        <v>20.9</v>
      </c>
      <c r="I50" s="2">
        <f t="shared" si="0"/>
        <v>11.285091056570616</v>
      </c>
      <c r="J50" s="2">
        <f t="shared" si="2"/>
        <v>6.2809058784638117</v>
      </c>
      <c r="K50" s="3">
        <v>28</v>
      </c>
      <c r="M50" s="3">
        <v>0</v>
      </c>
      <c r="N50" s="2">
        <f>IF(Table1[[#This Row],[No of EQ]]&gt;0,Table1[[#This Row],[Total Length]],0)</f>
        <v>0</v>
      </c>
      <c r="O50" s="4">
        <f>Table1[[#This Row],[No of EQ]]/214</f>
        <v>0</v>
      </c>
      <c r="P50" s="4">
        <f>Table1[[#This Row],[Active Fault Length]]/$N$134</f>
        <v>0</v>
      </c>
      <c r="Q50" s="4">
        <f>AVERAGE(Table1[[#This Row],[Wm]:[Wl ]])</f>
        <v>0</v>
      </c>
      <c r="R50" s="4">
        <f>2.303*Table1[[#This Row],[Total Weightage Factor]]</f>
        <v>0</v>
      </c>
    </row>
    <row r="51" spans="1:18" hidden="1" x14ac:dyDescent="0.3">
      <c r="A51" s="3">
        <v>49</v>
      </c>
      <c r="B51" s="3" t="s">
        <v>216</v>
      </c>
      <c r="C51" s="3" t="s">
        <v>303</v>
      </c>
      <c r="D51" s="3" t="s">
        <v>109</v>
      </c>
      <c r="E51" s="3">
        <v>76.08</v>
      </c>
      <c r="F51" s="3">
        <v>22.1</v>
      </c>
      <c r="G51" s="3">
        <v>76.180000000000007</v>
      </c>
      <c r="H51" s="3">
        <v>22.12</v>
      </c>
      <c r="I51" s="2">
        <f t="shared" si="0"/>
        <v>11.140313420778604</v>
      </c>
      <c r="J51" s="2">
        <f t="shared" si="2"/>
        <v>6.2744009949264896</v>
      </c>
      <c r="K51" s="3">
        <v>20</v>
      </c>
      <c r="M51" s="3">
        <v>0</v>
      </c>
      <c r="N51" s="2">
        <f>IF(Table1[[#This Row],[No of EQ]]&gt;0,Table1[[#This Row],[Total Length]],0)</f>
        <v>0</v>
      </c>
      <c r="O51" s="4">
        <f>Table1[[#This Row],[No of EQ]]/214</f>
        <v>0</v>
      </c>
      <c r="P51" s="4">
        <f>Table1[[#This Row],[Active Fault Length]]/$N$134</f>
        <v>0</v>
      </c>
      <c r="Q51" s="4">
        <f>AVERAGE(Table1[[#This Row],[Wm]:[Wl ]])</f>
        <v>0</v>
      </c>
      <c r="R51" s="4">
        <f>2.303*Table1[[#This Row],[Total Weightage Factor]]</f>
        <v>0</v>
      </c>
    </row>
    <row r="52" spans="1:18" hidden="1" x14ac:dyDescent="0.3">
      <c r="A52" s="3">
        <v>50</v>
      </c>
      <c r="B52" s="3" t="s">
        <v>216</v>
      </c>
      <c r="C52" s="3" t="s">
        <v>310</v>
      </c>
      <c r="D52" s="3" t="s">
        <v>102</v>
      </c>
      <c r="E52" s="3">
        <v>75.849999999999994</v>
      </c>
      <c r="F52" s="3">
        <v>22.5</v>
      </c>
      <c r="G52" s="3">
        <v>75.989999999999995</v>
      </c>
      <c r="H52" s="3">
        <v>22.42</v>
      </c>
      <c r="I52" s="2">
        <f t="shared" si="0"/>
        <v>15.729051111078428</v>
      </c>
      <c r="J52" s="2">
        <f t="shared" si="2"/>
        <v>6.4481749274485383</v>
      </c>
      <c r="K52" s="3">
        <v>20</v>
      </c>
      <c r="M52" s="3">
        <v>0</v>
      </c>
      <c r="N52" s="2">
        <f>IF(Table1[[#This Row],[No of EQ]]&gt;0,Table1[[#This Row],[Total Length]],0)</f>
        <v>0</v>
      </c>
      <c r="O52" s="4">
        <f>Table1[[#This Row],[No of EQ]]/214</f>
        <v>0</v>
      </c>
      <c r="P52" s="4">
        <f>Table1[[#This Row],[Active Fault Length]]/$N$134</f>
        <v>0</v>
      </c>
      <c r="Q52" s="4">
        <f>AVERAGE(Table1[[#This Row],[Wm]:[Wl ]])</f>
        <v>0</v>
      </c>
      <c r="R52" s="4">
        <f>2.303*Table1[[#This Row],[Total Weightage Factor]]</f>
        <v>0</v>
      </c>
    </row>
    <row r="53" spans="1:18" hidden="1" x14ac:dyDescent="0.3">
      <c r="A53" s="3">
        <v>51</v>
      </c>
      <c r="B53" s="3" t="s">
        <v>216</v>
      </c>
      <c r="C53" s="3" t="s">
        <v>304</v>
      </c>
      <c r="D53" s="3" t="s">
        <v>100</v>
      </c>
      <c r="E53" s="3">
        <v>77.5</v>
      </c>
      <c r="F53" s="3">
        <v>20.3</v>
      </c>
      <c r="G53" s="3">
        <v>77.650000000000006</v>
      </c>
      <c r="H53" s="3">
        <v>20.329999999999998</v>
      </c>
      <c r="I53" s="2">
        <f t="shared" si="0"/>
        <v>16.706736170650625</v>
      </c>
      <c r="J53" s="2">
        <f t="shared" si="2"/>
        <v>6.478554272674109</v>
      </c>
      <c r="K53" s="3">
        <v>28</v>
      </c>
      <c r="M53" s="3">
        <v>0</v>
      </c>
      <c r="N53" s="2">
        <f>IF(Table1[[#This Row],[No of EQ]]&gt;0,Table1[[#This Row],[Total Length]],0)</f>
        <v>0</v>
      </c>
      <c r="O53" s="4">
        <f>Table1[[#This Row],[No of EQ]]/214</f>
        <v>0</v>
      </c>
      <c r="P53" s="4">
        <f>Table1[[#This Row],[Active Fault Length]]/$N$134</f>
        <v>0</v>
      </c>
      <c r="Q53" s="4">
        <f>AVERAGE(Table1[[#This Row],[Wm]:[Wl ]])</f>
        <v>0</v>
      </c>
      <c r="R53" s="4">
        <f>2.303*Table1[[#This Row],[Total Weightage Factor]]</f>
        <v>0</v>
      </c>
    </row>
    <row r="54" spans="1:18" hidden="1" x14ac:dyDescent="0.3">
      <c r="A54" s="3">
        <v>52</v>
      </c>
      <c r="B54" s="3" t="s">
        <v>216</v>
      </c>
      <c r="C54" s="3" t="s">
        <v>113</v>
      </c>
      <c r="D54" s="3" t="s">
        <v>99</v>
      </c>
      <c r="E54" s="3">
        <v>73.8</v>
      </c>
      <c r="F54" s="3">
        <v>22</v>
      </c>
      <c r="G54" s="3">
        <v>74.040000000000006</v>
      </c>
      <c r="H54" s="3">
        <v>22.1</v>
      </c>
      <c r="I54" s="2">
        <f t="shared" si="0"/>
        <v>26.883962176172648</v>
      </c>
      <c r="J54" s="2">
        <f t="shared" si="2"/>
        <v>6.7182121998208721</v>
      </c>
      <c r="K54" s="3">
        <v>19</v>
      </c>
      <c r="M54" s="3">
        <v>0</v>
      </c>
      <c r="N54" s="2">
        <f>IF(Table1[[#This Row],[No of EQ]]&gt;0,Table1[[#This Row],[Total Length]],0)</f>
        <v>0</v>
      </c>
      <c r="O54" s="4">
        <f>Table1[[#This Row],[No of EQ]]/214</f>
        <v>0</v>
      </c>
      <c r="P54" s="4">
        <f>Table1[[#This Row],[Active Fault Length]]/$N$134</f>
        <v>0</v>
      </c>
      <c r="Q54" s="4">
        <f>AVERAGE(Table1[[#This Row],[Wm]:[Wl ]])</f>
        <v>0</v>
      </c>
      <c r="R54" s="4">
        <f>2.303*Table1[[#This Row],[Total Weightage Factor]]</f>
        <v>0</v>
      </c>
    </row>
    <row r="55" spans="1:18" hidden="1" x14ac:dyDescent="0.3">
      <c r="A55" s="3">
        <v>53</v>
      </c>
      <c r="B55" s="3" t="s">
        <v>216</v>
      </c>
      <c r="C55" s="3" t="s">
        <v>305</v>
      </c>
      <c r="D55" s="3" t="s">
        <v>97</v>
      </c>
      <c r="E55" s="3">
        <v>77.5</v>
      </c>
      <c r="F55" s="3">
        <v>20.43</v>
      </c>
      <c r="G55" s="3">
        <v>77.75</v>
      </c>
      <c r="H55" s="3">
        <v>20.420000000000002</v>
      </c>
      <c r="I55" s="2">
        <f t="shared" si="0"/>
        <v>27.819683976191481</v>
      </c>
      <c r="J55" s="2">
        <f t="shared" si="2"/>
        <v>6.7354485429758064</v>
      </c>
      <c r="K55" s="3">
        <v>28</v>
      </c>
      <c r="M55" s="3">
        <v>0</v>
      </c>
      <c r="N55" s="2">
        <f>IF(Table1[[#This Row],[No of EQ]]&gt;0,Table1[[#This Row],[Total Length]],0)</f>
        <v>0</v>
      </c>
      <c r="O55" s="4">
        <f>Table1[[#This Row],[No of EQ]]/214</f>
        <v>0</v>
      </c>
      <c r="P55" s="4">
        <f>Table1[[#This Row],[Active Fault Length]]/$N$134</f>
        <v>0</v>
      </c>
      <c r="Q55" s="4">
        <f>AVERAGE(Table1[[#This Row],[Wm]:[Wl ]])</f>
        <v>0</v>
      </c>
      <c r="R55" s="4">
        <f>2.303*Table1[[#This Row],[Total Weightage Factor]]</f>
        <v>0</v>
      </c>
    </row>
    <row r="56" spans="1:18" hidden="1" x14ac:dyDescent="0.3">
      <c r="A56" s="3">
        <v>54</v>
      </c>
      <c r="B56" s="3" t="s">
        <v>216</v>
      </c>
      <c r="C56" s="3" t="s">
        <v>306</v>
      </c>
      <c r="D56" s="3" t="s">
        <v>98</v>
      </c>
      <c r="E56" s="3">
        <v>73.400000000000006</v>
      </c>
      <c r="F56" s="3">
        <v>22.15</v>
      </c>
      <c r="G56" s="3">
        <v>73.48</v>
      </c>
      <c r="H56" s="3">
        <v>22.15</v>
      </c>
      <c r="I56" s="2">
        <f t="shared" si="0"/>
        <v>8.9019697779069151</v>
      </c>
      <c r="J56" s="2">
        <f t="shared" si="2"/>
        <v>6.1614038940076554</v>
      </c>
      <c r="K56" s="3">
        <v>19</v>
      </c>
      <c r="M56" s="3">
        <v>0</v>
      </c>
      <c r="N56" s="2">
        <f>IF(Table1[[#This Row],[No of EQ]]&gt;0,Table1[[#This Row],[Total Length]],0)</f>
        <v>0</v>
      </c>
      <c r="O56" s="4">
        <f>Table1[[#This Row],[No of EQ]]/214</f>
        <v>0</v>
      </c>
      <c r="P56" s="4">
        <f>Table1[[#This Row],[Active Fault Length]]/$N$134</f>
        <v>0</v>
      </c>
      <c r="Q56" s="4">
        <f>AVERAGE(Table1[[#This Row],[Wm]:[Wl ]])</f>
        <v>0</v>
      </c>
      <c r="R56" s="4">
        <f>2.303*Table1[[#This Row],[Total Weightage Factor]]</f>
        <v>0</v>
      </c>
    </row>
    <row r="57" spans="1:18" hidden="1" x14ac:dyDescent="0.3">
      <c r="A57" s="3">
        <v>55</v>
      </c>
      <c r="B57" s="3" t="s">
        <v>216</v>
      </c>
      <c r="C57" s="3" t="s">
        <v>307</v>
      </c>
      <c r="D57" s="3" t="s">
        <v>159</v>
      </c>
      <c r="E57" s="3">
        <v>75.650000000000006</v>
      </c>
      <c r="F57" s="3">
        <v>20.9</v>
      </c>
      <c r="G57" s="3">
        <v>75.75</v>
      </c>
      <c r="H57" s="3">
        <v>20.85</v>
      </c>
      <c r="I57" s="2">
        <f t="shared" si="0"/>
        <v>11.212441968201466</v>
      </c>
      <c r="J57" s="2">
        <f t="shared" si="2"/>
        <v>6.2776522416244678</v>
      </c>
      <c r="K57" s="3">
        <v>28</v>
      </c>
      <c r="M57" s="3">
        <v>0</v>
      </c>
      <c r="N57" s="2">
        <f>IF(Table1[[#This Row],[No of EQ]]&gt;0,Table1[[#This Row],[Total Length]],0)</f>
        <v>0</v>
      </c>
      <c r="O57" s="4">
        <f>Table1[[#This Row],[No of EQ]]/214</f>
        <v>0</v>
      </c>
      <c r="P57" s="4">
        <f>Table1[[#This Row],[Active Fault Length]]/$N$134</f>
        <v>0</v>
      </c>
      <c r="Q57" s="4">
        <f>AVERAGE(Table1[[#This Row],[Wm]:[Wl ]])</f>
        <v>0</v>
      </c>
      <c r="R57" s="4">
        <f>2.303*Table1[[#This Row],[Total Weightage Factor]]</f>
        <v>0</v>
      </c>
    </row>
    <row r="58" spans="1:18" hidden="1" x14ac:dyDescent="0.3">
      <c r="A58" s="3">
        <v>56</v>
      </c>
      <c r="B58" s="3" t="s">
        <v>216</v>
      </c>
      <c r="C58" s="3" t="s">
        <v>308</v>
      </c>
      <c r="D58" s="3" t="s">
        <v>160</v>
      </c>
      <c r="E58" s="3">
        <v>77.900000000000006</v>
      </c>
      <c r="F58" s="3">
        <v>20.85</v>
      </c>
      <c r="G58" s="3">
        <v>77.98</v>
      </c>
      <c r="H58" s="3">
        <v>20.86</v>
      </c>
      <c r="I58" s="2">
        <f t="shared" si="0"/>
        <v>8.905024853372014</v>
      </c>
      <c r="J58" s="2">
        <f t="shared" si="2"/>
        <v>6.1615767576323002</v>
      </c>
      <c r="K58" s="3">
        <v>28</v>
      </c>
      <c r="L58" s="3">
        <v>132</v>
      </c>
      <c r="M58" s="3">
        <v>1</v>
      </c>
      <c r="N58" s="2">
        <f>IF(Table1[[#This Row],[No of EQ]]&gt;0,Table1[[#This Row],[Total Length]],0)</f>
        <v>8.905024853372014</v>
      </c>
      <c r="O58" s="4">
        <f>Table1[[#This Row],[No of EQ]]/214</f>
        <v>4.6728971962616819E-3</v>
      </c>
      <c r="P58" s="4">
        <f>Table1[[#This Row],[Active Fault Length]]/$N$134</f>
        <v>4.300917893056486E-3</v>
      </c>
      <c r="Q58" s="4">
        <f>AVERAGE(Table1[[#This Row],[Wm]:[Wl ]])</f>
        <v>4.4869075446590835E-3</v>
      </c>
      <c r="R58" s="4">
        <f>2.303*Table1[[#This Row],[Total Weightage Factor]]</f>
        <v>1.033334807534987E-2</v>
      </c>
    </row>
    <row r="59" spans="1:18" hidden="1" x14ac:dyDescent="0.3">
      <c r="A59" s="3">
        <v>57</v>
      </c>
      <c r="B59" s="3" t="s">
        <v>216</v>
      </c>
      <c r="C59" s="3" t="s">
        <v>309</v>
      </c>
      <c r="D59" s="3" t="s">
        <v>161</v>
      </c>
      <c r="E59" s="3">
        <v>77.900000000000006</v>
      </c>
      <c r="F59" s="3">
        <v>20.93</v>
      </c>
      <c r="G59" s="3">
        <v>77.95</v>
      </c>
      <c r="H59" s="3">
        <v>20.88</v>
      </c>
      <c r="I59" s="2">
        <f t="shared" si="0"/>
        <v>5.6849342717142335</v>
      </c>
      <c r="J59" s="2">
        <f t="shared" si="2"/>
        <v>5.9354815194602848</v>
      </c>
      <c r="K59" s="3">
        <v>28</v>
      </c>
      <c r="M59" s="3">
        <v>0</v>
      </c>
      <c r="N59" s="2">
        <f>IF(Table1[[#This Row],[No of EQ]]&gt;0,Table1[[#This Row],[Total Length]],0)</f>
        <v>0</v>
      </c>
      <c r="O59" s="4">
        <f>Table1[[#This Row],[No of EQ]]/214</f>
        <v>0</v>
      </c>
      <c r="P59" s="4">
        <f>Table1[[#This Row],[Active Fault Length]]/$N$134</f>
        <v>0</v>
      </c>
      <c r="Q59" s="4">
        <f>AVERAGE(Table1[[#This Row],[Wm]:[Wl ]])</f>
        <v>0</v>
      </c>
      <c r="R59" s="4">
        <f>2.303*Table1[[#This Row],[Total Weightage Factor]]</f>
        <v>0</v>
      </c>
    </row>
    <row r="60" spans="1:18" hidden="1" x14ac:dyDescent="0.3">
      <c r="A60" s="3">
        <v>58</v>
      </c>
      <c r="B60" s="3" t="s">
        <v>216</v>
      </c>
      <c r="C60" s="3" t="s">
        <v>286</v>
      </c>
      <c r="D60" s="3" t="s">
        <v>152</v>
      </c>
      <c r="E60" s="3">
        <v>76</v>
      </c>
      <c r="F60" s="3">
        <v>20.9</v>
      </c>
      <c r="G60" s="3">
        <v>76.08</v>
      </c>
      <c r="H60" s="3">
        <v>20.9</v>
      </c>
      <c r="I60" s="2">
        <f t="shared" si="0"/>
        <v>8.9019697779069151</v>
      </c>
      <c r="J60" s="2">
        <f t="shared" si="2"/>
        <v>6.1614038940076554</v>
      </c>
      <c r="K60" s="3">
        <v>28</v>
      </c>
      <c r="M60" s="3">
        <v>0</v>
      </c>
      <c r="N60" s="2">
        <f>IF(Table1[[#This Row],[No of EQ]]&gt;0,Table1[[#This Row],[Total Length]],0)</f>
        <v>0</v>
      </c>
      <c r="O60" s="4">
        <f>Table1[[#This Row],[No of EQ]]/214</f>
        <v>0</v>
      </c>
      <c r="P60" s="4">
        <f>Table1[[#This Row],[Active Fault Length]]/$N$134</f>
        <v>0</v>
      </c>
      <c r="Q60" s="4">
        <f>AVERAGE(Table1[[#This Row],[Wm]:[Wl ]])</f>
        <v>0</v>
      </c>
      <c r="R60" s="4">
        <f>2.303*Table1[[#This Row],[Total Weightage Factor]]</f>
        <v>0</v>
      </c>
    </row>
    <row r="61" spans="1:18" hidden="1" x14ac:dyDescent="0.3">
      <c r="A61" s="3">
        <v>59</v>
      </c>
      <c r="B61" s="3" t="s">
        <v>216</v>
      </c>
      <c r="C61" s="3" t="s">
        <v>287</v>
      </c>
      <c r="D61" s="3" t="s">
        <v>153</v>
      </c>
      <c r="E61" s="3">
        <v>75.849999999999994</v>
      </c>
      <c r="F61" s="3">
        <v>20.92</v>
      </c>
      <c r="G61" s="3">
        <v>75.900000000000006</v>
      </c>
      <c r="H61" s="3">
        <v>20.9</v>
      </c>
      <c r="I61" s="2">
        <f t="shared" si="0"/>
        <v>5.5903167988184039</v>
      </c>
      <c r="J61" s="2">
        <f t="shared" si="2"/>
        <v>5.9270262468607875</v>
      </c>
      <c r="K61" s="3">
        <v>28</v>
      </c>
      <c r="M61" s="3">
        <v>0</v>
      </c>
      <c r="N61" s="2">
        <f>IF(Table1[[#This Row],[No of EQ]]&gt;0,Table1[[#This Row],[Total Length]],0)</f>
        <v>0</v>
      </c>
      <c r="O61" s="4">
        <f>Table1[[#This Row],[No of EQ]]/214</f>
        <v>0</v>
      </c>
      <c r="P61" s="4">
        <f>Table1[[#This Row],[Active Fault Length]]/$N$134</f>
        <v>0</v>
      </c>
      <c r="Q61" s="4">
        <f>AVERAGE(Table1[[#This Row],[Wm]:[Wl ]])</f>
        <v>0</v>
      </c>
      <c r="R61" s="4">
        <f>2.303*Table1[[#This Row],[Total Weightage Factor]]</f>
        <v>0</v>
      </c>
    </row>
    <row r="62" spans="1:18" hidden="1" x14ac:dyDescent="0.3">
      <c r="A62" s="3">
        <v>60</v>
      </c>
      <c r="B62" s="3" t="s">
        <v>216</v>
      </c>
      <c r="C62" s="3" t="s">
        <v>288</v>
      </c>
      <c r="D62" s="3" t="s">
        <v>154</v>
      </c>
      <c r="E62" s="3">
        <v>75.150000000000006</v>
      </c>
      <c r="F62" s="3">
        <v>20.95</v>
      </c>
      <c r="G62" s="3">
        <v>75.16</v>
      </c>
      <c r="H62" s="3">
        <v>20.9</v>
      </c>
      <c r="I62" s="2">
        <f t="shared" si="0"/>
        <v>1.8111696979867609</v>
      </c>
      <c r="J62" s="2">
        <f t="shared" si="2"/>
        <v>5.3592326065155813</v>
      </c>
      <c r="K62" s="3">
        <v>28</v>
      </c>
      <c r="M62" s="3">
        <v>0</v>
      </c>
      <c r="N62" s="2">
        <f>IF(Table1[[#This Row],[No of EQ]]&gt;0,Table1[[#This Row],[Total Length]],0)</f>
        <v>0</v>
      </c>
      <c r="O62" s="4">
        <f>Table1[[#This Row],[No of EQ]]/214</f>
        <v>0</v>
      </c>
      <c r="P62" s="4">
        <f>Table1[[#This Row],[Active Fault Length]]/$N$134</f>
        <v>0</v>
      </c>
      <c r="Q62" s="4">
        <f>AVERAGE(Table1[[#This Row],[Wm]:[Wl ]])</f>
        <v>0</v>
      </c>
      <c r="R62" s="4">
        <f>2.303*Table1[[#This Row],[Total Weightage Factor]]</f>
        <v>0</v>
      </c>
    </row>
    <row r="63" spans="1:18" hidden="1" x14ac:dyDescent="0.3">
      <c r="A63" s="3">
        <v>61</v>
      </c>
      <c r="B63" s="3" t="s">
        <v>216</v>
      </c>
      <c r="C63" s="3" t="s">
        <v>289</v>
      </c>
      <c r="D63" s="3" t="s">
        <v>155</v>
      </c>
      <c r="E63" s="3">
        <v>75.7</v>
      </c>
      <c r="F63" s="3">
        <v>20.9</v>
      </c>
      <c r="G63" s="3">
        <v>75.8</v>
      </c>
      <c r="H63" s="3">
        <v>20.92</v>
      </c>
      <c r="I63" s="2">
        <f t="shared" si="0"/>
        <v>11.141009654528057</v>
      </c>
      <c r="J63" s="2">
        <f t="shared" si="2"/>
        <v>6.2744324786719128</v>
      </c>
      <c r="K63" s="3">
        <v>28</v>
      </c>
      <c r="M63" s="3">
        <v>0</v>
      </c>
      <c r="N63" s="2">
        <f>IF(Table1[[#This Row],[No of EQ]]&gt;0,Table1[[#This Row],[Total Length]],0)</f>
        <v>0</v>
      </c>
      <c r="O63" s="4">
        <f>Table1[[#This Row],[No of EQ]]/214</f>
        <v>0</v>
      </c>
      <c r="P63" s="4">
        <f>Table1[[#This Row],[Active Fault Length]]/$N$134</f>
        <v>0</v>
      </c>
      <c r="Q63" s="4">
        <f>AVERAGE(Table1[[#This Row],[Wm]:[Wl ]])</f>
        <v>0</v>
      </c>
      <c r="R63" s="4">
        <f>2.303*Table1[[#This Row],[Total Weightage Factor]]</f>
        <v>0</v>
      </c>
    </row>
    <row r="64" spans="1:18" hidden="1" x14ac:dyDescent="0.3">
      <c r="A64" s="3">
        <v>62</v>
      </c>
      <c r="B64" s="3" t="s">
        <v>216</v>
      </c>
      <c r="C64" s="3" t="s">
        <v>290</v>
      </c>
      <c r="D64" s="3" t="s">
        <v>156</v>
      </c>
      <c r="E64" s="3">
        <v>77.8</v>
      </c>
      <c r="F64" s="3">
        <v>20.9</v>
      </c>
      <c r="G64" s="3">
        <v>77.900000000000006</v>
      </c>
      <c r="H64" s="3">
        <v>20.92</v>
      </c>
      <c r="I64" s="2">
        <f t="shared" si="0"/>
        <v>11.137379385634162</v>
      </c>
      <c r="J64" s="2">
        <f t="shared" si="2"/>
        <v>6.2742682960031315</v>
      </c>
      <c r="K64" s="3">
        <v>28</v>
      </c>
      <c r="M64" s="3">
        <v>0</v>
      </c>
      <c r="N64" s="2">
        <f>IF(Table1[[#This Row],[No of EQ]]&gt;0,Table1[[#This Row],[Total Length]],0)</f>
        <v>0</v>
      </c>
      <c r="O64" s="4">
        <f>Table1[[#This Row],[No of EQ]]/214</f>
        <v>0</v>
      </c>
      <c r="P64" s="4">
        <f>Table1[[#This Row],[Active Fault Length]]/$N$134</f>
        <v>0</v>
      </c>
      <c r="Q64" s="4">
        <f>AVERAGE(Table1[[#This Row],[Wm]:[Wl ]])</f>
        <v>0</v>
      </c>
      <c r="R64" s="4">
        <f>2.303*Table1[[#This Row],[Total Weightage Factor]]</f>
        <v>0</v>
      </c>
    </row>
    <row r="65" spans="1:18" hidden="1" x14ac:dyDescent="0.3">
      <c r="A65" s="3">
        <v>63</v>
      </c>
      <c r="B65" s="3" t="s">
        <v>216</v>
      </c>
      <c r="C65" s="3" t="s">
        <v>291</v>
      </c>
      <c r="D65" s="3" t="s">
        <v>157</v>
      </c>
      <c r="E65" s="3">
        <v>75.989999999999995</v>
      </c>
      <c r="F65" s="3">
        <v>20.89</v>
      </c>
      <c r="G65" s="3">
        <v>76.2</v>
      </c>
      <c r="H65" s="3">
        <v>20.95</v>
      </c>
      <c r="I65" s="2">
        <f t="shared" si="0"/>
        <v>23.42298325259635</v>
      </c>
      <c r="J65" s="2">
        <f t="shared" si="2"/>
        <v>6.6487849611470171</v>
      </c>
      <c r="K65" s="3">
        <v>29</v>
      </c>
      <c r="M65" s="3">
        <v>0</v>
      </c>
      <c r="N65" s="2">
        <f>IF(Table1[[#This Row],[No of EQ]]&gt;0,Table1[[#This Row],[Total Length]],0)</f>
        <v>0</v>
      </c>
      <c r="O65" s="4">
        <f>Table1[[#This Row],[No of EQ]]/214</f>
        <v>0</v>
      </c>
      <c r="P65" s="4">
        <f>Table1[[#This Row],[Active Fault Length]]/$N$134</f>
        <v>0</v>
      </c>
      <c r="Q65" s="4">
        <f>AVERAGE(Table1[[#This Row],[Wm]:[Wl ]])</f>
        <v>0</v>
      </c>
      <c r="R65" s="4">
        <f>2.303*Table1[[#This Row],[Total Weightage Factor]]</f>
        <v>0</v>
      </c>
    </row>
    <row r="66" spans="1:18" hidden="1" x14ac:dyDescent="0.3">
      <c r="A66" s="3">
        <v>64</v>
      </c>
      <c r="B66" s="3" t="s">
        <v>216</v>
      </c>
      <c r="C66" s="3" t="s">
        <v>292</v>
      </c>
      <c r="D66" s="3" t="s">
        <v>158</v>
      </c>
      <c r="E66" s="3">
        <v>76</v>
      </c>
      <c r="F66" s="3">
        <v>20.98</v>
      </c>
      <c r="G66" s="3">
        <v>76.08</v>
      </c>
      <c r="H66" s="3">
        <v>20.97</v>
      </c>
      <c r="I66" s="2">
        <f t="shared" si="0"/>
        <v>8.9060382894756831</v>
      </c>
      <c r="J66" s="2">
        <f t="shared" si="2"/>
        <v>6.1616340872209117</v>
      </c>
      <c r="K66" s="3">
        <v>28</v>
      </c>
      <c r="M66" s="3">
        <v>0</v>
      </c>
      <c r="N66" s="2">
        <f>IF(Table1[[#This Row],[No of EQ]]&gt;0,Table1[[#This Row],[Total Length]],0)</f>
        <v>0</v>
      </c>
      <c r="O66" s="4">
        <f>Table1[[#This Row],[No of EQ]]/214</f>
        <v>0</v>
      </c>
      <c r="P66" s="4">
        <f>Table1[[#This Row],[Active Fault Length]]/$N$134</f>
        <v>0</v>
      </c>
      <c r="Q66" s="4">
        <f>AVERAGE(Table1[[#This Row],[Wm]:[Wl ]])</f>
        <v>0</v>
      </c>
      <c r="R66" s="4">
        <f>2.303*Table1[[#This Row],[Total Weightage Factor]]</f>
        <v>0</v>
      </c>
    </row>
    <row r="67" spans="1:18" hidden="1" x14ac:dyDescent="0.3">
      <c r="A67" s="3">
        <v>65</v>
      </c>
      <c r="B67" s="3" t="s">
        <v>217</v>
      </c>
      <c r="C67" s="3" t="s">
        <v>120</v>
      </c>
      <c r="D67" s="3" t="s">
        <v>162</v>
      </c>
      <c r="E67" s="3">
        <v>80.2</v>
      </c>
      <c r="F67" s="3">
        <v>18</v>
      </c>
      <c r="G67" s="3">
        <v>80.900000000000006</v>
      </c>
      <c r="H67" s="3">
        <v>17.010000000000002</v>
      </c>
      <c r="I67" s="2">
        <f t="shared" ref="I67:I130" si="3">6378.8*ACOS(SIN(E67*3.14/180)*SIN(G67*3.14/180)+COS(E67*3.14/180)*COS(G67*3.14/180)*COS(H67*3.14/180-F67*3.14/180))</f>
        <v>79.979372156373444</v>
      </c>
      <c r="J67" s="2">
        <f t="shared" ref="J67:J98" si="4">5.06+LOG10(I67)*1.16</f>
        <v>7.2674544690600822</v>
      </c>
      <c r="K67" s="3">
        <v>29</v>
      </c>
      <c r="M67" s="3">
        <v>0</v>
      </c>
      <c r="N67" s="2">
        <f>IF(Table1[[#This Row],[No of EQ]]&gt;0,Table1[[#This Row],[Total Length]],0)</f>
        <v>0</v>
      </c>
      <c r="O67" s="4">
        <f>Table1[[#This Row],[No of EQ]]/214</f>
        <v>0</v>
      </c>
      <c r="P67" s="4">
        <f>Table1[[#This Row],[Active Fault Length]]/$N$134</f>
        <v>0</v>
      </c>
      <c r="Q67" s="4">
        <f>AVERAGE(Table1[[#This Row],[Wm]:[Wl ]])</f>
        <v>0</v>
      </c>
      <c r="R67" s="4">
        <f>2.303*Table1[[#This Row],[Total Weightage Factor]]</f>
        <v>0</v>
      </c>
    </row>
    <row r="68" spans="1:18" hidden="1" x14ac:dyDescent="0.3">
      <c r="A68" s="3">
        <v>66</v>
      </c>
      <c r="B68" s="3" t="s">
        <v>217</v>
      </c>
      <c r="C68" s="3" t="s">
        <v>227</v>
      </c>
      <c r="D68" s="3" t="s">
        <v>70</v>
      </c>
      <c r="E68" s="3">
        <v>75.34</v>
      </c>
      <c r="F68" s="3">
        <v>21.24</v>
      </c>
      <c r="G68" s="3">
        <v>75.400000000000006</v>
      </c>
      <c r="H68" s="3">
        <v>21.4</v>
      </c>
      <c r="I68" s="2">
        <f t="shared" si="3"/>
        <v>8.0560747661546479</v>
      </c>
      <c r="J68" s="2">
        <f t="shared" si="4"/>
        <v>6.1111032462292858</v>
      </c>
      <c r="K68" s="3">
        <v>20</v>
      </c>
      <c r="M68" s="3">
        <v>0</v>
      </c>
      <c r="N68" s="2">
        <f>IF(Table1[[#This Row],[No of EQ]]&gt;0,Table1[[#This Row],[Total Length]],0)</f>
        <v>0</v>
      </c>
      <c r="O68" s="4">
        <f>Table1[[#This Row],[No of EQ]]/214</f>
        <v>0</v>
      </c>
      <c r="P68" s="4">
        <f>Table1[[#This Row],[Active Fault Length]]/$N$134</f>
        <v>0</v>
      </c>
      <c r="Q68" s="4">
        <f>AVERAGE(Table1[[#This Row],[Wm]:[Wl ]])</f>
        <v>0</v>
      </c>
      <c r="R68" s="4">
        <f>2.303*Table1[[#This Row],[Total Weightage Factor]]</f>
        <v>0</v>
      </c>
    </row>
    <row r="69" spans="1:18" hidden="1" x14ac:dyDescent="0.3">
      <c r="A69" s="3">
        <v>67</v>
      </c>
      <c r="B69" s="3" t="s">
        <v>217</v>
      </c>
      <c r="C69" s="3" t="s">
        <v>229</v>
      </c>
      <c r="D69" s="3" t="s">
        <v>127</v>
      </c>
      <c r="E69" s="3">
        <v>75.349999999999994</v>
      </c>
      <c r="F69" s="3">
        <v>21.3</v>
      </c>
      <c r="G69" s="3">
        <v>76.150000000000006</v>
      </c>
      <c r="H69" s="3">
        <v>21.4</v>
      </c>
      <c r="I69" s="2">
        <f t="shared" si="3"/>
        <v>89.062017226507038</v>
      </c>
      <c r="J69" s="2">
        <f t="shared" si="4"/>
        <v>7.3216433319454595</v>
      </c>
      <c r="K69" s="3">
        <v>20</v>
      </c>
      <c r="L69" s="3">
        <v>116</v>
      </c>
      <c r="M69" s="3">
        <v>1</v>
      </c>
      <c r="N69" s="2">
        <f>IF(Table1[[#This Row],[No of EQ]]&gt;0,Table1[[#This Row],[Total Length]],0)</f>
        <v>89.062017226507038</v>
      </c>
      <c r="O69" s="4">
        <f>Table1[[#This Row],[No of EQ]]/214</f>
        <v>4.6728971962616819E-3</v>
      </c>
      <c r="P69" s="4">
        <f>Table1[[#This Row],[Active Fault Length]]/$N$134</f>
        <v>4.301486293282409E-2</v>
      </c>
      <c r="Q69" s="4">
        <f>AVERAGE(Table1[[#This Row],[Wm]:[Wl ]])</f>
        <v>2.3843880064542886E-2</v>
      </c>
      <c r="R69" s="4">
        <f>2.303*Table1[[#This Row],[Total Weightage Factor]]</f>
        <v>5.4912455788642268E-2</v>
      </c>
    </row>
    <row r="70" spans="1:18" hidden="1" x14ac:dyDescent="0.3">
      <c r="A70" s="3">
        <v>68</v>
      </c>
      <c r="B70" s="3" t="s">
        <v>217</v>
      </c>
      <c r="C70" s="3" t="s">
        <v>119</v>
      </c>
      <c r="D70" s="3" t="s">
        <v>116</v>
      </c>
      <c r="E70" s="3">
        <v>79.3</v>
      </c>
      <c r="F70" s="3">
        <v>18.7</v>
      </c>
      <c r="G70" s="3">
        <v>80.989999999999995</v>
      </c>
      <c r="H70" s="3">
        <v>17.350000000000001</v>
      </c>
      <c r="I70" s="2">
        <f t="shared" si="3"/>
        <v>189.80510926265924</v>
      </c>
      <c r="J70" s="2">
        <f t="shared" si="4"/>
        <v>7.7028371625969863</v>
      </c>
      <c r="K70" s="3">
        <v>29</v>
      </c>
      <c r="M70" s="3">
        <v>0</v>
      </c>
      <c r="N70" s="2">
        <f>IF(Table1[[#This Row],[No of EQ]]&gt;0,Table1[[#This Row],[Total Length]],0)</f>
        <v>0</v>
      </c>
      <c r="O70" s="4">
        <f>Table1[[#This Row],[No of EQ]]/214</f>
        <v>0</v>
      </c>
      <c r="P70" s="4">
        <f>Table1[[#This Row],[Active Fault Length]]/$N$134</f>
        <v>0</v>
      </c>
      <c r="Q70" s="4">
        <f>AVERAGE(Table1[[#This Row],[Wm]:[Wl ]])</f>
        <v>0</v>
      </c>
      <c r="R70" s="4">
        <f>2.303*Table1[[#This Row],[Total Weightage Factor]]</f>
        <v>0</v>
      </c>
    </row>
    <row r="71" spans="1:18" hidden="1" x14ac:dyDescent="0.3">
      <c r="A71" s="3">
        <v>69</v>
      </c>
      <c r="B71" s="3" t="s">
        <v>217</v>
      </c>
      <c r="C71" s="3" t="s">
        <v>246</v>
      </c>
      <c r="D71" s="3" t="s">
        <v>123</v>
      </c>
      <c r="E71" s="3">
        <v>73.2</v>
      </c>
      <c r="F71" s="3">
        <v>19.8</v>
      </c>
      <c r="G71" s="3">
        <v>74.849999999999994</v>
      </c>
      <c r="H71" s="3">
        <v>18.3</v>
      </c>
      <c r="I71" s="2">
        <f t="shared" si="3"/>
        <v>189.27336557448868</v>
      </c>
      <c r="J71" s="2">
        <f t="shared" si="4"/>
        <v>7.7014238253648823</v>
      </c>
      <c r="K71" s="3">
        <v>27</v>
      </c>
      <c r="L71" s="3" t="s">
        <v>358</v>
      </c>
      <c r="M71" s="3">
        <v>4</v>
      </c>
      <c r="N71" s="2">
        <f>IF(Table1[[#This Row],[No of EQ]]&gt;0,Table1[[#This Row],[Total Length]],0)</f>
        <v>189.27336557448868</v>
      </c>
      <c r="O71" s="4">
        <f>Table1[[#This Row],[No of EQ]]/214</f>
        <v>1.8691588785046728E-2</v>
      </c>
      <c r="P71" s="4">
        <f>Table1[[#This Row],[Active Fault Length]]/$N$134</f>
        <v>9.1414590984559535E-2</v>
      </c>
      <c r="Q71" s="4">
        <f>AVERAGE(Table1[[#This Row],[Wm]:[Wl ]])</f>
        <v>5.5053089884803133E-2</v>
      </c>
      <c r="R71" s="4">
        <f>2.303*Table1[[#This Row],[Total Weightage Factor]]</f>
        <v>0.12678726600470161</v>
      </c>
    </row>
    <row r="72" spans="1:18" hidden="1" x14ac:dyDescent="0.3">
      <c r="A72" s="3">
        <v>70</v>
      </c>
      <c r="B72" s="3" t="s">
        <v>217</v>
      </c>
      <c r="C72" s="3" t="s">
        <v>320</v>
      </c>
      <c r="D72" s="3" t="s">
        <v>118</v>
      </c>
      <c r="E72" s="3">
        <v>75</v>
      </c>
      <c r="F72" s="3">
        <v>19.649999999999999</v>
      </c>
      <c r="G72" s="3">
        <v>75.55</v>
      </c>
      <c r="H72" s="3">
        <v>18.95</v>
      </c>
      <c r="I72" s="2">
        <f t="shared" si="3"/>
        <v>64.338207554747001</v>
      </c>
      <c r="J72" s="2">
        <f t="shared" si="4"/>
        <v>7.1578239905914138</v>
      </c>
      <c r="K72" s="3">
        <v>27</v>
      </c>
      <c r="M72" s="3">
        <v>0</v>
      </c>
      <c r="N72" s="2">
        <f>IF(Table1[[#This Row],[No of EQ]]&gt;0,Table1[[#This Row],[Total Length]],0)</f>
        <v>0</v>
      </c>
      <c r="O72" s="4">
        <f>Table1[[#This Row],[No of EQ]]/214</f>
        <v>0</v>
      </c>
      <c r="P72" s="4">
        <f>Table1[[#This Row],[Active Fault Length]]/$N$134</f>
        <v>0</v>
      </c>
      <c r="Q72" s="4">
        <f>AVERAGE(Table1[[#This Row],[Wm]:[Wl ]])</f>
        <v>0</v>
      </c>
      <c r="R72" s="4">
        <f>2.303*Table1[[#This Row],[Total Weightage Factor]]</f>
        <v>0</v>
      </c>
    </row>
    <row r="73" spans="1:18" hidden="1" x14ac:dyDescent="0.3">
      <c r="A73" s="3">
        <v>71</v>
      </c>
      <c r="B73" s="3" t="s">
        <v>217</v>
      </c>
      <c r="C73" s="3" t="s">
        <v>321</v>
      </c>
      <c r="D73" s="3" t="s">
        <v>117</v>
      </c>
      <c r="E73" s="3">
        <v>73.400000000000006</v>
      </c>
      <c r="F73" s="3">
        <v>20.2</v>
      </c>
      <c r="G73" s="3">
        <v>75</v>
      </c>
      <c r="H73" s="3">
        <v>19.649999999999999</v>
      </c>
      <c r="I73" s="2">
        <f t="shared" si="3"/>
        <v>178.81919465795215</v>
      </c>
      <c r="J73" s="2">
        <f t="shared" si="4"/>
        <v>7.6728003961720681</v>
      </c>
      <c r="K73" s="3">
        <v>27</v>
      </c>
      <c r="L73" s="3">
        <v>141</v>
      </c>
      <c r="M73" s="3">
        <v>1</v>
      </c>
      <c r="N73" s="2">
        <f>IF(Table1[[#This Row],[No of EQ]]&gt;0,Table1[[#This Row],[Total Length]],0)</f>
        <v>178.81919465795215</v>
      </c>
      <c r="O73" s="4">
        <f>Table1[[#This Row],[No of EQ]]/214</f>
        <v>4.6728971962616819E-3</v>
      </c>
      <c r="P73" s="4">
        <f>Table1[[#This Row],[Active Fault Length]]/$N$134</f>
        <v>8.6365471920621495E-2</v>
      </c>
      <c r="Q73" s="4">
        <f>AVERAGE(Table1[[#This Row],[Wm]:[Wl ]])</f>
        <v>4.5519184558441589E-2</v>
      </c>
      <c r="R73" s="4">
        <f>2.303*Table1[[#This Row],[Total Weightage Factor]]</f>
        <v>0.10483068203809097</v>
      </c>
    </row>
    <row r="74" spans="1:18" hidden="1" x14ac:dyDescent="0.3">
      <c r="A74" s="3">
        <v>72</v>
      </c>
      <c r="B74" s="3" t="s">
        <v>217</v>
      </c>
      <c r="C74" s="3" t="s">
        <v>69</v>
      </c>
      <c r="D74" s="3" t="s">
        <v>169</v>
      </c>
      <c r="E74" s="3">
        <v>73.319999999999993</v>
      </c>
      <c r="F74" s="3">
        <v>17.05</v>
      </c>
      <c r="G74" s="3">
        <v>72.75</v>
      </c>
      <c r="H74" s="3">
        <v>20.350000000000001</v>
      </c>
      <c r="I74" s="2">
        <f t="shared" si="3"/>
        <v>124.68304362133118</v>
      </c>
      <c r="J74" s="2">
        <f t="shared" si="4"/>
        <v>7.4911365784778319</v>
      </c>
      <c r="K74" s="3">
        <v>27</v>
      </c>
      <c r="L74" s="3" t="s">
        <v>360</v>
      </c>
      <c r="M74" s="3">
        <v>9</v>
      </c>
      <c r="N74" s="2">
        <f>IF(Table1[[#This Row],[No of EQ]]&gt;0,Table1[[#This Row],[Total Length]],0)</f>
        <v>124.68304362133118</v>
      </c>
      <c r="O74" s="4">
        <f>Table1[[#This Row],[No of EQ]]/214</f>
        <v>4.2056074766355138E-2</v>
      </c>
      <c r="P74" s="4">
        <f>Table1[[#This Row],[Active Fault Length]]/$N$134</f>
        <v>6.0218982215267641E-2</v>
      </c>
      <c r="Q74" s="4">
        <f>AVERAGE(Table1[[#This Row],[Wm]:[Wl ]])</f>
        <v>5.1137528490811393E-2</v>
      </c>
      <c r="R74" s="4">
        <f>2.303*Table1[[#This Row],[Total Weightage Factor]]</f>
        <v>0.11776972811433864</v>
      </c>
    </row>
    <row r="75" spans="1:18" hidden="1" x14ac:dyDescent="0.3">
      <c r="A75" s="3">
        <v>73</v>
      </c>
      <c r="B75" s="3" t="s">
        <v>217</v>
      </c>
      <c r="C75" s="3" t="s">
        <v>231</v>
      </c>
      <c r="D75" s="3" t="s">
        <v>170</v>
      </c>
      <c r="E75" s="3">
        <v>74.540000000000006</v>
      </c>
      <c r="F75" s="3">
        <v>21.52</v>
      </c>
      <c r="G75" s="3">
        <v>75</v>
      </c>
      <c r="H75" s="3">
        <v>21.25</v>
      </c>
      <c r="I75" s="2">
        <f t="shared" si="3"/>
        <v>51.794010711408163</v>
      </c>
      <c r="J75" s="2">
        <f t="shared" si="4"/>
        <v>7.0485642690297219</v>
      </c>
      <c r="K75" s="3">
        <v>19</v>
      </c>
      <c r="M75" s="3">
        <v>0</v>
      </c>
      <c r="N75" s="2">
        <f>IF(Table1[[#This Row],[No of EQ]]&gt;0,Table1[[#This Row],[Total Length]],0)</f>
        <v>0</v>
      </c>
      <c r="O75" s="4">
        <f>Table1[[#This Row],[No of EQ]]/214</f>
        <v>0</v>
      </c>
      <c r="P75" s="4">
        <f>Table1[[#This Row],[Active Fault Length]]/$N$134</f>
        <v>0</v>
      </c>
      <c r="Q75" s="4">
        <f>AVERAGE(Table1[[#This Row],[Wm]:[Wl ]])</f>
        <v>0</v>
      </c>
      <c r="R75" s="4">
        <f>2.303*Table1[[#This Row],[Total Weightage Factor]]</f>
        <v>0</v>
      </c>
    </row>
    <row r="76" spans="1:18" hidden="1" x14ac:dyDescent="0.3">
      <c r="A76" s="3">
        <v>74</v>
      </c>
      <c r="B76" s="3" t="s">
        <v>217</v>
      </c>
      <c r="C76" s="3" t="s">
        <v>243</v>
      </c>
      <c r="D76" s="3" t="s">
        <v>171</v>
      </c>
      <c r="E76" s="3">
        <v>74.900000000000006</v>
      </c>
      <c r="F76" s="3">
        <v>21.35</v>
      </c>
      <c r="G76" s="3">
        <v>75</v>
      </c>
      <c r="H76" s="3">
        <v>21.28</v>
      </c>
      <c r="I76" s="2">
        <f t="shared" si="3"/>
        <v>11.310673688345329</v>
      </c>
      <c r="J76" s="2">
        <f t="shared" si="4"/>
        <v>6.2820466289358254</v>
      </c>
      <c r="K76" s="3">
        <v>19</v>
      </c>
      <c r="M76" s="3">
        <v>0</v>
      </c>
      <c r="N76" s="2">
        <f>IF(Table1[[#This Row],[No of EQ]]&gt;0,Table1[[#This Row],[Total Length]],0)</f>
        <v>0</v>
      </c>
      <c r="O76" s="4">
        <f>Table1[[#This Row],[No of EQ]]/214</f>
        <v>0</v>
      </c>
      <c r="P76" s="4">
        <f>Table1[[#This Row],[Active Fault Length]]/$N$134</f>
        <v>0</v>
      </c>
      <c r="Q76" s="4">
        <f>AVERAGE(Table1[[#This Row],[Wm]:[Wl ]])</f>
        <v>0</v>
      </c>
      <c r="R76" s="4">
        <f>2.303*Table1[[#This Row],[Total Weightage Factor]]</f>
        <v>0</v>
      </c>
    </row>
    <row r="77" spans="1:18" hidden="1" x14ac:dyDescent="0.3">
      <c r="A77" s="3">
        <v>75</v>
      </c>
      <c r="B77" s="3" t="s">
        <v>217</v>
      </c>
      <c r="C77" s="3" t="s">
        <v>245</v>
      </c>
      <c r="D77" s="3" t="s">
        <v>131</v>
      </c>
      <c r="E77" s="3">
        <v>72.599999999999994</v>
      </c>
      <c r="F77" s="3">
        <v>21.1</v>
      </c>
      <c r="G77" s="3">
        <v>72.98</v>
      </c>
      <c r="H77" s="3">
        <v>21.3</v>
      </c>
      <c r="I77" s="2">
        <f t="shared" si="3"/>
        <v>42.796027904138789</v>
      </c>
      <c r="J77" s="2">
        <f t="shared" si="4"/>
        <v>6.9524280159415941</v>
      </c>
      <c r="K77" s="3">
        <v>19</v>
      </c>
      <c r="L77" s="3" t="s">
        <v>334</v>
      </c>
      <c r="M77" s="3">
        <v>4</v>
      </c>
      <c r="N77" s="2">
        <f>IF(Table1[[#This Row],[No of EQ]]&gt;0,Table1[[#This Row],[Total Length]],0)</f>
        <v>42.796027904138789</v>
      </c>
      <c r="O77" s="4">
        <f>Table1[[#This Row],[No of EQ]]/214</f>
        <v>1.8691588785046728E-2</v>
      </c>
      <c r="P77" s="4">
        <f>Table1[[#This Row],[Active Fault Length]]/$N$134</f>
        <v>2.0669476525375156E-2</v>
      </c>
      <c r="Q77" s="4">
        <f>AVERAGE(Table1[[#This Row],[Wm]:[Wl ]])</f>
        <v>1.9680532655210942E-2</v>
      </c>
      <c r="R77" s="4">
        <f>2.303*Table1[[#This Row],[Total Weightage Factor]]</f>
        <v>4.5324266704950794E-2</v>
      </c>
    </row>
    <row r="78" spans="1:18" hidden="1" x14ac:dyDescent="0.3">
      <c r="A78" s="3">
        <v>76</v>
      </c>
      <c r="B78" s="3" t="s">
        <v>217</v>
      </c>
      <c r="C78" s="3" t="s">
        <v>325</v>
      </c>
      <c r="D78" s="3" t="s">
        <v>163</v>
      </c>
      <c r="E78" s="3">
        <v>77.400000000000006</v>
      </c>
      <c r="F78" s="3">
        <v>21.38</v>
      </c>
      <c r="G78" s="3">
        <v>77.489999999999995</v>
      </c>
      <c r="H78" s="3">
        <v>21.28</v>
      </c>
      <c r="I78" s="2">
        <f t="shared" si="3"/>
        <v>10.304433945790588</v>
      </c>
      <c r="J78" s="2">
        <f t="shared" si="4"/>
        <v>6.2351080019830256</v>
      </c>
      <c r="K78" s="3">
        <v>20</v>
      </c>
      <c r="L78" s="3">
        <v>122</v>
      </c>
      <c r="M78" s="3">
        <v>1</v>
      </c>
      <c r="N78" s="2">
        <f>IF(Table1[[#This Row],[No of EQ]]&gt;0,Table1[[#This Row],[Total Length]],0)</f>
        <v>10.304433945790588</v>
      </c>
      <c r="O78" s="4">
        <f>Table1[[#This Row],[No of EQ]]/214</f>
        <v>4.6728971962616819E-3</v>
      </c>
      <c r="P78" s="4">
        <f>Table1[[#This Row],[Active Fault Length]]/$N$134</f>
        <v>4.9767996232472677E-3</v>
      </c>
      <c r="Q78" s="4">
        <f>AVERAGE(Table1[[#This Row],[Wm]:[Wl ]])</f>
        <v>4.8248484097544748E-3</v>
      </c>
      <c r="R78" s="4">
        <f>2.303*Table1[[#This Row],[Total Weightage Factor]]</f>
        <v>1.1111625887664555E-2</v>
      </c>
    </row>
    <row r="79" spans="1:18" hidden="1" x14ac:dyDescent="0.3">
      <c r="A79" s="3">
        <v>77</v>
      </c>
      <c r="B79" s="3" t="s">
        <v>217</v>
      </c>
      <c r="C79" s="3" t="s">
        <v>242</v>
      </c>
      <c r="D79" s="3" t="s">
        <v>133</v>
      </c>
      <c r="E79" s="3">
        <v>75</v>
      </c>
      <c r="F79" s="3">
        <v>21.33</v>
      </c>
      <c r="G79" s="3">
        <v>75.099999999999994</v>
      </c>
      <c r="H79" s="3">
        <v>21.3</v>
      </c>
      <c r="I79" s="2">
        <f t="shared" si="3"/>
        <v>11.160902336997637</v>
      </c>
      <c r="J79" s="2">
        <f t="shared" si="4"/>
        <v>6.2753311971355723</v>
      </c>
      <c r="K79" s="3">
        <v>19</v>
      </c>
      <c r="M79" s="3">
        <v>0</v>
      </c>
      <c r="N79" s="2">
        <f>IF(Table1[[#This Row],[No of EQ]]&gt;0,Table1[[#This Row],[Total Length]],0)</f>
        <v>0</v>
      </c>
      <c r="O79" s="4">
        <f>Table1[[#This Row],[No of EQ]]/214</f>
        <v>0</v>
      </c>
      <c r="P79" s="4">
        <f>Table1[[#This Row],[Active Fault Length]]/$N$134</f>
        <v>0</v>
      </c>
      <c r="Q79" s="4">
        <f>AVERAGE(Table1[[#This Row],[Wm]:[Wl ]])</f>
        <v>0</v>
      </c>
      <c r="R79" s="4">
        <f>2.303*Table1[[#This Row],[Total Weightage Factor]]</f>
        <v>0</v>
      </c>
    </row>
    <row r="80" spans="1:18" hidden="1" x14ac:dyDescent="0.3">
      <c r="A80" s="3">
        <v>78</v>
      </c>
      <c r="B80" s="3" t="s">
        <v>217</v>
      </c>
      <c r="C80" s="3" t="s">
        <v>238</v>
      </c>
      <c r="D80" s="3" t="s">
        <v>132</v>
      </c>
      <c r="E80" s="3">
        <v>74.87</v>
      </c>
      <c r="F80" s="3">
        <v>21.41</v>
      </c>
      <c r="G80" s="3">
        <v>74.92</v>
      </c>
      <c r="H80" s="3">
        <v>21.38</v>
      </c>
      <c r="I80" s="2">
        <f t="shared" si="3"/>
        <v>5.6316570288510128</v>
      </c>
      <c r="J80" s="2">
        <f t="shared" si="4"/>
        <v>5.9307379898608481</v>
      </c>
      <c r="K80" s="3">
        <v>19</v>
      </c>
      <c r="L80" s="3">
        <v>13</v>
      </c>
      <c r="M80" s="3">
        <v>1</v>
      </c>
      <c r="N80" s="2">
        <f>IF(Table1[[#This Row],[No of EQ]]&gt;0,Table1[[#This Row],[Total Length]],0)</f>
        <v>5.6316570288510128</v>
      </c>
      <c r="O80" s="4">
        <f>Table1[[#This Row],[No of EQ]]/214</f>
        <v>4.6728971962616819E-3</v>
      </c>
      <c r="P80" s="4">
        <f>Table1[[#This Row],[Active Fault Length]]/$N$134</f>
        <v>2.7199581002596428E-3</v>
      </c>
      <c r="Q80" s="4">
        <f>AVERAGE(Table1[[#This Row],[Wm]:[Wl ]])</f>
        <v>3.6964276482606626E-3</v>
      </c>
      <c r="R80" s="4">
        <f>2.303*Table1[[#This Row],[Total Weightage Factor]]</f>
        <v>8.5128728739443053E-3</v>
      </c>
    </row>
    <row r="81" spans="1:18" hidden="1" x14ac:dyDescent="0.3">
      <c r="A81" s="3">
        <v>79</v>
      </c>
      <c r="B81" s="3" t="s">
        <v>217</v>
      </c>
      <c r="C81" s="3" t="s">
        <v>244</v>
      </c>
      <c r="D81" s="3" t="s">
        <v>129</v>
      </c>
      <c r="E81" s="3">
        <v>74.89</v>
      </c>
      <c r="F81" s="3">
        <v>21.33</v>
      </c>
      <c r="G81" s="3">
        <v>74.930000000000007</v>
      </c>
      <c r="H81" s="3">
        <v>21.4</v>
      </c>
      <c r="I81" s="2">
        <f t="shared" si="3"/>
        <v>4.8932129655368621</v>
      </c>
      <c r="J81" s="2">
        <f t="shared" si="4"/>
        <v>5.8599291766628747</v>
      </c>
      <c r="K81" s="3">
        <v>19</v>
      </c>
      <c r="M81" s="3">
        <v>0</v>
      </c>
      <c r="N81" s="2">
        <f>IF(Table1[[#This Row],[No of EQ]]&gt;0,Table1[[#This Row],[Total Length]],0)</f>
        <v>0</v>
      </c>
      <c r="O81" s="4">
        <f>Table1[[#This Row],[No of EQ]]/214</f>
        <v>0</v>
      </c>
      <c r="P81" s="4">
        <f>Table1[[#This Row],[Active Fault Length]]/$N$134</f>
        <v>0</v>
      </c>
      <c r="Q81" s="4">
        <f>AVERAGE(Table1[[#This Row],[Wm]:[Wl ]])</f>
        <v>0</v>
      </c>
      <c r="R81" s="4">
        <f>2.303*Table1[[#This Row],[Total Weightage Factor]]</f>
        <v>0</v>
      </c>
    </row>
    <row r="82" spans="1:18" hidden="1" x14ac:dyDescent="0.3">
      <c r="A82" s="3">
        <v>80</v>
      </c>
      <c r="B82" s="3" t="s">
        <v>217</v>
      </c>
      <c r="C82" s="3" t="s">
        <v>121</v>
      </c>
      <c r="D82" s="3" t="s">
        <v>134</v>
      </c>
      <c r="E82" s="3">
        <v>80.25</v>
      </c>
      <c r="F82" s="3">
        <v>18.75</v>
      </c>
      <c r="G82" s="3">
        <v>80.95</v>
      </c>
      <c r="H82" s="3">
        <v>17.8</v>
      </c>
      <c r="I82" s="2">
        <f t="shared" si="3"/>
        <v>79.796302683073094</v>
      </c>
      <c r="J82" s="2">
        <f t="shared" si="4"/>
        <v>7.2663000120697898</v>
      </c>
      <c r="K82" s="3">
        <v>29</v>
      </c>
      <c r="M82" s="3">
        <v>0</v>
      </c>
      <c r="N82" s="2">
        <f>IF(Table1[[#This Row],[No of EQ]]&gt;0,Table1[[#This Row],[Total Length]],0)</f>
        <v>0</v>
      </c>
      <c r="O82" s="4">
        <f>Table1[[#This Row],[No of EQ]]/214</f>
        <v>0</v>
      </c>
      <c r="P82" s="4">
        <f>Table1[[#This Row],[Active Fault Length]]/$N$134</f>
        <v>0</v>
      </c>
      <c r="Q82" s="4">
        <f>AVERAGE(Table1[[#This Row],[Wm]:[Wl ]])</f>
        <v>0</v>
      </c>
      <c r="R82" s="4">
        <f>2.303*Table1[[#This Row],[Total Weightage Factor]]</f>
        <v>0</v>
      </c>
    </row>
    <row r="83" spans="1:18" hidden="1" x14ac:dyDescent="0.3">
      <c r="A83" s="3">
        <v>81</v>
      </c>
      <c r="B83" s="3" t="s">
        <v>217</v>
      </c>
      <c r="C83" s="3" t="s">
        <v>235</v>
      </c>
      <c r="D83" s="3" t="s">
        <v>130</v>
      </c>
      <c r="E83" s="3">
        <v>74.599999999999994</v>
      </c>
      <c r="F83" s="3">
        <v>21.67</v>
      </c>
      <c r="G83" s="3">
        <v>74.8</v>
      </c>
      <c r="H83" s="3">
        <v>21.4</v>
      </c>
      <c r="I83" s="2">
        <f t="shared" si="3"/>
        <v>23.631200450312068</v>
      </c>
      <c r="J83" s="2">
        <f t="shared" si="4"/>
        <v>6.6532435095360629</v>
      </c>
      <c r="K83" s="3">
        <v>19</v>
      </c>
      <c r="M83" s="3">
        <v>0</v>
      </c>
      <c r="N83" s="2">
        <f>IF(Table1[[#This Row],[No of EQ]]&gt;0,Table1[[#This Row],[Total Length]],0)</f>
        <v>0</v>
      </c>
      <c r="O83" s="4">
        <f>Table1[[#This Row],[No of EQ]]/214</f>
        <v>0</v>
      </c>
      <c r="P83" s="4">
        <f>Table1[[#This Row],[Active Fault Length]]/$N$134</f>
        <v>0</v>
      </c>
      <c r="Q83" s="4">
        <f>AVERAGE(Table1[[#This Row],[Wm]:[Wl ]])</f>
        <v>0</v>
      </c>
      <c r="R83" s="4">
        <f>2.303*Table1[[#This Row],[Total Weightage Factor]]</f>
        <v>0</v>
      </c>
    </row>
    <row r="84" spans="1:18" hidden="1" x14ac:dyDescent="0.3">
      <c r="A84" s="3">
        <v>82</v>
      </c>
      <c r="B84" s="3" t="s">
        <v>217</v>
      </c>
      <c r="C84" s="3" t="s">
        <v>237</v>
      </c>
      <c r="D84" s="3" t="s">
        <v>172</v>
      </c>
      <c r="E84" s="3">
        <v>74.8</v>
      </c>
      <c r="F84" s="3">
        <v>21.38</v>
      </c>
      <c r="G84" s="3">
        <v>74.92</v>
      </c>
      <c r="H84" s="3">
        <v>21.46</v>
      </c>
      <c r="I84" s="2">
        <f t="shared" si="3"/>
        <v>13.554831223368428</v>
      </c>
      <c r="J84" s="2">
        <f t="shared" si="4"/>
        <v>6.373229172675769</v>
      </c>
      <c r="K84" s="3">
        <v>19</v>
      </c>
      <c r="L84" s="3">
        <v>13</v>
      </c>
      <c r="M84" s="3">
        <v>1</v>
      </c>
      <c r="N84" s="2">
        <f>IF(Table1[[#This Row],[No of EQ]]&gt;0,Table1[[#This Row],[Total Length]],0)</f>
        <v>13.554831223368428</v>
      </c>
      <c r="O84" s="4">
        <f>Table1[[#This Row],[No of EQ]]/214</f>
        <v>4.6728971962616819E-3</v>
      </c>
      <c r="P84" s="4">
        <f>Table1[[#This Row],[Active Fault Length]]/$N$134</f>
        <v>6.5466651812735328E-3</v>
      </c>
      <c r="Q84" s="4">
        <f>AVERAGE(Table1[[#This Row],[Wm]:[Wl ]])</f>
        <v>5.6097811887676069E-3</v>
      </c>
      <c r="R84" s="4">
        <f>2.303*Table1[[#This Row],[Total Weightage Factor]]</f>
        <v>1.2919326077731799E-2</v>
      </c>
    </row>
    <row r="85" spans="1:18" hidden="1" x14ac:dyDescent="0.3">
      <c r="A85" s="3">
        <v>83</v>
      </c>
      <c r="B85" s="3" t="s">
        <v>217</v>
      </c>
      <c r="C85" s="3" t="s">
        <v>319</v>
      </c>
      <c r="D85" s="3" t="s">
        <v>173</v>
      </c>
      <c r="E85" s="3">
        <v>72.91</v>
      </c>
      <c r="F85" s="3">
        <v>21.55</v>
      </c>
      <c r="G85" s="3">
        <v>72.959999999999994</v>
      </c>
      <c r="H85" s="3">
        <v>21.46</v>
      </c>
      <c r="I85" s="2">
        <f t="shared" si="3"/>
        <v>6.2951143250612693</v>
      </c>
      <c r="J85" s="2">
        <f t="shared" si="4"/>
        <v>5.9868442011747884</v>
      </c>
      <c r="K85" s="3">
        <v>19</v>
      </c>
      <c r="L85" s="3" t="s">
        <v>336</v>
      </c>
      <c r="M85" s="3">
        <v>3</v>
      </c>
      <c r="N85" s="2">
        <f>IF(Table1[[#This Row],[No of EQ]]&gt;0,Table1[[#This Row],[Total Length]],0)</f>
        <v>6.2951143250612693</v>
      </c>
      <c r="O85" s="4">
        <f>Table1[[#This Row],[No of EQ]]/214</f>
        <v>1.4018691588785047E-2</v>
      </c>
      <c r="P85" s="4">
        <f>Table1[[#This Row],[Active Fault Length]]/$N$134</f>
        <v>3.0403923947769748E-3</v>
      </c>
      <c r="Q85" s="4">
        <f>AVERAGE(Table1[[#This Row],[Wm]:[Wl ]])</f>
        <v>8.5295419917810113E-3</v>
      </c>
      <c r="R85" s="4">
        <f>2.303*Table1[[#This Row],[Total Weightage Factor]]</f>
        <v>1.9643535207071669E-2</v>
      </c>
    </row>
    <row r="86" spans="1:18" hidden="1" x14ac:dyDescent="0.3">
      <c r="A86" s="3">
        <v>84</v>
      </c>
      <c r="B86" s="3" t="s">
        <v>217</v>
      </c>
      <c r="C86" s="3" t="s">
        <v>234</v>
      </c>
      <c r="D86" s="3" t="s">
        <v>174</v>
      </c>
      <c r="E86" s="3">
        <v>74.400000000000006</v>
      </c>
      <c r="F86" s="3">
        <v>21.4</v>
      </c>
      <c r="G86" s="3">
        <v>74.7</v>
      </c>
      <c r="H86" s="3">
        <v>21.55</v>
      </c>
      <c r="I86" s="2">
        <f t="shared" si="3"/>
        <v>33.67859348388356</v>
      </c>
      <c r="J86" s="2">
        <f t="shared" si="4"/>
        <v>6.8317305771330554</v>
      </c>
      <c r="K86" s="3">
        <v>19</v>
      </c>
      <c r="M86" s="3">
        <v>0</v>
      </c>
      <c r="N86" s="2">
        <f>IF(Table1[[#This Row],[No of EQ]]&gt;0,Table1[[#This Row],[Total Length]],0)</f>
        <v>0</v>
      </c>
      <c r="O86" s="4">
        <f>Table1[[#This Row],[No of EQ]]/214</f>
        <v>0</v>
      </c>
      <c r="P86" s="4">
        <f>Table1[[#This Row],[Active Fault Length]]/$N$134</f>
        <v>0</v>
      </c>
      <c r="Q86" s="4">
        <f>AVERAGE(Table1[[#This Row],[Wm]:[Wl ]])</f>
        <v>0</v>
      </c>
      <c r="R86" s="4">
        <f>2.303*Table1[[#This Row],[Total Weightage Factor]]</f>
        <v>0</v>
      </c>
    </row>
    <row r="87" spans="1:18" hidden="1" x14ac:dyDescent="0.3">
      <c r="A87" s="3">
        <v>85</v>
      </c>
      <c r="B87" s="3" t="s">
        <v>217</v>
      </c>
      <c r="C87" s="3" t="s">
        <v>232</v>
      </c>
      <c r="D87" s="3" t="s">
        <v>175</v>
      </c>
      <c r="E87" s="3">
        <v>73.2</v>
      </c>
      <c r="F87" s="3">
        <v>21.4</v>
      </c>
      <c r="G87" s="3">
        <v>74.7</v>
      </c>
      <c r="H87" s="3">
        <v>21.65</v>
      </c>
      <c r="I87" s="2">
        <f t="shared" si="3"/>
        <v>167.08947162701503</v>
      </c>
      <c r="J87" s="2">
        <f t="shared" si="4"/>
        <v>7.6386209394007061</v>
      </c>
      <c r="K87" s="3">
        <v>19</v>
      </c>
      <c r="L87" s="3" t="s">
        <v>335</v>
      </c>
      <c r="M87" s="3">
        <v>2</v>
      </c>
      <c r="N87" s="2">
        <f>IF(Table1[[#This Row],[No of EQ]]&gt;0,Table1[[#This Row],[Total Length]],0)</f>
        <v>167.08947162701503</v>
      </c>
      <c r="O87" s="4">
        <f>Table1[[#This Row],[No of EQ]]/214</f>
        <v>9.3457943925233638E-3</v>
      </c>
      <c r="P87" s="4">
        <f>Table1[[#This Row],[Active Fault Length]]/$N$134</f>
        <v>8.0700291138419505E-2</v>
      </c>
      <c r="Q87" s="4">
        <f>AVERAGE(Table1[[#This Row],[Wm]:[Wl ]])</f>
        <v>4.5023042765471435E-2</v>
      </c>
      <c r="R87" s="4">
        <f>2.303*Table1[[#This Row],[Total Weightage Factor]]</f>
        <v>0.10368806748888071</v>
      </c>
    </row>
    <row r="88" spans="1:18" hidden="1" x14ac:dyDescent="0.3">
      <c r="A88" s="3">
        <v>86</v>
      </c>
      <c r="B88" s="3" t="s">
        <v>217</v>
      </c>
      <c r="C88" s="3" t="s">
        <v>329</v>
      </c>
      <c r="D88" s="3" t="s">
        <v>176</v>
      </c>
      <c r="E88" s="3">
        <v>75</v>
      </c>
      <c r="F88" s="3">
        <v>21.8</v>
      </c>
      <c r="G88" s="3">
        <v>76.400000000000006</v>
      </c>
      <c r="H88" s="3">
        <v>21.65</v>
      </c>
      <c r="I88" s="2">
        <f t="shared" si="3"/>
        <v>155.83917268688708</v>
      </c>
      <c r="J88" s="2">
        <f t="shared" si="4"/>
        <v>7.6035048954104436</v>
      </c>
      <c r="K88" s="3">
        <v>19</v>
      </c>
      <c r="L88" s="3" t="s">
        <v>361</v>
      </c>
      <c r="M88" s="3">
        <v>9</v>
      </c>
      <c r="N88" s="2">
        <f>IF(Table1[[#This Row],[No of EQ]]&gt;0,Table1[[#This Row],[Total Length]],0)</f>
        <v>155.83917268688708</v>
      </c>
      <c r="O88" s="4">
        <f>Table1[[#This Row],[No of EQ]]/214</f>
        <v>4.2056074766355138E-2</v>
      </c>
      <c r="P88" s="4">
        <f>Table1[[#This Row],[Active Fault Length]]/$N$134</f>
        <v>7.5266660934062646E-2</v>
      </c>
      <c r="Q88" s="4">
        <f>AVERAGE(Table1[[#This Row],[Wm]:[Wl ]])</f>
        <v>5.8661367850208895E-2</v>
      </c>
      <c r="R88" s="4">
        <f>2.303*Table1[[#This Row],[Total Weightage Factor]]</f>
        <v>0.13509713015903108</v>
      </c>
    </row>
    <row r="89" spans="1:18" hidden="1" x14ac:dyDescent="0.3">
      <c r="A89" s="3">
        <v>87</v>
      </c>
      <c r="B89" s="3" t="s">
        <v>217</v>
      </c>
      <c r="C89" s="3" t="s">
        <v>230</v>
      </c>
      <c r="D89" s="3" t="s">
        <v>164</v>
      </c>
      <c r="E89" s="3">
        <v>75.95</v>
      </c>
      <c r="F89" s="3">
        <v>21.24</v>
      </c>
      <c r="G89" s="3">
        <v>76.05</v>
      </c>
      <c r="H89" s="3">
        <v>21.3</v>
      </c>
      <c r="I89" s="2">
        <f t="shared" si="3"/>
        <v>11.244700921843627</v>
      </c>
      <c r="J89" s="2">
        <f t="shared" si="4"/>
        <v>6.2790995743066098</v>
      </c>
      <c r="K89" s="3">
        <v>20</v>
      </c>
      <c r="M89" s="3">
        <v>0</v>
      </c>
      <c r="N89" s="2">
        <f>IF(Table1[[#This Row],[No of EQ]]&gt;0,Table1[[#This Row],[Total Length]],0)</f>
        <v>0</v>
      </c>
      <c r="O89" s="4">
        <f>Table1[[#This Row],[No of EQ]]/214</f>
        <v>0</v>
      </c>
      <c r="P89" s="4">
        <f>Table1[[#This Row],[Active Fault Length]]/$N$134</f>
        <v>0</v>
      </c>
      <c r="Q89" s="4">
        <f>AVERAGE(Table1[[#This Row],[Wm]:[Wl ]])</f>
        <v>0</v>
      </c>
      <c r="R89" s="4">
        <f>2.303*Table1[[#This Row],[Total Weightage Factor]]</f>
        <v>0</v>
      </c>
    </row>
    <row r="90" spans="1:18" hidden="1" x14ac:dyDescent="0.3">
      <c r="A90" s="3">
        <v>88</v>
      </c>
      <c r="B90" s="3" t="s">
        <v>217</v>
      </c>
      <c r="C90" s="3" t="s">
        <v>233</v>
      </c>
      <c r="D90" s="3" t="s">
        <v>177</v>
      </c>
      <c r="E90" s="3">
        <v>74.45</v>
      </c>
      <c r="F90" s="3">
        <v>21.55</v>
      </c>
      <c r="G90" s="3">
        <v>74.7</v>
      </c>
      <c r="H90" s="3">
        <v>21.7</v>
      </c>
      <c r="I90" s="2">
        <f t="shared" si="3"/>
        <v>28.172319476892952</v>
      </c>
      <c r="J90" s="2">
        <f t="shared" si="4"/>
        <v>6.7417942214411584</v>
      </c>
      <c r="K90" s="3">
        <v>19</v>
      </c>
      <c r="M90" s="3">
        <v>0</v>
      </c>
      <c r="N90" s="2">
        <f>IF(Table1[[#This Row],[No of EQ]]&gt;0,Table1[[#This Row],[Total Length]],0)</f>
        <v>0</v>
      </c>
      <c r="O90" s="4">
        <f>Table1[[#This Row],[No of EQ]]/214</f>
        <v>0</v>
      </c>
      <c r="P90" s="4">
        <f>Table1[[#This Row],[Active Fault Length]]/$N$134</f>
        <v>0</v>
      </c>
      <c r="Q90" s="4">
        <f>AVERAGE(Table1[[#This Row],[Wm]:[Wl ]])</f>
        <v>0</v>
      </c>
      <c r="R90" s="4">
        <f>2.303*Table1[[#This Row],[Total Weightage Factor]]</f>
        <v>0</v>
      </c>
    </row>
    <row r="91" spans="1:18" hidden="1" x14ac:dyDescent="0.3">
      <c r="A91" s="3">
        <v>89</v>
      </c>
      <c r="B91" s="3" t="s">
        <v>217</v>
      </c>
      <c r="C91" s="3" t="s">
        <v>327</v>
      </c>
      <c r="D91" s="3" t="s">
        <v>178</v>
      </c>
      <c r="E91" s="3">
        <v>78</v>
      </c>
      <c r="F91" s="3">
        <v>21.45</v>
      </c>
      <c r="G91" s="3">
        <v>79.5</v>
      </c>
      <c r="H91" s="3">
        <v>22.2</v>
      </c>
      <c r="I91" s="2">
        <f t="shared" si="3"/>
        <v>167.70621334846547</v>
      </c>
      <c r="J91" s="2">
        <f t="shared" si="4"/>
        <v>7.6404770175761865</v>
      </c>
      <c r="K91" s="3">
        <v>21</v>
      </c>
      <c r="L91" s="3" t="s">
        <v>347</v>
      </c>
      <c r="M91" s="3">
        <v>3</v>
      </c>
      <c r="N91" s="2">
        <f>IF(Table1[[#This Row],[No of EQ]]&gt;0,Table1[[#This Row],[Total Length]],0)</f>
        <v>167.70621334846547</v>
      </c>
      <c r="O91" s="4">
        <f>Table1[[#This Row],[No of EQ]]/214</f>
        <v>1.4018691588785047E-2</v>
      </c>
      <c r="P91" s="4">
        <f>Table1[[#This Row],[Active Fault Length]]/$N$134</f>
        <v>8.0998162907320426E-2</v>
      </c>
      <c r="Q91" s="4">
        <f>AVERAGE(Table1[[#This Row],[Wm]:[Wl ]])</f>
        <v>4.7508427248052737E-2</v>
      </c>
      <c r="R91" s="4">
        <f>2.303*Table1[[#This Row],[Total Weightage Factor]]</f>
        <v>0.10941190795226545</v>
      </c>
    </row>
    <row r="92" spans="1:18" hidden="1" x14ac:dyDescent="0.3">
      <c r="A92" s="3">
        <v>90</v>
      </c>
      <c r="B92" s="3" t="s">
        <v>217</v>
      </c>
      <c r="C92" s="3" t="s">
        <v>330</v>
      </c>
      <c r="D92" s="3" t="s">
        <v>179</v>
      </c>
      <c r="E92" s="3">
        <v>74.72</v>
      </c>
      <c r="F92" s="3">
        <v>22.1</v>
      </c>
      <c r="G92" s="3">
        <v>75</v>
      </c>
      <c r="H92" s="3">
        <v>21.8</v>
      </c>
      <c r="I92" s="2">
        <f t="shared" si="3"/>
        <v>32.359464585455335</v>
      </c>
      <c r="J92" s="2">
        <f t="shared" si="4"/>
        <v>6.811601539589569</v>
      </c>
      <c r="K92" s="3">
        <v>19</v>
      </c>
      <c r="L92" s="3" t="s">
        <v>340</v>
      </c>
      <c r="M92" s="3">
        <v>2</v>
      </c>
      <c r="N92" s="2">
        <f>IF(Table1[[#This Row],[No of EQ]]&gt;0,Table1[[#This Row],[Total Length]],0)</f>
        <v>32.359464585455335</v>
      </c>
      <c r="O92" s="4">
        <f>Table1[[#This Row],[No of EQ]]/214</f>
        <v>9.3457943925233638E-3</v>
      </c>
      <c r="P92" s="4">
        <f>Table1[[#This Row],[Active Fault Length]]/$N$134</f>
        <v>1.5628861517731959E-2</v>
      </c>
      <c r="Q92" s="4">
        <f>AVERAGE(Table1[[#This Row],[Wm]:[Wl ]])</f>
        <v>1.248732795512766E-2</v>
      </c>
      <c r="R92" s="4">
        <f>2.303*Table1[[#This Row],[Total Weightage Factor]]</f>
        <v>2.8758316280659002E-2</v>
      </c>
    </row>
    <row r="93" spans="1:18" hidden="1" x14ac:dyDescent="0.3">
      <c r="A93" s="3">
        <v>91</v>
      </c>
      <c r="B93" s="3" t="s">
        <v>217</v>
      </c>
      <c r="C93" s="3" t="s">
        <v>318</v>
      </c>
      <c r="D93" s="3" t="s">
        <v>180</v>
      </c>
      <c r="E93" s="3">
        <v>72.7</v>
      </c>
      <c r="F93" s="3">
        <v>21.93</v>
      </c>
      <c r="G93" s="3">
        <v>72.8</v>
      </c>
      <c r="H93" s="3">
        <v>21.83</v>
      </c>
      <c r="I93" s="2">
        <f t="shared" si="3"/>
        <v>11.608354534663789</v>
      </c>
      <c r="J93" s="2">
        <f t="shared" si="4"/>
        <v>6.2951339697368027</v>
      </c>
      <c r="K93" s="3">
        <v>19</v>
      </c>
      <c r="M93" s="3">
        <v>0</v>
      </c>
      <c r="N93" s="2">
        <f>IF(Table1[[#This Row],[No of EQ]]&gt;0,Table1[[#This Row],[Total Length]],0)</f>
        <v>0</v>
      </c>
      <c r="O93" s="4">
        <f>Table1[[#This Row],[No of EQ]]/214</f>
        <v>0</v>
      </c>
      <c r="P93" s="4">
        <f>Table1[[#This Row],[Active Fault Length]]/$N$134</f>
        <v>0</v>
      </c>
      <c r="Q93" s="4">
        <f>AVERAGE(Table1[[#This Row],[Wm]:[Wl ]])</f>
        <v>0</v>
      </c>
      <c r="R93" s="4">
        <f>2.303*Table1[[#This Row],[Total Weightage Factor]]</f>
        <v>0</v>
      </c>
    </row>
    <row r="94" spans="1:18" hidden="1" x14ac:dyDescent="0.3">
      <c r="A94" s="3">
        <v>92</v>
      </c>
      <c r="B94" s="3" t="s">
        <v>217</v>
      </c>
      <c r="C94" s="3" t="s">
        <v>115</v>
      </c>
      <c r="D94" s="3" t="s">
        <v>181</v>
      </c>
      <c r="E94" s="3">
        <v>78</v>
      </c>
      <c r="F94" s="3">
        <v>19.7</v>
      </c>
      <c r="G94" s="3">
        <v>79.400000000000006</v>
      </c>
      <c r="H94" s="3">
        <v>18.8</v>
      </c>
      <c r="I94" s="2">
        <f t="shared" si="3"/>
        <v>157.01944131823663</v>
      </c>
      <c r="J94" s="2">
        <f t="shared" si="4"/>
        <v>7.6073059762344002</v>
      </c>
      <c r="K94" s="3">
        <v>28</v>
      </c>
      <c r="M94" s="3">
        <v>0</v>
      </c>
      <c r="N94" s="2">
        <f>IF(Table1[[#This Row],[No of EQ]]&gt;0,Table1[[#This Row],[Total Length]],0)</f>
        <v>0</v>
      </c>
      <c r="O94" s="4">
        <f>Table1[[#This Row],[No of EQ]]/214</f>
        <v>0</v>
      </c>
      <c r="P94" s="4">
        <f>Table1[[#This Row],[Active Fault Length]]/$N$134</f>
        <v>0</v>
      </c>
      <c r="Q94" s="4">
        <f>AVERAGE(Table1[[#This Row],[Wm]:[Wl ]])</f>
        <v>0</v>
      </c>
      <c r="R94" s="4">
        <f>2.303*Table1[[#This Row],[Total Weightage Factor]]</f>
        <v>0</v>
      </c>
    </row>
    <row r="95" spans="1:18" hidden="1" x14ac:dyDescent="0.3">
      <c r="A95" s="3">
        <v>93</v>
      </c>
      <c r="B95" s="3" t="s">
        <v>217</v>
      </c>
      <c r="C95" s="3" t="s">
        <v>128</v>
      </c>
      <c r="D95" s="3" t="s">
        <v>182</v>
      </c>
      <c r="E95" s="3">
        <v>73.55</v>
      </c>
      <c r="F95" s="3">
        <v>21.8</v>
      </c>
      <c r="G95" s="3">
        <v>73.8</v>
      </c>
      <c r="H95" s="3">
        <v>21.85</v>
      </c>
      <c r="I95" s="2">
        <f t="shared" si="3"/>
        <v>27.862772445971359</v>
      </c>
      <c r="J95" s="2">
        <f t="shared" si="4"/>
        <v>6.7362282205953683</v>
      </c>
      <c r="K95" s="3">
        <v>19</v>
      </c>
      <c r="M95" s="3">
        <v>0</v>
      </c>
      <c r="N95" s="2">
        <f>IF(Table1[[#This Row],[No of EQ]]&gt;0,Table1[[#This Row],[Total Length]],0)</f>
        <v>0</v>
      </c>
      <c r="O95" s="4">
        <f>Table1[[#This Row],[No of EQ]]/214</f>
        <v>0</v>
      </c>
      <c r="P95" s="4">
        <f>Table1[[#This Row],[Active Fault Length]]/$N$134</f>
        <v>0</v>
      </c>
      <c r="Q95" s="4">
        <f>AVERAGE(Table1[[#This Row],[Wm]:[Wl ]])</f>
        <v>0</v>
      </c>
      <c r="R95" s="4">
        <f>2.303*Table1[[#This Row],[Total Weightage Factor]]</f>
        <v>0</v>
      </c>
    </row>
    <row r="96" spans="1:18" hidden="1" x14ac:dyDescent="0.3">
      <c r="A96" s="3">
        <v>94</v>
      </c>
      <c r="B96" s="3" t="s">
        <v>217</v>
      </c>
      <c r="C96" s="3" t="s">
        <v>128</v>
      </c>
      <c r="D96" s="3" t="s">
        <v>183</v>
      </c>
      <c r="E96" s="3">
        <v>77.5</v>
      </c>
      <c r="F96" s="3">
        <v>22.3</v>
      </c>
      <c r="G96" s="3">
        <v>78</v>
      </c>
      <c r="H96" s="3">
        <v>22.55</v>
      </c>
      <c r="I96" s="2">
        <f t="shared" si="3"/>
        <v>55.951377513220201</v>
      </c>
      <c r="J96" s="2">
        <f t="shared" si="4"/>
        <v>7.0874605085710325</v>
      </c>
      <c r="K96" s="3">
        <v>20</v>
      </c>
      <c r="M96" s="3">
        <v>0</v>
      </c>
      <c r="N96" s="2">
        <f>IF(Table1[[#This Row],[No of EQ]]&gt;0,Table1[[#This Row],[Total Length]],0)</f>
        <v>0</v>
      </c>
      <c r="O96" s="4">
        <f>Table1[[#This Row],[No of EQ]]/214</f>
        <v>0</v>
      </c>
      <c r="P96" s="4">
        <f>Table1[[#This Row],[Active Fault Length]]/$N$134</f>
        <v>0</v>
      </c>
      <c r="Q96" s="4">
        <f>AVERAGE(Table1[[#This Row],[Wm]:[Wl ]])</f>
        <v>0</v>
      </c>
      <c r="R96" s="4">
        <f>2.303*Table1[[#This Row],[Total Weightage Factor]]</f>
        <v>0</v>
      </c>
    </row>
    <row r="97" spans="1:18" hidden="1" x14ac:dyDescent="0.3">
      <c r="A97" s="3">
        <v>95</v>
      </c>
      <c r="B97" s="3" t="s">
        <v>217</v>
      </c>
      <c r="C97" s="3" t="s">
        <v>128</v>
      </c>
      <c r="D97" s="3" t="s">
        <v>184</v>
      </c>
      <c r="E97" s="3">
        <v>75.599999999999994</v>
      </c>
      <c r="F97" s="3">
        <v>21.7</v>
      </c>
      <c r="G97" s="3">
        <v>78</v>
      </c>
      <c r="H97" s="3">
        <v>22.6</v>
      </c>
      <c r="I97" s="2">
        <f t="shared" si="3"/>
        <v>268.03417468102617</v>
      </c>
      <c r="J97" s="2">
        <f t="shared" si="4"/>
        <v>7.8767005979310039</v>
      </c>
      <c r="K97" s="3">
        <v>20</v>
      </c>
      <c r="L97" s="3" t="s">
        <v>344</v>
      </c>
      <c r="M97" s="3">
        <v>3</v>
      </c>
      <c r="N97" s="2">
        <f>IF(Table1[[#This Row],[No of EQ]]&gt;0,Table1[[#This Row],[Total Length]],0)</f>
        <v>268.03417468102617</v>
      </c>
      <c r="O97" s="4">
        <f>Table1[[#This Row],[No of EQ]]/214</f>
        <v>1.4018691588785047E-2</v>
      </c>
      <c r="P97" s="4">
        <f>Table1[[#This Row],[Active Fault Length]]/$N$134</f>
        <v>0.12945421229225787</v>
      </c>
      <c r="Q97" s="4">
        <f>AVERAGE(Table1[[#This Row],[Wm]:[Wl ]])</f>
        <v>7.1736451940521459E-2</v>
      </c>
      <c r="R97" s="4">
        <f>2.303*Table1[[#This Row],[Total Weightage Factor]]</f>
        <v>0.1652090488190209</v>
      </c>
    </row>
    <row r="98" spans="1:18" hidden="1" x14ac:dyDescent="0.3">
      <c r="A98" s="3">
        <v>96</v>
      </c>
      <c r="B98" s="3" t="s">
        <v>217</v>
      </c>
      <c r="C98" s="3" t="s">
        <v>128</v>
      </c>
      <c r="D98" s="3" t="s">
        <v>185</v>
      </c>
      <c r="E98" s="3">
        <v>78</v>
      </c>
      <c r="F98" s="3">
        <v>22.55</v>
      </c>
      <c r="G98" s="3">
        <v>79.150000000000006</v>
      </c>
      <c r="H98" s="3">
        <v>22.8</v>
      </c>
      <c r="I98" s="2">
        <f t="shared" si="3"/>
        <v>128.08492701605419</v>
      </c>
      <c r="J98" s="2">
        <f t="shared" si="4"/>
        <v>7.5046977091710012</v>
      </c>
      <c r="K98" s="3">
        <v>21</v>
      </c>
      <c r="L98" s="3" t="s">
        <v>349</v>
      </c>
      <c r="M98" s="3">
        <v>3</v>
      </c>
      <c r="N98" s="2">
        <f>IF(Table1[[#This Row],[No of EQ]]&gt;0,Table1[[#This Row],[Total Length]],0)</f>
        <v>128.08492701605419</v>
      </c>
      <c r="O98" s="4">
        <f>Table1[[#This Row],[No of EQ]]/214</f>
        <v>1.4018691588785047E-2</v>
      </c>
      <c r="P98" s="4">
        <f>Table1[[#This Row],[Active Fault Length]]/$N$134</f>
        <v>6.1862012010621401E-2</v>
      </c>
      <c r="Q98" s="4">
        <f>AVERAGE(Table1[[#This Row],[Wm]:[Wl ]])</f>
        <v>3.7940351799703224E-2</v>
      </c>
      <c r="R98" s="4">
        <f>2.303*Table1[[#This Row],[Total Weightage Factor]]</f>
        <v>8.7376630194716517E-2</v>
      </c>
    </row>
    <row r="99" spans="1:18" hidden="1" x14ac:dyDescent="0.3">
      <c r="A99" s="3">
        <v>97</v>
      </c>
      <c r="B99" s="3" t="s">
        <v>217</v>
      </c>
      <c r="C99" s="3" t="s">
        <v>128</v>
      </c>
      <c r="D99" s="3" t="s">
        <v>186</v>
      </c>
      <c r="E99" s="3">
        <v>79.53</v>
      </c>
      <c r="F99" s="3">
        <v>22.9</v>
      </c>
      <c r="G99" s="3">
        <v>79.95</v>
      </c>
      <c r="H99" s="3">
        <v>23.05</v>
      </c>
      <c r="I99" s="2">
        <f t="shared" si="3"/>
        <v>46.830502548843107</v>
      </c>
      <c r="J99" s="2">
        <f t="shared" ref="J99:J130" si="5">5.06+LOG10(I99)*1.16</f>
        <v>6.9978134292518828</v>
      </c>
      <c r="K99" s="3">
        <v>21</v>
      </c>
      <c r="L99" s="3" t="s">
        <v>350</v>
      </c>
      <c r="M99" s="3">
        <v>1</v>
      </c>
      <c r="N99" s="2">
        <f>IF(Table1[[#This Row],[No of EQ]]&gt;0,Table1[[#This Row],[Total Length]],0)</f>
        <v>46.830502548843107</v>
      </c>
      <c r="O99" s="4">
        <f>Table1[[#This Row],[No of EQ]]/214</f>
        <v>4.6728971962616819E-3</v>
      </c>
      <c r="P99" s="4">
        <f>Table1[[#This Row],[Active Fault Length]]/$N$134</f>
        <v>2.2618033039725698E-2</v>
      </c>
      <c r="Q99" s="4">
        <f>AVERAGE(Table1[[#This Row],[Wm]:[Wl ]])</f>
        <v>1.364546511799369E-2</v>
      </c>
      <c r="R99" s="4">
        <f>2.303*Table1[[#This Row],[Total Weightage Factor]]</f>
        <v>3.1425506166739468E-2</v>
      </c>
    </row>
    <row r="100" spans="1:18" hidden="1" x14ac:dyDescent="0.3">
      <c r="A100" s="3">
        <v>98</v>
      </c>
      <c r="B100" s="3" t="s">
        <v>217</v>
      </c>
      <c r="C100" s="3" t="s">
        <v>326</v>
      </c>
      <c r="D100" s="3" t="s">
        <v>165</v>
      </c>
      <c r="E100" s="3">
        <v>77.45</v>
      </c>
      <c r="F100" s="3">
        <v>21.3</v>
      </c>
      <c r="G100" s="3">
        <v>77.95</v>
      </c>
      <c r="H100" s="3">
        <v>21.3</v>
      </c>
      <c r="I100" s="2">
        <f t="shared" si="3"/>
        <v>55.637311110998283</v>
      </c>
      <c r="J100" s="2">
        <f t="shared" si="5"/>
        <v>7.0846247141184531</v>
      </c>
      <c r="K100" s="3">
        <v>20</v>
      </c>
      <c r="M100" s="3">
        <v>0</v>
      </c>
      <c r="N100" s="2">
        <f>IF(Table1[[#This Row],[No of EQ]]&gt;0,Table1[[#This Row],[Total Length]],0)</f>
        <v>0</v>
      </c>
      <c r="O100" s="4">
        <f>Table1[[#This Row],[No of EQ]]/214</f>
        <v>0</v>
      </c>
      <c r="P100" s="4">
        <f>Table1[[#This Row],[Active Fault Length]]/$N$134</f>
        <v>0</v>
      </c>
      <c r="Q100" s="4">
        <f>AVERAGE(Table1[[#This Row],[Wm]:[Wl ]])</f>
        <v>0</v>
      </c>
      <c r="R100" s="4">
        <f>2.303*Table1[[#This Row],[Total Weightage Factor]]</f>
        <v>0</v>
      </c>
    </row>
    <row r="101" spans="1:18" hidden="1" x14ac:dyDescent="0.3">
      <c r="A101" s="3">
        <v>99</v>
      </c>
      <c r="B101" s="3" t="s">
        <v>217</v>
      </c>
      <c r="C101" s="3" t="s">
        <v>128</v>
      </c>
      <c r="D101" s="3" t="s">
        <v>187</v>
      </c>
      <c r="E101" s="3">
        <v>78</v>
      </c>
      <c r="F101" s="3">
        <v>22.55</v>
      </c>
      <c r="G101" s="3">
        <v>79.900000000000006</v>
      </c>
      <c r="H101" s="3">
        <v>23.1</v>
      </c>
      <c r="I101" s="2">
        <f t="shared" si="3"/>
        <v>211.74689526498179</v>
      </c>
      <c r="J101" s="2">
        <f t="shared" si="5"/>
        <v>7.7579477794087612</v>
      </c>
      <c r="K101" s="3">
        <v>21</v>
      </c>
      <c r="L101" s="3" t="s">
        <v>351</v>
      </c>
      <c r="M101" s="3">
        <v>2</v>
      </c>
      <c r="N101" s="2">
        <f>IF(Table1[[#This Row],[No of EQ]]&gt;0,Table1[[#This Row],[Total Length]],0)</f>
        <v>211.74689526498179</v>
      </c>
      <c r="O101" s="4">
        <f>Table1[[#This Row],[No of EQ]]/214</f>
        <v>9.3457943925233638E-3</v>
      </c>
      <c r="P101" s="4">
        <f>Table1[[#This Row],[Active Fault Length]]/$N$134</f>
        <v>0.10226877809324318</v>
      </c>
      <c r="Q101" s="4">
        <f>AVERAGE(Table1[[#This Row],[Wm]:[Wl ]])</f>
        <v>5.5807286242883274E-2</v>
      </c>
      <c r="R101" s="4">
        <f>2.303*Table1[[#This Row],[Total Weightage Factor]]</f>
        <v>0.12852418021736017</v>
      </c>
    </row>
    <row r="102" spans="1:18" hidden="1" x14ac:dyDescent="0.3">
      <c r="A102" s="3">
        <v>100</v>
      </c>
      <c r="B102" s="3" t="s">
        <v>217</v>
      </c>
      <c r="C102" s="3" t="s">
        <v>282</v>
      </c>
      <c r="D102" s="3" t="s">
        <v>188</v>
      </c>
      <c r="E102" s="3">
        <v>80</v>
      </c>
      <c r="F102" s="3">
        <v>23.05</v>
      </c>
      <c r="G102" s="3">
        <v>80.45</v>
      </c>
      <c r="H102" s="3">
        <v>23.3</v>
      </c>
      <c r="I102" s="2">
        <f t="shared" si="3"/>
        <v>50.297544311538509</v>
      </c>
      <c r="J102" s="2">
        <f t="shared" si="5"/>
        <v>7.0337942670215421</v>
      </c>
      <c r="K102" s="3">
        <v>21</v>
      </c>
      <c r="L102" s="3" t="s">
        <v>354</v>
      </c>
      <c r="M102" s="3">
        <v>2</v>
      </c>
      <c r="N102" s="2">
        <f>IF(Table1[[#This Row],[No of EQ]]&gt;0,Table1[[#This Row],[Total Length]],0)</f>
        <v>50.297544311538509</v>
      </c>
      <c r="O102" s="4">
        <f>Table1[[#This Row],[No of EQ]]/214</f>
        <v>9.3457943925233638E-3</v>
      </c>
      <c r="P102" s="4">
        <f>Table1[[#This Row],[Active Fault Length]]/$N$134</f>
        <v>2.4292532796736967E-2</v>
      </c>
      <c r="Q102" s="4">
        <f>AVERAGE(Table1[[#This Row],[Wm]:[Wl ]])</f>
        <v>1.6819163594630166E-2</v>
      </c>
      <c r="R102" s="4">
        <f>2.303*Table1[[#This Row],[Total Weightage Factor]]</f>
        <v>3.8734533758433269E-2</v>
      </c>
    </row>
    <row r="103" spans="1:18" hidden="1" x14ac:dyDescent="0.3">
      <c r="A103" s="3">
        <v>101</v>
      </c>
      <c r="B103" s="3" t="s">
        <v>217</v>
      </c>
      <c r="C103" s="3" t="s">
        <v>283</v>
      </c>
      <c r="D103" s="3" t="s">
        <v>189</v>
      </c>
      <c r="E103" s="3">
        <v>80</v>
      </c>
      <c r="F103" s="3">
        <v>23.2</v>
      </c>
      <c r="G103" s="3">
        <v>80.5</v>
      </c>
      <c r="H103" s="3">
        <v>23.5</v>
      </c>
      <c r="I103" s="2">
        <f t="shared" si="3"/>
        <v>55.925967922627336</v>
      </c>
      <c r="J103" s="2">
        <f t="shared" si="5"/>
        <v>7.0872316707424394</v>
      </c>
      <c r="K103" s="3">
        <v>21</v>
      </c>
      <c r="L103" s="3" t="s">
        <v>353</v>
      </c>
      <c r="M103" s="3">
        <v>1</v>
      </c>
      <c r="N103" s="2">
        <f>IF(Table1[[#This Row],[No of EQ]]&gt;0,Table1[[#This Row],[Total Length]],0)</f>
        <v>55.925967922627336</v>
      </c>
      <c r="O103" s="4">
        <f>Table1[[#This Row],[No of EQ]]/214</f>
        <v>4.6728971962616819E-3</v>
      </c>
      <c r="P103" s="4">
        <f>Table1[[#This Row],[Active Fault Length]]/$N$134</f>
        <v>2.7010929232145799E-2</v>
      </c>
      <c r="Q103" s="4">
        <f>AVERAGE(Table1[[#This Row],[Wm]:[Wl ]])</f>
        <v>1.5841913214203741E-2</v>
      </c>
      <c r="R103" s="4">
        <f>2.303*Table1[[#This Row],[Total Weightage Factor]]</f>
        <v>3.648392613231121E-2</v>
      </c>
    </row>
    <row r="104" spans="1:18" hidden="1" x14ac:dyDescent="0.3">
      <c r="A104" s="3">
        <v>102</v>
      </c>
      <c r="B104" s="3" t="s">
        <v>217</v>
      </c>
      <c r="C104" s="3" t="s">
        <v>311</v>
      </c>
      <c r="D104" s="3" t="s">
        <v>190</v>
      </c>
      <c r="E104" s="3">
        <v>80.510000000000005</v>
      </c>
      <c r="F104" s="3">
        <v>23.52</v>
      </c>
      <c r="G104" s="3">
        <v>80.599999999999994</v>
      </c>
      <c r="H104" s="3">
        <v>23.6</v>
      </c>
      <c r="I104" s="2">
        <f t="shared" si="3"/>
        <v>10.121601052604445</v>
      </c>
      <c r="J104" s="2">
        <f t="shared" si="5"/>
        <v>6.2260890898645247</v>
      </c>
      <c r="K104" s="3">
        <v>21</v>
      </c>
      <c r="M104" s="3">
        <v>0</v>
      </c>
      <c r="N104" s="2">
        <f>IF(Table1[[#This Row],[No of EQ]]&gt;0,Table1[[#This Row],[Total Length]],0)</f>
        <v>0</v>
      </c>
      <c r="O104" s="4">
        <f>Table1[[#This Row],[No of EQ]]/214</f>
        <v>0</v>
      </c>
      <c r="P104" s="4">
        <f>Table1[[#This Row],[Active Fault Length]]/$N$134</f>
        <v>0</v>
      </c>
      <c r="Q104" s="4">
        <f>AVERAGE(Table1[[#This Row],[Wm]:[Wl ]])</f>
        <v>0</v>
      </c>
      <c r="R104" s="4">
        <f>2.303*Table1[[#This Row],[Total Weightage Factor]]</f>
        <v>0</v>
      </c>
    </row>
    <row r="105" spans="1:18" hidden="1" x14ac:dyDescent="0.3">
      <c r="A105" s="3">
        <v>103</v>
      </c>
      <c r="B105" s="3" t="s">
        <v>217</v>
      </c>
      <c r="C105" s="3" t="s">
        <v>312</v>
      </c>
      <c r="D105" s="3" t="s">
        <v>191</v>
      </c>
      <c r="E105" s="3">
        <v>80.62</v>
      </c>
      <c r="F105" s="3">
        <v>23.61</v>
      </c>
      <c r="G105" s="3">
        <v>80.89</v>
      </c>
      <c r="H105" s="3">
        <v>23.7</v>
      </c>
      <c r="I105" s="2">
        <f t="shared" si="3"/>
        <v>30.087567345389562</v>
      </c>
      <c r="J105" s="2">
        <f t="shared" si="5"/>
        <v>6.774929007430484</v>
      </c>
      <c r="K105" s="3">
        <v>21</v>
      </c>
      <c r="L105" s="3">
        <v>64</v>
      </c>
      <c r="M105" s="3">
        <v>1</v>
      </c>
      <c r="N105" s="2">
        <f>IF(Table1[[#This Row],[No of EQ]]&gt;0,Table1[[#This Row],[Total Length]],0)</f>
        <v>30.087567345389562</v>
      </c>
      <c r="O105" s="4">
        <f>Table1[[#This Row],[No of EQ]]/214</f>
        <v>4.6728971962616819E-3</v>
      </c>
      <c r="P105" s="4">
        <f>Table1[[#This Row],[Active Fault Length]]/$N$134</f>
        <v>1.4531588500320387E-2</v>
      </c>
      <c r="Q105" s="4">
        <f>AVERAGE(Table1[[#This Row],[Wm]:[Wl ]])</f>
        <v>9.6022428482910351E-3</v>
      </c>
      <c r="R105" s="4">
        <f>2.303*Table1[[#This Row],[Total Weightage Factor]]</f>
        <v>2.2113965279614255E-2</v>
      </c>
    </row>
    <row r="106" spans="1:18" hidden="1" x14ac:dyDescent="0.3">
      <c r="A106" s="3">
        <v>104</v>
      </c>
      <c r="B106" s="3" t="s">
        <v>217</v>
      </c>
      <c r="C106" s="3" t="s">
        <v>115</v>
      </c>
      <c r="D106" s="3" t="s">
        <v>192</v>
      </c>
      <c r="E106" s="3">
        <v>76.599999999999994</v>
      </c>
      <c r="F106" s="3">
        <v>20.7</v>
      </c>
      <c r="G106" s="3">
        <v>77.95</v>
      </c>
      <c r="H106" s="3">
        <v>19.649999999999999</v>
      </c>
      <c r="I106" s="2">
        <f t="shared" si="3"/>
        <v>152.41650329341581</v>
      </c>
      <c r="J106" s="2">
        <f t="shared" si="5"/>
        <v>7.5923171129407994</v>
      </c>
      <c r="K106" s="3">
        <v>29</v>
      </c>
      <c r="M106" s="3">
        <v>0</v>
      </c>
      <c r="N106" s="2">
        <f>IF(Table1[[#This Row],[No of EQ]]&gt;0,Table1[[#This Row],[Total Length]],0)</f>
        <v>0</v>
      </c>
      <c r="O106" s="4">
        <f>Table1[[#This Row],[No of EQ]]/214</f>
        <v>0</v>
      </c>
      <c r="P106" s="4">
        <f>Table1[[#This Row],[Active Fault Length]]/$N$134</f>
        <v>0</v>
      </c>
      <c r="Q106" s="4">
        <f>AVERAGE(Table1[[#This Row],[Wm]:[Wl ]])</f>
        <v>0</v>
      </c>
      <c r="R106" s="4">
        <f>2.303*Table1[[#This Row],[Total Weightage Factor]]</f>
        <v>0</v>
      </c>
    </row>
    <row r="107" spans="1:18" hidden="1" x14ac:dyDescent="0.3">
      <c r="A107" s="3">
        <v>105</v>
      </c>
      <c r="B107" s="3" t="s">
        <v>217</v>
      </c>
      <c r="C107" s="3" t="s">
        <v>128</v>
      </c>
      <c r="D107" s="3" t="s">
        <v>193</v>
      </c>
      <c r="E107" s="3">
        <v>73.5</v>
      </c>
      <c r="F107" s="3">
        <v>21.7</v>
      </c>
      <c r="G107" s="3">
        <v>73.900000000000006</v>
      </c>
      <c r="H107" s="3">
        <v>21.9</v>
      </c>
      <c r="I107" s="2">
        <f t="shared" si="3"/>
        <v>44.947862094119785</v>
      </c>
      <c r="J107" s="2">
        <f t="shared" si="5"/>
        <v>6.9771424860775539</v>
      </c>
      <c r="K107" s="3">
        <v>19</v>
      </c>
      <c r="M107" s="3">
        <v>0</v>
      </c>
      <c r="N107" s="2">
        <f>IF(Table1[[#This Row],[No of EQ]]&gt;0,Table1[[#This Row],[Total Length]],0)</f>
        <v>0</v>
      </c>
      <c r="O107" s="4">
        <f>Table1[[#This Row],[No of EQ]]/214</f>
        <v>0</v>
      </c>
      <c r="P107" s="4">
        <f>Table1[[#This Row],[Active Fault Length]]/$N$134</f>
        <v>0</v>
      </c>
      <c r="Q107" s="4">
        <f>AVERAGE(Table1[[#This Row],[Wm]:[Wl ]])</f>
        <v>0</v>
      </c>
      <c r="R107" s="4">
        <f>2.303*Table1[[#This Row],[Total Weightage Factor]]</f>
        <v>0</v>
      </c>
    </row>
    <row r="108" spans="1:18" hidden="1" x14ac:dyDescent="0.3">
      <c r="A108" s="3">
        <v>106</v>
      </c>
      <c r="B108" s="3" t="s">
        <v>217</v>
      </c>
      <c r="C108" s="3" t="s">
        <v>128</v>
      </c>
      <c r="D108" s="3" t="s">
        <v>194</v>
      </c>
      <c r="E108" s="3">
        <v>73.8</v>
      </c>
      <c r="F108" s="3">
        <v>21.8</v>
      </c>
      <c r="G108" s="3">
        <v>73.900000000000006</v>
      </c>
      <c r="H108" s="3">
        <v>21.9</v>
      </c>
      <c r="I108" s="2">
        <f t="shared" si="3"/>
        <v>11.551773632218364</v>
      </c>
      <c r="J108" s="2">
        <f t="shared" si="5"/>
        <v>6.2926724570879395</v>
      </c>
      <c r="K108" s="3">
        <v>19</v>
      </c>
      <c r="M108" s="3">
        <v>0</v>
      </c>
      <c r="N108" s="2">
        <f>IF(Table1[[#This Row],[No of EQ]]&gt;0,Table1[[#This Row],[Total Length]],0)</f>
        <v>0</v>
      </c>
      <c r="O108" s="4">
        <f>Table1[[#This Row],[No of EQ]]/214</f>
        <v>0</v>
      </c>
      <c r="P108" s="4">
        <f>Table1[[#This Row],[Active Fault Length]]/$N$134</f>
        <v>0</v>
      </c>
      <c r="Q108" s="4">
        <f>AVERAGE(Table1[[#This Row],[Wm]:[Wl ]])</f>
        <v>0</v>
      </c>
      <c r="R108" s="4">
        <f>2.303*Table1[[#This Row],[Total Weightage Factor]]</f>
        <v>0</v>
      </c>
    </row>
    <row r="109" spans="1:18" hidden="1" x14ac:dyDescent="0.3">
      <c r="A109" s="3">
        <v>107</v>
      </c>
      <c r="B109" s="3" t="s">
        <v>217</v>
      </c>
      <c r="C109" s="3" t="s">
        <v>128</v>
      </c>
      <c r="D109" s="3" t="s">
        <v>195</v>
      </c>
      <c r="E109" s="3">
        <v>73.25</v>
      </c>
      <c r="F109" s="3">
        <v>21.75</v>
      </c>
      <c r="G109" s="3">
        <v>74.8</v>
      </c>
      <c r="H109" s="3">
        <v>22.08</v>
      </c>
      <c r="I109" s="2">
        <f t="shared" si="3"/>
        <v>172.7721713328518</v>
      </c>
      <c r="J109" s="2">
        <f t="shared" si="5"/>
        <v>7.6554695979387315</v>
      </c>
      <c r="K109" s="3">
        <v>19</v>
      </c>
      <c r="L109" s="3" t="s">
        <v>337</v>
      </c>
      <c r="M109" s="3">
        <v>6</v>
      </c>
      <c r="N109" s="2">
        <f>IF(Table1[[#This Row],[No of EQ]]&gt;0,Table1[[#This Row],[Total Length]],0)</f>
        <v>172.7721713328518</v>
      </c>
      <c r="O109" s="4">
        <f>Table1[[#This Row],[No of EQ]]/214</f>
        <v>2.8037383177570093E-2</v>
      </c>
      <c r="P109" s="4">
        <f>Table1[[#This Row],[Active Fault Length]]/$N$134</f>
        <v>8.3444901653060052E-2</v>
      </c>
      <c r="Q109" s="4">
        <f>AVERAGE(Table1[[#This Row],[Wm]:[Wl ]])</f>
        <v>5.5741142415315074E-2</v>
      </c>
      <c r="R109" s="4">
        <f>2.303*Table1[[#This Row],[Total Weightage Factor]]</f>
        <v>0.12837185098247061</v>
      </c>
    </row>
    <row r="110" spans="1:18" hidden="1" x14ac:dyDescent="0.3">
      <c r="A110" s="3">
        <v>108</v>
      </c>
      <c r="B110" s="3" t="s">
        <v>217</v>
      </c>
      <c r="C110" s="3" t="s">
        <v>316</v>
      </c>
      <c r="D110" s="3" t="s">
        <v>196</v>
      </c>
      <c r="E110" s="3">
        <v>72.03</v>
      </c>
      <c r="F110" s="3">
        <v>24.35</v>
      </c>
      <c r="G110" s="3">
        <v>73.3</v>
      </c>
      <c r="H110" s="3">
        <v>22.1</v>
      </c>
      <c r="I110" s="2">
        <f t="shared" si="3"/>
        <v>159.84706754431105</v>
      </c>
      <c r="J110" s="2">
        <f t="shared" si="5"/>
        <v>7.6162974211232886</v>
      </c>
      <c r="K110" s="3">
        <v>19</v>
      </c>
      <c r="L110" s="3" t="s">
        <v>338</v>
      </c>
      <c r="M110" s="3">
        <v>5</v>
      </c>
      <c r="N110" s="2">
        <f>IF(Table1[[#This Row],[No of EQ]]&gt;0,Table1[[#This Row],[Total Length]],0)</f>
        <v>159.84706754431105</v>
      </c>
      <c r="O110" s="4">
        <f>Table1[[#This Row],[No of EQ]]/214</f>
        <v>2.336448598130841E-2</v>
      </c>
      <c r="P110" s="4">
        <f>Table1[[#This Row],[Active Fault Length]]/$N$134</f>
        <v>7.7202380035313267E-2</v>
      </c>
      <c r="Q110" s="4">
        <f>AVERAGE(Table1[[#This Row],[Wm]:[Wl ]])</f>
        <v>5.0283433008310841E-2</v>
      </c>
      <c r="R110" s="4">
        <f>2.303*Table1[[#This Row],[Total Weightage Factor]]</f>
        <v>0.11580274621813987</v>
      </c>
    </row>
    <row r="111" spans="1:18" hidden="1" x14ac:dyDescent="0.3">
      <c r="A111" s="3">
        <v>109</v>
      </c>
      <c r="B111" s="3" t="s">
        <v>217</v>
      </c>
      <c r="C111" s="3" t="s">
        <v>225</v>
      </c>
      <c r="D111" s="3" t="s">
        <v>166</v>
      </c>
      <c r="E111" s="3">
        <v>75.150000000000006</v>
      </c>
      <c r="F111" s="3">
        <v>21.31</v>
      </c>
      <c r="G111" s="3">
        <v>75.3</v>
      </c>
      <c r="H111" s="3">
        <v>21.3</v>
      </c>
      <c r="I111" s="2">
        <f t="shared" si="3"/>
        <v>16.693617615623637</v>
      </c>
      <c r="J111" s="2">
        <f t="shared" si="5"/>
        <v>6.4781585351313096</v>
      </c>
      <c r="K111" s="3">
        <v>20</v>
      </c>
      <c r="M111" s="3">
        <v>0</v>
      </c>
      <c r="N111" s="2">
        <f>IF(Table1[[#This Row],[No of EQ]]&gt;0,Table1[[#This Row],[Total Length]],0)</f>
        <v>0</v>
      </c>
      <c r="O111" s="4">
        <f>Table1[[#This Row],[No of EQ]]/214</f>
        <v>0</v>
      </c>
      <c r="P111" s="4">
        <f>Table1[[#This Row],[Active Fault Length]]/$N$134</f>
        <v>0</v>
      </c>
      <c r="Q111" s="4">
        <f>AVERAGE(Table1[[#This Row],[Wm]:[Wl ]])</f>
        <v>0</v>
      </c>
      <c r="R111" s="4">
        <f>2.303*Table1[[#This Row],[Total Weightage Factor]]</f>
        <v>0</v>
      </c>
    </row>
    <row r="112" spans="1:18" hidden="1" x14ac:dyDescent="0.3">
      <c r="A112" s="3">
        <v>110</v>
      </c>
      <c r="B112" s="3" t="s">
        <v>217</v>
      </c>
      <c r="C112" s="3" t="s">
        <v>314</v>
      </c>
      <c r="D112" s="3" t="s">
        <v>197</v>
      </c>
      <c r="E112" s="3">
        <v>72</v>
      </c>
      <c r="F112" s="3">
        <v>23.5</v>
      </c>
      <c r="G112" s="3">
        <v>72.349999999999994</v>
      </c>
      <c r="H112" s="3">
        <v>22.35</v>
      </c>
      <c r="I112" s="2">
        <f t="shared" si="3"/>
        <v>55.291349184043689</v>
      </c>
      <c r="J112" s="2">
        <f t="shared" si="5"/>
        <v>7.0814823374344158</v>
      </c>
      <c r="K112" s="3">
        <v>19</v>
      </c>
      <c r="M112" s="3">
        <v>0</v>
      </c>
      <c r="N112" s="2">
        <f>IF(Table1[[#This Row],[No of EQ]]&gt;0,Table1[[#This Row],[Total Length]],0)</f>
        <v>0</v>
      </c>
      <c r="O112" s="4">
        <f>Table1[[#This Row],[No of EQ]]/214</f>
        <v>0</v>
      </c>
      <c r="P112" s="4">
        <f>Table1[[#This Row],[Active Fault Length]]/$N$134</f>
        <v>0</v>
      </c>
      <c r="Q112" s="4">
        <f>AVERAGE(Table1[[#This Row],[Wm]:[Wl ]])</f>
        <v>0</v>
      </c>
      <c r="R112" s="4">
        <f>2.303*Table1[[#This Row],[Total Weightage Factor]]</f>
        <v>0</v>
      </c>
    </row>
    <row r="113" spans="1:18" hidden="1" x14ac:dyDescent="0.3">
      <c r="A113" s="3">
        <v>111</v>
      </c>
      <c r="B113" s="3" t="s">
        <v>217</v>
      </c>
      <c r="C113" s="3" t="s">
        <v>315</v>
      </c>
      <c r="D113" s="3" t="s">
        <v>198</v>
      </c>
      <c r="E113" s="3">
        <v>72</v>
      </c>
      <c r="F113" s="3">
        <v>24.5</v>
      </c>
      <c r="G113" s="3">
        <v>72.5</v>
      </c>
      <c r="H113" s="3">
        <v>24.65</v>
      </c>
      <c r="I113" s="2">
        <f t="shared" si="3"/>
        <v>55.870405859159085</v>
      </c>
      <c r="J113" s="2">
        <f t="shared" si="5"/>
        <v>7.0867309184096765</v>
      </c>
      <c r="K113" s="3">
        <v>19</v>
      </c>
      <c r="L113" s="3" t="s">
        <v>339</v>
      </c>
      <c r="M113" s="3">
        <v>2</v>
      </c>
      <c r="N113" s="2">
        <f>IF(Table1[[#This Row],[No of EQ]]&gt;0,Table1[[#This Row],[Total Length]],0)</f>
        <v>55.870405859159085</v>
      </c>
      <c r="O113" s="4">
        <f>Table1[[#This Row],[No of EQ]]/214</f>
        <v>9.3457943925233638E-3</v>
      </c>
      <c r="P113" s="4">
        <f>Table1[[#This Row],[Active Fault Length]]/$N$134</f>
        <v>2.6984094060219777E-2</v>
      </c>
      <c r="Q113" s="4">
        <f>AVERAGE(Table1[[#This Row],[Wm]:[Wl ]])</f>
        <v>1.816494422637157E-2</v>
      </c>
      <c r="R113" s="4">
        <f>2.303*Table1[[#This Row],[Total Weightage Factor]]</f>
        <v>4.1833866553333723E-2</v>
      </c>
    </row>
    <row r="114" spans="1:18" hidden="1" x14ac:dyDescent="0.3">
      <c r="A114" s="3">
        <v>112</v>
      </c>
      <c r="B114" s="3" t="s">
        <v>217</v>
      </c>
      <c r="C114" s="3" t="s">
        <v>317</v>
      </c>
      <c r="D114" s="3" t="s">
        <v>199</v>
      </c>
      <c r="E114" s="3">
        <v>72.08</v>
      </c>
      <c r="F114" s="3">
        <v>24.7</v>
      </c>
      <c r="G114" s="3">
        <v>72.16</v>
      </c>
      <c r="H114" s="3">
        <v>25</v>
      </c>
      <c r="I114" s="2">
        <f t="shared" si="3"/>
        <v>13.590678650513679</v>
      </c>
      <c r="J114" s="2">
        <f t="shared" si="5"/>
        <v>6.3745597267710341</v>
      </c>
      <c r="K114" s="3">
        <v>8</v>
      </c>
      <c r="L114" s="3">
        <v>185</v>
      </c>
      <c r="M114" s="3">
        <v>1</v>
      </c>
      <c r="N114" s="2">
        <f>IF(Table1[[#This Row],[No of EQ]]&gt;0,Table1[[#This Row],[Total Length]],0)</f>
        <v>13.590678650513679</v>
      </c>
      <c r="O114" s="4">
        <f>Table1[[#This Row],[No of EQ]]/214</f>
        <v>4.6728971962616819E-3</v>
      </c>
      <c r="P114" s="4">
        <f>Table1[[#This Row],[Active Fault Length]]/$N$134</f>
        <v>6.563978646802005E-3</v>
      </c>
      <c r="Q114" s="4">
        <f>AVERAGE(Table1[[#This Row],[Wm]:[Wl ]])</f>
        <v>5.6184379215318435E-3</v>
      </c>
      <c r="R114" s="4">
        <f>2.303*Table1[[#This Row],[Total Weightage Factor]]</f>
        <v>1.2939262533287836E-2</v>
      </c>
    </row>
    <row r="115" spans="1:18" hidden="1" x14ac:dyDescent="0.3">
      <c r="A115" s="3">
        <v>113</v>
      </c>
      <c r="B115" s="3" t="s">
        <v>217</v>
      </c>
      <c r="C115" s="3" t="s">
        <v>248</v>
      </c>
      <c r="D115" s="3" t="s">
        <v>200</v>
      </c>
      <c r="E115" s="3">
        <v>74.290000000000006</v>
      </c>
      <c r="F115" s="3">
        <v>25.18</v>
      </c>
      <c r="G115" s="3">
        <v>74.16</v>
      </c>
      <c r="H115" s="3">
        <v>25</v>
      </c>
      <c r="I115" s="2">
        <f t="shared" si="3"/>
        <v>15.461057427614731</v>
      </c>
      <c r="J115" s="2">
        <f t="shared" si="5"/>
        <v>6.4395174642128401</v>
      </c>
      <c r="K115" s="3">
        <v>8</v>
      </c>
      <c r="M115" s="3">
        <v>0</v>
      </c>
      <c r="N115" s="2">
        <f>IF(Table1[[#This Row],[No of EQ]]&gt;0,Table1[[#This Row],[Total Length]],0)</f>
        <v>0</v>
      </c>
      <c r="O115" s="4">
        <f>Table1[[#This Row],[No of EQ]]/214</f>
        <v>0</v>
      </c>
      <c r="P115" s="4">
        <f>Table1[[#This Row],[Active Fault Length]]/$N$134</f>
        <v>0</v>
      </c>
      <c r="Q115" s="4">
        <f>AVERAGE(Table1[[#This Row],[Wm]:[Wl ]])</f>
        <v>0</v>
      </c>
      <c r="R115" s="4">
        <f>2.303*Table1[[#This Row],[Total Weightage Factor]]</f>
        <v>0</v>
      </c>
    </row>
    <row r="116" spans="1:18" hidden="1" x14ac:dyDescent="0.3">
      <c r="A116" s="3">
        <v>114</v>
      </c>
      <c r="B116" s="3" t="s">
        <v>217</v>
      </c>
      <c r="C116" s="3" t="s">
        <v>250</v>
      </c>
      <c r="D116" s="3" t="s">
        <v>201</v>
      </c>
      <c r="E116" s="3">
        <v>74.349999999999994</v>
      </c>
      <c r="F116" s="3">
        <v>25.01</v>
      </c>
      <c r="G116" s="3">
        <v>74.430000000000007</v>
      </c>
      <c r="H116" s="3">
        <v>25.12</v>
      </c>
      <c r="I116" s="2">
        <f t="shared" si="3"/>
        <v>9.4944495298831804</v>
      </c>
      <c r="J116" s="2">
        <f t="shared" si="5"/>
        <v>6.1938649566729413</v>
      </c>
      <c r="K116" s="3">
        <v>8</v>
      </c>
      <c r="M116" s="3">
        <v>0</v>
      </c>
      <c r="N116" s="2">
        <f>IF(Table1[[#This Row],[No of EQ]]&gt;0,Table1[[#This Row],[Total Length]],0)</f>
        <v>0</v>
      </c>
      <c r="O116" s="4">
        <f>Table1[[#This Row],[No of EQ]]/214</f>
        <v>0</v>
      </c>
      <c r="P116" s="4">
        <f>Table1[[#This Row],[Active Fault Length]]/$N$134</f>
        <v>0</v>
      </c>
      <c r="Q116" s="4">
        <f>AVERAGE(Table1[[#This Row],[Wm]:[Wl ]])</f>
        <v>0</v>
      </c>
      <c r="R116" s="4">
        <f>2.303*Table1[[#This Row],[Total Weightage Factor]]</f>
        <v>0</v>
      </c>
    </row>
    <row r="117" spans="1:18" hidden="1" x14ac:dyDescent="0.3">
      <c r="A117" s="3">
        <v>115</v>
      </c>
      <c r="B117" s="3" t="s">
        <v>217</v>
      </c>
      <c r="C117" s="3" t="s">
        <v>252</v>
      </c>
      <c r="D117" s="3" t="s">
        <v>202</v>
      </c>
      <c r="E117" s="3">
        <v>74.78</v>
      </c>
      <c r="F117" s="3">
        <v>25.01</v>
      </c>
      <c r="G117" s="3">
        <v>74.89</v>
      </c>
      <c r="H117" s="3">
        <v>25.15</v>
      </c>
      <c r="I117" s="2">
        <f t="shared" si="3"/>
        <v>12.903949876220567</v>
      </c>
      <c r="J117" s="2">
        <f t="shared" si="5"/>
        <v>6.3484382942090356</v>
      </c>
      <c r="K117" s="3">
        <v>8</v>
      </c>
      <c r="M117" s="3">
        <v>0</v>
      </c>
      <c r="N117" s="2">
        <f>IF(Table1[[#This Row],[No of EQ]]&gt;0,Table1[[#This Row],[Total Length]],0)</f>
        <v>0</v>
      </c>
      <c r="O117" s="4">
        <f>Table1[[#This Row],[No of EQ]]/214</f>
        <v>0</v>
      </c>
      <c r="P117" s="4">
        <f>Table1[[#This Row],[Active Fault Length]]/$N$134</f>
        <v>0</v>
      </c>
      <c r="Q117" s="4">
        <f>AVERAGE(Table1[[#This Row],[Wm]:[Wl ]])</f>
        <v>0</v>
      </c>
      <c r="R117" s="4">
        <f>2.303*Table1[[#This Row],[Total Weightage Factor]]</f>
        <v>0</v>
      </c>
    </row>
    <row r="118" spans="1:18" hidden="1" x14ac:dyDescent="0.3">
      <c r="A118" s="3">
        <v>116</v>
      </c>
      <c r="B118" s="3" t="s">
        <v>217</v>
      </c>
      <c r="C118" s="3" t="s">
        <v>115</v>
      </c>
      <c r="D118" s="3" t="s">
        <v>203</v>
      </c>
      <c r="E118" s="3">
        <v>76.22</v>
      </c>
      <c r="F118" s="3">
        <v>20.95</v>
      </c>
      <c r="G118" s="3">
        <v>77.900000000000006</v>
      </c>
      <c r="H118" s="3">
        <v>19.850000000000001</v>
      </c>
      <c r="I118" s="2">
        <f t="shared" si="3"/>
        <v>188.9436231764123</v>
      </c>
      <c r="J118" s="2">
        <f t="shared" si="5"/>
        <v>7.7005453973746398</v>
      </c>
      <c r="K118" s="3">
        <v>28</v>
      </c>
      <c r="L118" s="3">
        <v>85</v>
      </c>
      <c r="M118" s="3">
        <v>1</v>
      </c>
      <c r="N118" s="2">
        <f>IF(Table1[[#This Row],[No of EQ]]&gt;0,Table1[[#This Row],[Total Length]],0)</f>
        <v>188.9436231764123</v>
      </c>
      <c r="O118" s="4">
        <f>Table1[[#This Row],[No of EQ]]/214</f>
        <v>4.6728971962616819E-3</v>
      </c>
      <c r="P118" s="4">
        <f>Table1[[#This Row],[Active Fault Length]]/$N$134</f>
        <v>9.1255333149422885E-2</v>
      </c>
      <c r="Q118" s="4">
        <f>AVERAGE(Table1[[#This Row],[Wm]:[Wl ]])</f>
        <v>4.7964115172842284E-2</v>
      </c>
      <c r="R118" s="4">
        <f>2.303*Table1[[#This Row],[Total Weightage Factor]]</f>
        <v>0.11046135724305578</v>
      </c>
    </row>
    <row r="119" spans="1:18" hidden="1" x14ac:dyDescent="0.3">
      <c r="A119" s="3">
        <v>117</v>
      </c>
      <c r="B119" s="3" t="s">
        <v>217</v>
      </c>
      <c r="C119" s="3" t="s">
        <v>247</v>
      </c>
      <c r="D119" s="3" t="s">
        <v>204</v>
      </c>
      <c r="E119" s="3">
        <v>74.12</v>
      </c>
      <c r="F119" s="3">
        <v>25.02</v>
      </c>
      <c r="G119" s="3">
        <v>74.28</v>
      </c>
      <c r="H119" s="3">
        <v>25.2</v>
      </c>
      <c r="I119" s="2">
        <f t="shared" si="3"/>
        <v>18.624167423728043</v>
      </c>
      <c r="J119" s="2">
        <f t="shared" si="5"/>
        <v>6.5332891658580152</v>
      </c>
      <c r="K119" s="3">
        <v>8</v>
      </c>
      <c r="M119" s="3">
        <v>0</v>
      </c>
      <c r="N119" s="2">
        <f>IF(Table1[[#This Row],[No of EQ]]&gt;0,Table1[[#This Row],[Total Length]],0)</f>
        <v>0</v>
      </c>
      <c r="O119" s="4">
        <f>Table1[[#This Row],[No of EQ]]/214</f>
        <v>0</v>
      </c>
      <c r="P119" s="4">
        <f>Table1[[#This Row],[Active Fault Length]]/$N$134</f>
        <v>0</v>
      </c>
      <c r="Q119" s="4">
        <f>AVERAGE(Table1[[#This Row],[Wm]:[Wl ]])</f>
        <v>0</v>
      </c>
      <c r="R119" s="4">
        <f>2.303*Table1[[#This Row],[Total Weightage Factor]]</f>
        <v>0</v>
      </c>
    </row>
    <row r="120" spans="1:18" hidden="1" x14ac:dyDescent="0.3">
      <c r="A120" s="3">
        <v>118</v>
      </c>
      <c r="B120" s="3" t="s">
        <v>217</v>
      </c>
      <c r="C120" s="3" t="s">
        <v>249</v>
      </c>
      <c r="D120" s="3" t="s">
        <v>205</v>
      </c>
      <c r="E120" s="3">
        <v>74.28</v>
      </c>
      <c r="F120" s="3">
        <v>25.05</v>
      </c>
      <c r="G120" s="3">
        <v>74.47</v>
      </c>
      <c r="H120" s="3">
        <v>25.33</v>
      </c>
      <c r="I120" s="2">
        <f t="shared" si="3"/>
        <v>22.753968871736962</v>
      </c>
      <c r="J120" s="2">
        <f t="shared" si="5"/>
        <v>6.6341863051591847</v>
      </c>
      <c r="K120" s="3">
        <v>8</v>
      </c>
      <c r="M120" s="3">
        <v>0</v>
      </c>
      <c r="N120" s="2">
        <f>IF(Table1[[#This Row],[No of EQ]]&gt;0,Table1[[#This Row],[Total Length]],0)</f>
        <v>0</v>
      </c>
      <c r="O120" s="4">
        <f>Table1[[#This Row],[No of EQ]]/214</f>
        <v>0</v>
      </c>
      <c r="P120" s="4">
        <f>Table1[[#This Row],[Active Fault Length]]/$N$134</f>
        <v>0</v>
      </c>
      <c r="Q120" s="4">
        <f>AVERAGE(Table1[[#This Row],[Wm]:[Wl ]])</f>
        <v>0</v>
      </c>
      <c r="R120" s="4">
        <f>2.303*Table1[[#This Row],[Total Weightage Factor]]</f>
        <v>0</v>
      </c>
    </row>
    <row r="121" spans="1:18" hidden="1" x14ac:dyDescent="0.3">
      <c r="A121" s="3">
        <v>119</v>
      </c>
      <c r="B121" s="3" t="s">
        <v>217</v>
      </c>
      <c r="C121" s="3" t="s">
        <v>251</v>
      </c>
      <c r="D121" s="3" t="s">
        <v>206</v>
      </c>
      <c r="E121" s="3">
        <v>74.55</v>
      </c>
      <c r="F121" s="3">
        <v>25.19</v>
      </c>
      <c r="G121" s="3">
        <v>74.959999999999994</v>
      </c>
      <c r="H121" s="3">
        <v>25.45</v>
      </c>
      <c r="I121" s="2">
        <f t="shared" si="3"/>
        <v>46.255432523309182</v>
      </c>
      <c r="J121" s="2">
        <f t="shared" si="5"/>
        <v>6.9915887857002357</v>
      </c>
      <c r="K121" s="3">
        <v>8</v>
      </c>
      <c r="M121" s="3">
        <v>0</v>
      </c>
      <c r="N121" s="2">
        <f>IF(Table1[[#This Row],[No of EQ]]&gt;0,Table1[[#This Row],[Total Length]],0)</f>
        <v>0</v>
      </c>
      <c r="O121" s="4">
        <f>Table1[[#This Row],[No of EQ]]/214</f>
        <v>0</v>
      </c>
      <c r="P121" s="4">
        <f>Table1[[#This Row],[Active Fault Length]]/$N$134</f>
        <v>0</v>
      </c>
      <c r="Q121" s="4">
        <f>AVERAGE(Table1[[#This Row],[Wm]:[Wl ]])</f>
        <v>0</v>
      </c>
      <c r="R121" s="4">
        <f>2.303*Table1[[#This Row],[Total Weightage Factor]]</f>
        <v>0</v>
      </c>
    </row>
    <row r="122" spans="1:18" hidden="1" x14ac:dyDescent="0.3">
      <c r="A122" s="3">
        <v>120</v>
      </c>
      <c r="B122" s="3" t="s">
        <v>217</v>
      </c>
      <c r="C122" s="3" t="s">
        <v>126</v>
      </c>
      <c r="D122" s="3" t="s">
        <v>167</v>
      </c>
      <c r="E122" s="3">
        <v>72.900000000000006</v>
      </c>
      <c r="F122" s="3">
        <v>18.850000000000001</v>
      </c>
      <c r="G122" s="3">
        <v>73.7</v>
      </c>
      <c r="H122" s="3">
        <v>17.05</v>
      </c>
      <c r="I122" s="2">
        <f t="shared" si="3"/>
        <v>106.06375023115612</v>
      </c>
      <c r="J122" s="2">
        <f t="shared" si="5"/>
        <v>7.4096576955905533</v>
      </c>
      <c r="K122" s="3">
        <v>27</v>
      </c>
      <c r="M122" s="3">
        <v>0</v>
      </c>
      <c r="N122" s="2">
        <f>IF(Table1[[#This Row],[No of EQ]]&gt;0,Table1[[#This Row],[Total Length]],0)</f>
        <v>0</v>
      </c>
      <c r="O122" s="4">
        <f>Table1[[#This Row],[No of EQ]]/214</f>
        <v>0</v>
      </c>
      <c r="P122" s="4">
        <f>Table1[[#This Row],[Active Fault Length]]/$N$134</f>
        <v>0</v>
      </c>
      <c r="Q122" s="4">
        <f>AVERAGE(Table1[[#This Row],[Wm]:[Wl ]])</f>
        <v>0</v>
      </c>
      <c r="R122" s="4">
        <f>2.303*Table1[[#This Row],[Total Weightage Factor]]</f>
        <v>0</v>
      </c>
    </row>
    <row r="123" spans="1:18" hidden="1" x14ac:dyDescent="0.3">
      <c r="A123" s="3">
        <v>121</v>
      </c>
      <c r="B123" s="3" t="s">
        <v>217</v>
      </c>
      <c r="C123" s="3" t="s">
        <v>137</v>
      </c>
      <c r="D123" s="3" t="s">
        <v>207</v>
      </c>
      <c r="E123" s="3">
        <v>70.2</v>
      </c>
      <c r="F123" s="3">
        <v>22.4</v>
      </c>
      <c r="G123" s="3">
        <v>71</v>
      </c>
      <c r="H123" s="3">
        <v>22.65</v>
      </c>
      <c r="I123" s="2">
        <f t="shared" si="3"/>
        <v>89.499482816968992</v>
      </c>
      <c r="J123" s="2">
        <f t="shared" si="5"/>
        <v>7.3241118098150926</v>
      </c>
      <c r="K123" s="3">
        <v>18</v>
      </c>
      <c r="M123" s="3">
        <v>0</v>
      </c>
      <c r="N123" s="2">
        <f>IF(Table1[[#This Row],[No of EQ]]&gt;0,Table1[[#This Row],[Total Length]],0)</f>
        <v>0</v>
      </c>
      <c r="O123" s="4">
        <f>Table1[[#This Row],[No of EQ]]/214</f>
        <v>0</v>
      </c>
      <c r="P123" s="4">
        <f>Table1[[#This Row],[Active Fault Length]]/$N$134</f>
        <v>0</v>
      </c>
      <c r="Q123" s="4">
        <f>AVERAGE(Table1[[#This Row],[Wm]:[Wl ]])</f>
        <v>0</v>
      </c>
      <c r="R123" s="4">
        <f>2.303*Table1[[#This Row],[Total Weightage Factor]]</f>
        <v>0</v>
      </c>
    </row>
    <row r="124" spans="1:18" hidden="1" x14ac:dyDescent="0.3">
      <c r="A124" s="3">
        <v>122</v>
      </c>
      <c r="B124" s="3" t="s">
        <v>217</v>
      </c>
      <c r="C124" s="3" t="s">
        <v>313</v>
      </c>
      <c r="D124" s="3" t="s">
        <v>208</v>
      </c>
      <c r="E124" s="3">
        <v>70.099999999999994</v>
      </c>
      <c r="F124" s="3">
        <v>22.62</v>
      </c>
      <c r="G124" s="3">
        <v>71.08</v>
      </c>
      <c r="H124" s="3">
        <v>22.85</v>
      </c>
      <c r="I124" s="2">
        <f t="shared" si="3"/>
        <v>109.38128050503033</v>
      </c>
      <c r="J124" s="2">
        <f t="shared" si="5"/>
        <v>7.4251738837909214</v>
      </c>
      <c r="K124" s="3">
        <v>18</v>
      </c>
      <c r="L124" s="3">
        <v>106</v>
      </c>
      <c r="M124" s="3">
        <v>1</v>
      </c>
      <c r="N124" s="2">
        <f>IF(Table1[[#This Row],[No of EQ]]&gt;0,Table1[[#This Row],[Total Length]],0)</f>
        <v>109.38128050503033</v>
      </c>
      <c r="O124" s="4">
        <f>Table1[[#This Row],[No of EQ]]/214</f>
        <v>4.6728971962616819E-3</v>
      </c>
      <c r="P124" s="4">
        <f>Table1[[#This Row],[Active Fault Length]]/$N$134</f>
        <v>5.2828589951815441E-2</v>
      </c>
      <c r="Q124" s="4">
        <f>AVERAGE(Table1[[#This Row],[Wm]:[Wl ]])</f>
        <v>2.8750743574038562E-2</v>
      </c>
      <c r="R124" s="4">
        <f>2.303*Table1[[#This Row],[Total Weightage Factor]]</f>
        <v>6.6212962451010812E-2</v>
      </c>
    </row>
    <row r="125" spans="1:18" hidden="1" x14ac:dyDescent="0.3">
      <c r="A125" s="3">
        <v>123</v>
      </c>
      <c r="B125" s="3" t="s">
        <v>217</v>
      </c>
      <c r="C125" s="3" t="s">
        <v>223</v>
      </c>
      <c r="D125" s="3" t="s">
        <v>209</v>
      </c>
      <c r="E125" s="3">
        <v>70.849999999999994</v>
      </c>
      <c r="F125" s="3">
        <v>20.29</v>
      </c>
      <c r="G125" s="3">
        <v>72.2</v>
      </c>
      <c r="H125" s="3">
        <v>20.91</v>
      </c>
      <c r="I125" s="2">
        <f t="shared" si="3"/>
        <v>151.80720315027747</v>
      </c>
      <c r="J125" s="2">
        <f t="shared" si="5"/>
        <v>7.5902991596761087</v>
      </c>
      <c r="K125" s="3">
        <v>18</v>
      </c>
      <c r="M125" s="3">
        <v>0</v>
      </c>
      <c r="N125" s="2">
        <f>IF(Table1[[#This Row],[No of EQ]]&gt;0,Table1[[#This Row],[Total Length]],0)</f>
        <v>0</v>
      </c>
      <c r="O125" s="4">
        <f>Table1[[#This Row],[No of EQ]]/214</f>
        <v>0</v>
      </c>
      <c r="P125" s="4">
        <f>Table1[[#This Row],[Active Fault Length]]/$N$134</f>
        <v>0</v>
      </c>
      <c r="Q125" s="4">
        <f>AVERAGE(Table1[[#This Row],[Wm]:[Wl ]])</f>
        <v>0</v>
      </c>
      <c r="R125" s="4">
        <f>2.303*Table1[[#This Row],[Total Weightage Factor]]</f>
        <v>0</v>
      </c>
    </row>
    <row r="126" spans="1:18" hidden="1" x14ac:dyDescent="0.3">
      <c r="A126" s="3">
        <v>124</v>
      </c>
      <c r="B126" s="3" t="s">
        <v>217</v>
      </c>
      <c r="C126" s="3" t="s">
        <v>122</v>
      </c>
      <c r="D126" s="3" t="s">
        <v>210</v>
      </c>
      <c r="E126" s="3">
        <v>76.2</v>
      </c>
      <c r="F126" s="3">
        <v>21</v>
      </c>
      <c r="G126" s="3">
        <v>77.8</v>
      </c>
      <c r="H126" s="3">
        <v>20.9</v>
      </c>
      <c r="I126" s="2">
        <f t="shared" si="3"/>
        <v>178.05702958324895</v>
      </c>
      <c r="J126" s="2">
        <f t="shared" si="5"/>
        <v>7.6706485838757006</v>
      </c>
      <c r="K126" s="3">
        <v>28</v>
      </c>
      <c r="M126" s="3">
        <v>0</v>
      </c>
      <c r="N126" s="2">
        <f>IF(Table1[[#This Row],[No of EQ]]&gt;0,Table1[[#This Row],[Total Length]],0)</f>
        <v>0</v>
      </c>
      <c r="O126" s="4">
        <f>Table1[[#This Row],[No of EQ]]/214</f>
        <v>0</v>
      </c>
      <c r="P126" s="4">
        <f>Table1[[#This Row],[Active Fault Length]]/$N$134</f>
        <v>0</v>
      </c>
      <c r="Q126" s="4">
        <f>AVERAGE(Table1[[#This Row],[Wm]:[Wl ]])</f>
        <v>0</v>
      </c>
      <c r="R126" s="4">
        <f>2.303*Table1[[#This Row],[Total Weightage Factor]]</f>
        <v>0</v>
      </c>
    </row>
    <row r="127" spans="1:18" hidden="1" x14ac:dyDescent="0.3">
      <c r="A127" s="3">
        <v>125</v>
      </c>
      <c r="B127" s="3" t="s">
        <v>217</v>
      </c>
      <c r="C127" s="3" t="s">
        <v>226</v>
      </c>
      <c r="D127" s="3" t="s">
        <v>211</v>
      </c>
      <c r="E127" s="3">
        <v>75.180000000000007</v>
      </c>
      <c r="F127" s="3">
        <v>21.25</v>
      </c>
      <c r="G127" s="3">
        <v>75.319999999999993</v>
      </c>
      <c r="H127" s="3">
        <v>21.24</v>
      </c>
      <c r="I127" s="2">
        <f t="shared" si="3"/>
        <v>15.581035977543648</v>
      </c>
      <c r="J127" s="2">
        <f t="shared" si="5"/>
        <v>6.4434117432434608</v>
      </c>
      <c r="K127" s="3">
        <v>20</v>
      </c>
      <c r="M127" s="3">
        <v>0</v>
      </c>
      <c r="N127" s="2">
        <f>IF(Table1[[#This Row],[No of EQ]]&gt;0,Table1[[#This Row],[Total Length]],0)</f>
        <v>0</v>
      </c>
      <c r="O127" s="4">
        <f>Table1[[#This Row],[No of EQ]]/214</f>
        <v>0</v>
      </c>
      <c r="P127" s="4">
        <f>Table1[[#This Row],[Active Fault Length]]/$N$134</f>
        <v>0</v>
      </c>
      <c r="Q127" s="4">
        <f>AVERAGE(Table1[[#This Row],[Wm]:[Wl ]])</f>
        <v>0</v>
      </c>
      <c r="R127" s="4">
        <f>2.303*Table1[[#This Row],[Total Weightage Factor]]</f>
        <v>0</v>
      </c>
    </row>
    <row r="128" spans="1:18" hidden="1" x14ac:dyDescent="0.3">
      <c r="A128" s="3">
        <v>126</v>
      </c>
      <c r="B128" s="3" t="s">
        <v>217</v>
      </c>
      <c r="C128" s="3" t="s">
        <v>328</v>
      </c>
      <c r="D128" s="3" t="s">
        <v>212</v>
      </c>
      <c r="E128" s="3">
        <v>76.069999999999993</v>
      </c>
      <c r="F128" s="3">
        <v>21.09</v>
      </c>
      <c r="G128" s="3">
        <v>77.45</v>
      </c>
      <c r="H128" s="3">
        <v>21.28</v>
      </c>
      <c r="I128" s="2">
        <f t="shared" si="3"/>
        <v>153.63554246550498</v>
      </c>
      <c r="J128" s="2">
        <f t="shared" si="5"/>
        <v>7.5963303698993183</v>
      </c>
      <c r="K128" s="3">
        <v>20</v>
      </c>
      <c r="M128" s="3">
        <v>0</v>
      </c>
      <c r="N128" s="2">
        <f>IF(Table1[[#This Row],[No of EQ]]&gt;0,Table1[[#This Row],[Total Length]],0)</f>
        <v>0</v>
      </c>
      <c r="O128" s="4">
        <f>Table1[[#This Row],[No of EQ]]/214</f>
        <v>0</v>
      </c>
      <c r="P128" s="4">
        <f>Table1[[#This Row],[Active Fault Length]]/$N$134</f>
        <v>0</v>
      </c>
      <c r="Q128" s="4">
        <f>AVERAGE(Table1[[#This Row],[Wm]:[Wl ]])</f>
        <v>0</v>
      </c>
      <c r="R128" s="4">
        <f>2.303*Table1[[#This Row],[Total Weightage Factor]]</f>
        <v>0</v>
      </c>
    </row>
    <row r="129" spans="1:18" hidden="1" x14ac:dyDescent="0.3">
      <c r="A129" s="3">
        <v>127</v>
      </c>
      <c r="B129" s="3" t="s">
        <v>217</v>
      </c>
      <c r="C129" s="3" t="s">
        <v>228</v>
      </c>
      <c r="D129" s="3" t="s">
        <v>114</v>
      </c>
      <c r="E129" s="3">
        <v>75.92</v>
      </c>
      <c r="F129" s="3">
        <v>21.26</v>
      </c>
      <c r="G129" s="3">
        <v>76.099999999999994</v>
      </c>
      <c r="H129" s="3">
        <v>21.32</v>
      </c>
      <c r="I129" s="2">
        <f t="shared" si="3"/>
        <v>20.094708208000316</v>
      </c>
      <c r="J129" s="2">
        <f t="shared" si="5"/>
        <v>6.5715747769347388</v>
      </c>
      <c r="K129" s="3">
        <v>20</v>
      </c>
      <c r="M129" s="3">
        <v>0</v>
      </c>
      <c r="N129" s="2">
        <f>IF(Table1[[#This Row],[No of EQ]]&gt;0,Table1[[#This Row],[Total Length]],0)</f>
        <v>0</v>
      </c>
      <c r="O129" s="4">
        <f>Table1[[#This Row],[No of EQ]]/214</f>
        <v>0</v>
      </c>
      <c r="P129" s="4">
        <f>Table1[[#This Row],[Active Fault Length]]/$N$134</f>
        <v>0</v>
      </c>
      <c r="Q129" s="4">
        <f>AVERAGE(Table1[[#This Row],[Wm]:[Wl ]])</f>
        <v>0</v>
      </c>
      <c r="R129" s="4">
        <f>2.303*Table1[[#This Row],[Total Weightage Factor]]</f>
        <v>0</v>
      </c>
    </row>
    <row r="130" spans="1:18" hidden="1" x14ac:dyDescent="0.3">
      <c r="A130" s="3">
        <v>128</v>
      </c>
      <c r="B130" s="3" t="s">
        <v>217</v>
      </c>
      <c r="C130" s="3" t="s">
        <v>224</v>
      </c>
      <c r="D130" s="3" t="s">
        <v>125</v>
      </c>
      <c r="E130" s="3">
        <v>75.099999999999994</v>
      </c>
      <c r="F130" s="3">
        <v>21.29</v>
      </c>
      <c r="G130" s="3">
        <v>75.2</v>
      </c>
      <c r="H130" s="3">
        <v>21.38</v>
      </c>
      <c r="I130" s="2">
        <f t="shared" si="3"/>
        <v>11.421085421621095</v>
      </c>
      <c r="J130" s="2">
        <f t="shared" si="5"/>
        <v>6.2869405605227309</v>
      </c>
      <c r="K130" s="3">
        <v>20</v>
      </c>
      <c r="L130" s="3">
        <v>115</v>
      </c>
      <c r="M130" s="3">
        <v>1</v>
      </c>
      <c r="N130" s="2">
        <f>IF(Table1[[#This Row],[No of EQ]]&gt;0,Table1[[#This Row],[Total Length]],0)</f>
        <v>11.421085421621095</v>
      </c>
      <c r="O130" s="4">
        <f>Table1[[#This Row],[No of EQ]]/214</f>
        <v>4.6728971962616819E-3</v>
      </c>
      <c r="P130" s="4">
        <f>Table1[[#This Row],[Active Fault Length]]/$N$134</f>
        <v>5.5161160644460559E-3</v>
      </c>
      <c r="Q130" s="4">
        <f>AVERAGE(Table1[[#This Row],[Wm]:[Wl ]])</f>
        <v>5.0945066303538684E-3</v>
      </c>
      <c r="R130" s="4">
        <f>2.303*Table1[[#This Row],[Total Weightage Factor]]</f>
        <v>1.173264876970496E-2</v>
      </c>
    </row>
    <row r="131" spans="1:18" hidden="1" x14ac:dyDescent="0.3">
      <c r="A131" s="3">
        <v>129</v>
      </c>
      <c r="B131" s="3" t="s">
        <v>217</v>
      </c>
      <c r="C131" s="3" t="s">
        <v>124</v>
      </c>
      <c r="D131" s="3" t="s">
        <v>168</v>
      </c>
      <c r="E131" s="3">
        <v>73.849999999999994</v>
      </c>
      <c r="F131" s="3">
        <v>18.05</v>
      </c>
      <c r="G131" s="3">
        <v>74.52</v>
      </c>
      <c r="H131" s="3">
        <v>17.079999999999998</v>
      </c>
      <c r="I131" s="2">
        <f t="shared" ref="I131:I133" si="6">6378.8*ACOS(SIN(E131*3.14/180)*SIN(G131*3.14/180)+COS(E131*3.14/180)*COS(G131*3.14/180)*COS(H131*3.14/180-F131*3.14/180))</f>
        <v>80.169974604621402</v>
      </c>
      <c r="J131" s="2">
        <f t="shared" ref="J131:J133" si="7">5.06+LOG10(I131)*1.16</f>
        <v>7.2686536253905016</v>
      </c>
      <c r="K131" s="3">
        <v>27</v>
      </c>
      <c r="M131" s="3">
        <v>0</v>
      </c>
      <c r="N131" s="2">
        <f>IF(Table1[[#This Row],[No of EQ]]&gt;0,Table1[[#This Row],[Total Length]],0)</f>
        <v>0</v>
      </c>
      <c r="O131" s="4">
        <f>Table1[[#This Row],[No of EQ]]/214</f>
        <v>0</v>
      </c>
      <c r="P131" s="4">
        <f>Table1[[#This Row],[Active Fault Length]]/$N$134</f>
        <v>0</v>
      </c>
      <c r="Q131" s="4">
        <f>AVERAGE(Table1[[#This Row],[Wm]:[Wl ]])</f>
        <v>0</v>
      </c>
      <c r="R131" s="4">
        <f>2.303*Table1[[#This Row],[Total Weightage Factor]]</f>
        <v>0</v>
      </c>
    </row>
    <row r="132" spans="1:18" hidden="1" x14ac:dyDescent="0.3">
      <c r="A132" s="3">
        <v>130</v>
      </c>
      <c r="B132" s="3" t="s">
        <v>218</v>
      </c>
      <c r="C132" s="3" t="s">
        <v>236</v>
      </c>
      <c r="D132" s="3" t="s">
        <v>213</v>
      </c>
      <c r="E132" s="3">
        <v>75.400000000000006</v>
      </c>
      <c r="F132" s="3">
        <v>21.3</v>
      </c>
      <c r="G132" s="3">
        <v>76.08</v>
      </c>
      <c r="H132" s="3">
        <v>21.08</v>
      </c>
      <c r="I132" s="2">
        <f t="shared" si="6"/>
        <v>75.907770096018297</v>
      </c>
      <c r="J132" s="2">
        <f t="shared" si="7"/>
        <v>7.2411320309352591</v>
      </c>
      <c r="K132" s="3">
        <v>20</v>
      </c>
      <c r="M132" s="3">
        <v>0</v>
      </c>
      <c r="N132" s="2">
        <f>IF(Table1[[#This Row],[No of EQ]]&gt;0,Table1[[#This Row],[Total Length]],0)</f>
        <v>0</v>
      </c>
      <c r="O132" s="4">
        <f>Table1[[#This Row],[No of EQ]]/214</f>
        <v>0</v>
      </c>
      <c r="P132" s="4">
        <f>Table1[[#This Row],[Active Fault Length]]/$N$134</f>
        <v>0</v>
      </c>
      <c r="Q132" s="4">
        <f>AVERAGE(Table1[[#This Row],[Wm]:[Wl ]])</f>
        <v>0</v>
      </c>
      <c r="R132" s="4">
        <f>2.303*Table1[[#This Row],[Total Weightage Factor]]</f>
        <v>0</v>
      </c>
    </row>
    <row r="133" spans="1:18" hidden="1" x14ac:dyDescent="0.3">
      <c r="A133" s="3">
        <v>131</v>
      </c>
      <c r="B133" s="3" t="s">
        <v>218</v>
      </c>
      <c r="C133" s="3" t="s">
        <v>239</v>
      </c>
      <c r="D133" s="3" t="s">
        <v>214</v>
      </c>
      <c r="E133" s="3">
        <v>78.099999999999994</v>
      </c>
      <c r="F133" s="3">
        <v>22.8</v>
      </c>
      <c r="G133" s="3">
        <v>78.900000000000006</v>
      </c>
      <c r="H133" s="3">
        <v>23.05</v>
      </c>
      <c r="I133" s="2">
        <f t="shared" si="6"/>
        <v>89.193273257851544</v>
      </c>
      <c r="J133" s="2">
        <f t="shared" si="7"/>
        <v>7.3223852385123962</v>
      </c>
      <c r="K133" s="3">
        <v>21</v>
      </c>
      <c r="L133" s="3">
        <v>60</v>
      </c>
      <c r="M133" s="3">
        <v>1</v>
      </c>
      <c r="N133" s="2">
        <f>IF(Table1[[#This Row],[No of EQ]]&gt;0,Table1[[#This Row],[Total Length]],0)</f>
        <v>89.193273257851544</v>
      </c>
      <c r="O133" s="4">
        <f>Table1[[#This Row],[No of EQ]]/214</f>
        <v>4.6728971962616819E-3</v>
      </c>
      <c r="P133" s="4">
        <f>Table1[[#This Row],[Active Fault Length]]/$N$134</f>
        <v>4.3078256513760294E-2</v>
      </c>
      <c r="Q133" s="4">
        <f>AVERAGE(Table1[[#This Row],[Wm]:[Wl ]])</f>
        <v>2.3875576855010988E-2</v>
      </c>
      <c r="R133" s="4">
        <f>2.303*Table1[[#This Row],[Total Weightage Factor]]</f>
        <v>5.4985453497090303E-2</v>
      </c>
    </row>
    <row r="134" spans="1:18" x14ac:dyDescent="0.3">
      <c r="C134" s="62"/>
      <c r="I134" s="2">
        <f>SUBTOTAL(109,Table1[Total Length])</f>
        <v>2869.4772039436007</v>
      </c>
      <c r="N134" s="2">
        <f>SUBTOTAL(109,Table1[Active Fault Length])</f>
        <v>2070.4940375049982</v>
      </c>
    </row>
    <row r="137" spans="1:18" x14ac:dyDescent="0.3">
      <c r="C137" t="s">
        <v>374</v>
      </c>
      <c r="D137" s="39">
        <f>SUM(I69:I131)</f>
        <v>4715.5768493563019</v>
      </c>
      <c r="G137" s="71"/>
      <c r="H137" s="71"/>
      <c r="I137"/>
      <c r="J137"/>
    </row>
    <row r="138" spans="1:18" x14ac:dyDescent="0.3">
      <c r="C138" t="s">
        <v>375</v>
      </c>
      <c r="D138" s="39">
        <f>SUM(I132:I133)</f>
        <v>165.10104335386984</v>
      </c>
      <c r="I138"/>
      <c r="J138"/>
    </row>
    <row r="139" spans="1:18" x14ac:dyDescent="0.3">
      <c r="C139" t="s">
        <v>376</v>
      </c>
      <c r="D139" s="39">
        <f>SUM(I39:I68)</f>
        <v>479.60053249451494</v>
      </c>
      <c r="I139"/>
      <c r="J139"/>
    </row>
    <row r="140" spans="1:18" x14ac:dyDescent="0.3">
      <c r="C140" t="s">
        <v>377</v>
      </c>
      <c r="D140" s="39">
        <f>SUM(I3:I38)</f>
        <v>2869.4772039436007</v>
      </c>
      <c r="I140"/>
      <c r="J140"/>
    </row>
    <row r="141" spans="1:18" x14ac:dyDescent="0.3">
      <c r="C141" t="s">
        <v>378</v>
      </c>
      <c r="D141" s="64">
        <f>SUM(D137:D140)</f>
        <v>8229.755629148287</v>
      </c>
      <c r="I141"/>
      <c r="J141"/>
    </row>
    <row r="142" spans="1:18" x14ac:dyDescent="0.3">
      <c r="I142"/>
      <c r="J142"/>
    </row>
    <row r="143" spans="1:18" x14ac:dyDescent="0.3">
      <c r="G143" s="71"/>
      <c r="H143" s="71"/>
      <c r="I143"/>
      <c r="J143"/>
    </row>
    <row r="144" spans="1:18" x14ac:dyDescent="0.3">
      <c r="G144" s="71"/>
      <c r="H144" s="71"/>
      <c r="I144"/>
      <c r="J144"/>
    </row>
    <row r="145" spans="7:10" x14ac:dyDescent="0.3">
      <c r="G145" s="71"/>
      <c r="H145" s="71"/>
      <c r="I145"/>
      <c r="J145"/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ISC</vt:lpstr>
      <vt:lpstr>IMD</vt:lpstr>
      <vt:lpstr>USGS</vt:lpstr>
      <vt:lpstr>STG Raghukanth</vt:lpstr>
      <vt:lpstr>Compiled</vt:lpstr>
      <vt:lpstr>Mw Final</vt:lpstr>
      <vt:lpstr>Filtered Final</vt:lpstr>
      <vt:lpstr>A-B PSHA</vt:lpstr>
      <vt:lpstr>COMPLETENESS ANALYSIS</vt:lpstr>
      <vt:lpstr>EQ SEISAT</vt:lpstr>
      <vt:lpstr>FAULTS</vt:lpstr>
      <vt:lpstr>Series2</vt:lpstr>
      <vt:lpstr>Series3</vt:lpstr>
      <vt:lpstr>Series4</vt:lpstr>
      <vt:lpstr>Series5</vt:lpstr>
      <vt:lpstr>Series6</vt:lpstr>
      <vt:lpstr>Series7</vt:lpstr>
      <vt:lpstr>Ts</vt:lpstr>
      <vt:lpstr>Tsyears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Rohit Vyas</cp:lastModifiedBy>
  <dcterms:created xsi:type="dcterms:W3CDTF">2021-03-27T11:58:18Z</dcterms:created>
  <dcterms:modified xsi:type="dcterms:W3CDTF">2026-01-12T10:13:33Z</dcterms:modified>
</cp:coreProperties>
</file>